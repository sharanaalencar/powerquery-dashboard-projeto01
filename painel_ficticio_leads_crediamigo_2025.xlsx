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4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hara\Downloads\Projeto_leads\Projeto ficticio\"/>
    </mc:Choice>
  </mc:AlternateContent>
  <xr:revisionPtr revIDLastSave="0" documentId="13_ncr:1_{2F0B017F-D230-4F82-BDD2-E1F2173623D4}" xr6:coauthVersionLast="47" xr6:coauthVersionMax="47" xr10:uidLastSave="{00000000-0000-0000-0000-000000000000}"/>
  <bookViews>
    <workbookView xWindow="-108" yWindow="-108" windowWidth="23256" windowHeight="12456" activeTab="1" xr2:uid="{E361E464-C6C2-456E-A389-4A26A53E57EF}"/>
  </bookViews>
  <sheets>
    <sheet name="base" sheetId="2" r:id="rId1"/>
    <sheet name="painel" sheetId="8" r:id="rId2"/>
    <sheet name="1.geral" sheetId="3" r:id="rId3"/>
    <sheet name="2.canal" sheetId="4" r:id="rId4"/>
    <sheet name="3.regiao" sheetId="5" r:id="rId5"/>
    <sheet name="4.data" sheetId="6" r:id="rId6"/>
    <sheet name="5.unidades" sheetId="7" r:id="rId7"/>
  </sheets>
  <definedNames>
    <definedName name="DadosExternos_1" localSheetId="0" hidden="1">base!$A$1:$M$2001</definedName>
    <definedName name="SegmentaçãodeDados_escritorio">#N/A</definedName>
    <definedName name="SegmentaçãodeDados_origem">#N/A</definedName>
    <definedName name="SegmentaçãodeDados_uf">#N/A</definedName>
  </definedNames>
  <calcPr calcId="191029"/>
  <pivotCaches>
    <pivotCache cacheId="2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7" l="1"/>
  <c r="C33" i="6"/>
  <c r="C27" i="6"/>
  <c r="C53" i="3"/>
  <c r="C47" i="3"/>
  <c r="C32" i="6"/>
  <c r="C48" i="3"/>
  <c r="C42" i="3"/>
  <c r="C54" i="3"/>
  <c r="C26" i="6"/>
  <c r="E19" i="3"/>
  <c r="D26" i="6" l="1"/>
  <c r="D54" i="3"/>
  <c r="D42" i="3"/>
  <c r="D53" i="3"/>
  <c r="D2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38E7F3-DF8E-4AAB-A448-C09663CC98FC}" keepAlive="1" name="Consulta - base" description="Conexão com a consulta 'base' na pasta de trabalho." type="5" refreshedVersion="8" background="1" saveData="1">
    <dbPr connection="Provider=Microsoft.Mashup.OleDb.1;Data Source=$Workbook$;Location=base;Extended Properties=&quot;&quot;" command="SELECT * FROM [base]"/>
  </connection>
</connections>
</file>

<file path=xl/sharedStrings.xml><?xml version="1.0" encoding="utf-8"?>
<sst xmlns="http://schemas.openxmlformats.org/spreadsheetml/2006/main" count="20879" uniqueCount="7003">
  <si>
    <t>protocolo</t>
  </si>
  <si>
    <t>origem</t>
  </si>
  <si>
    <t>midia</t>
  </si>
  <si>
    <t>escritorio</t>
  </si>
  <si>
    <t>cod_esc</t>
  </si>
  <si>
    <t>cliente</t>
  </si>
  <si>
    <t>cpf</t>
  </si>
  <si>
    <t>cidade</t>
  </si>
  <si>
    <t>uf</t>
  </si>
  <si>
    <t>negocio</t>
  </si>
  <si>
    <t>desembolso</t>
  </si>
  <si>
    <t>unidade_crediamigo</t>
  </si>
  <si>
    <t>Fortaleza</t>
  </si>
  <si>
    <t>CE</t>
  </si>
  <si>
    <t>PE</t>
  </si>
  <si>
    <t>Recife</t>
  </si>
  <si>
    <t>Rótulos de Linha</t>
  </si>
  <si>
    <t>Total Geral</t>
  </si>
  <si>
    <t>Contagem de protocolo</t>
  </si>
  <si>
    <t>Contagem de negocio</t>
  </si>
  <si>
    <t>Contagem de desembolso</t>
  </si>
  <si>
    <t>Sim</t>
  </si>
  <si>
    <t>Panfleto</t>
  </si>
  <si>
    <t>Mariana Santos</t>
  </si>
  <si>
    <t>Indicação</t>
  </si>
  <si>
    <t>Instagram</t>
  </si>
  <si>
    <t>Outdoor</t>
  </si>
  <si>
    <t>Lucas Mendes</t>
  </si>
  <si>
    <t>Thiago Barbosa</t>
  </si>
  <si>
    <t>Felipe Cardoso</t>
  </si>
  <si>
    <t>André Pereira</t>
  </si>
  <si>
    <t>Pedro Moura</t>
  </si>
  <si>
    <t>Luiza Pires</t>
  </si>
  <si>
    <t>Leads</t>
  </si>
  <si>
    <t>Negocios</t>
  </si>
  <si>
    <t>cpf_tratado</t>
  </si>
  <si>
    <t>LD429963</t>
  </si>
  <si>
    <t>online</t>
  </si>
  <si>
    <t>AM-NAT</t>
  </si>
  <si>
    <t>Ana Sophia Araújo</t>
  </si>
  <si>
    <t>43815092698</t>
  </si>
  <si>
    <t>438.150.926-98</t>
  </si>
  <si>
    <t>Amazonas</t>
  </si>
  <si>
    <t>AM</t>
  </si>
  <si>
    <t>Estrela 6</t>
  </si>
  <si>
    <t>LD249811</t>
  </si>
  <si>
    <t>loja</t>
  </si>
  <si>
    <t>PA-SOL</t>
  </si>
  <si>
    <t>Bryan da Rosa</t>
  </si>
  <si>
    <t>38041697593</t>
  </si>
  <si>
    <t>380.416.975-93</t>
  </si>
  <si>
    <t>Belém</t>
  </si>
  <si>
    <t>PA</t>
  </si>
  <si>
    <t>Raio 8</t>
  </si>
  <si>
    <t>LD375504</t>
  </si>
  <si>
    <t>PR-MNT</t>
  </si>
  <si>
    <t>Alexandre da Cruz</t>
  </si>
  <si>
    <t>654.192.038-98</t>
  </si>
  <si>
    <t>Tocantins</t>
  </si>
  <si>
    <t>PR</t>
  </si>
  <si>
    <t>Estrela 5</t>
  </si>
  <si>
    <t>LD479580</t>
  </si>
  <si>
    <t>Dr. Otávio Ferreira</t>
  </si>
  <si>
    <t>07139426813</t>
  </si>
  <si>
    <t>071.394.268-13</t>
  </si>
  <si>
    <t>Horizonte 4</t>
  </si>
  <si>
    <t>LD195325</t>
  </si>
  <si>
    <t>Thales Campos</t>
  </si>
  <si>
    <t>034.916.852-06</t>
  </si>
  <si>
    <t>Raio 4</t>
  </si>
  <si>
    <t>LD930555</t>
  </si>
  <si>
    <t>BA-AGRO</t>
  </si>
  <si>
    <t>Sr. João Lucas Moraes</t>
  </si>
  <si>
    <t>341.857.609-57</t>
  </si>
  <si>
    <t>Salvador</t>
  </si>
  <si>
    <t>BA</t>
  </si>
  <si>
    <t>Oásis 2</t>
  </si>
  <si>
    <t>LD724834</t>
  </si>
  <si>
    <t>RS-MAR</t>
  </si>
  <si>
    <t>Pedro Miguel das Neves</t>
  </si>
  <si>
    <t>503.682.719-86</t>
  </si>
  <si>
    <t>Porto Alegre</t>
  </si>
  <si>
    <t>RS</t>
  </si>
  <si>
    <t>LD813328</t>
  </si>
  <si>
    <t>Raquel Lopes</t>
  </si>
  <si>
    <t>376.591.208-59</t>
  </si>
  <si>
    <t>Luz 1</t>
  </si>
  <si>
    <t>LD905934</t>
  </si>
  <si>
    <t>Maria Alice Ferreira</t>
  </si>
  <si>
    <t>968.215.307-77</t>
  </si>
  <si>
    <t>Encanto 3</t>
  </si>
  <si>
    <t>LD575763</t>
  </si>
  <si>
    <t>Davi Lucas da Cruz</t>
  </si>
  <si>
    <t>61934725099</t>
  </si>
  <si>
    <t>619.347.250-99</t>
  </si>
  <si>
    <t>Brisa 2</t>
  </si>
  <si>
    <t>LD624902</t>
  </si>
  <si>
    <t>RO-VER</t>
  </si>
  <si>
    <t>Srta. Nina Teixeira</t>
  </si>
  <si>
    <t>451.237.809-04</t>
  </si>
  <si>
    <t>Porto Velho</t>
  </si>
  <si>
    <t>RO</t>
  </si>
  <si>
    <t>Brisa 3</t>
  </si>
  <si>
    <t>LD982554</t>
  </si>
  <si>
    <t>CE-SER</t>
  </si>
  <si>
    <t>Luiz Fernando Cavalcanti</t>
  </si>
  <si>
    <t>483.126.059-24</t>
  </si>
  <si>
    <t>Oásis 3</t>
  </si>
  <si>
    <t>LD899550</t>
  </si>
  <si>
    <t>Carlos Eduardo Moreira</t>
  </si>
  <si>
    <t>43019752680</t>
  </si>
  <si>
    <t>430.197.526-80</t>
  </si>
  <si>
    <t>Serenidade 3</t>
  </si>
  <si>
    <t>LD728038</t>
  </si>
  <si>
    <t>Vitor Hugo Teixeira</t>
  </si>
  <si>
    <t>29741830696</t>
  </si>
  <si>
    <t>297.418.306-96</t>
  </si>
  <si>
    <t>LD945964</t>
  </si>
  <si>
    <t>RN-VAL</t>
  </si>
  <si>
    <t>João Moura</t>
  </si>
  <si>
    <t>78901564300</t>
  </si>
  <si>
    <t>789.015.643-00</t>
  </si>
  <si>
    <t>Natal</t>
  </si>
  <si>
    <t>RN</t>
  </si>
  <si>
    <t>Luz 7</t>
  </si>
  <si>
    <t>LD189814</t>
  </si>
  <si>
    <t>Daniela das Neves</t>
  </si>
  <si>
    <t>019.875.243-14</t>
  </si>
  <si>
    <t>Raio 1</t>
  </si>
  <si>
    <t>LD234628</t>
  </si>
  <si>
    <t>Luiza da Rosa</t>
  </si>
  <si>
    <t>827.135.609-77</t>
  </si>
  <si>
    <t>LD653306</t>
  </si>
  <si>
    <t>Isabella Pereira</t>
  </si>
  <si>
    <t>670.598.412-02</t>
  </si>
  <si>
    <t>LD847581</t>
  </si>
  <si>
    <t>PE-URB</t>
  </si>
  <si>
    <t>Felipe da Mota</t>
  </si>
  <si>
    <t>38719624069</t>
  </si>
  <si>
    <t>387.196.240-69</t>
  </si>
  <si>
    <t>Estrela 4</t>
  </si>
  <si>
    <t>LD559381</t>
  </si>
  <si>
    <t>Leonardo Vieira</t>
  </si>
  <si>
    <t>108.795.342-14</t>
  </si>
  <si>
    <t>Serenidade 6</t>
  </si>
  <si>
    <t>LD167136</t>
  </si>
  <si>
    <t>Ana Carolina da Cunha</t>
  </si>
  <si>
    <t>60923754199</t>
  </si>
  <si>
    <t>609.237.541-99</t>
  </si>
  <si>
    <t>LD107540</t>
  </si>
  <si>
    <t>Gustavo da Rosa</t>
  </si>
  <si>
    <t>08952746120</t>
  </si>
  <si>
    <t>089.527.461-20</t>
  </si>
  <si>
    <t>LD132938</t>
  </si>
  <si>
    <t>Bruna Caldeira</t>
  </si>
  <si>
    <t>812.046.935-60</t>
  </si>
  <si>
    <t>LD801474</t>
  </si>
  <si>
    <t>Elisa Barbosa</t>
  </si>
  <si>
    <t>91654728020</t>
  </si>
  <si>
    <t>916.547.280-20</t>
  </si>
  <si>
    <t>Luz 5</t>
  </si>
  <si>
    <t>LD704201</t>
  </si>
  <si>
    <t>Sra. Eduarda Ferreira</t>
  </si>
  <si>
    <t>62438071931</t>
  </si>
  <si>
    <t>624.380.719-31</t>
  </si>
  <si>
    <t>Oásis 5</t>
  </si>
  <si>
    <t>LD198907</t>
  </si>
  <si>
    <t>Clara Santos</t>
  </si>
  <si>
    <t>42501896785</t>
  </si>
  <si>
    <t>425.018.967-85</t>
  </si>
  <si>
    <t>LD589710</t>
  </si>
  <si>
    <t>Rafaela Jesus</t>
  </si>
  <si>
    <t>980.542.731-50</t>
  </si>
  <si>
    <t>LD163556</t>
  </si>
  <si>
    <t>Vinicius Vieira</t>
  </si>
  <si>
    <t>24871956300</t>
  </si>
  <si>
    <t>248.719.563-00</t>
  </si>
  <si>
    <t>Estrela 2</t>
  </si>
  <si>
    <t>LD300896</t>
  </si>
  <si>
    <t>Eloah Barros</t>
  </si>
  <si>
    <t>16408297331</t>
  </si>
  <si>
    <t>164.082.973-31</t>
  </si>
  <si>
    <t>LD392075</t>
  </si>
  <si>
    <t>Sra. Maria Clara Pereira</t>
  </si>
  <si>
    <t>80195764366</t>
  </si>
  <si>
    <t>801.957.643-66</t>
  </si>
  <si>
    <t>LD947272</t>
  </si>
  <si>
    <t>Augusto Lima</t>
  </si>
  <si>
    <t>509.176.842-49</t>
  </si>
  <si>
    <t>Serenidade 4</t>
  </si>
  <si>
    <t>LD666847</t>
  </si>
  <si>
    <t>CE-LIT</t>
  </si>
  <si>
    <t>Srta. Eduarda da Cruz</t>
  </si>
  <si>
    <t>260.159.347-43</t>
  </si>
  <si>
    <t>Jericoacara</t>
  </si>
  <si>
    <t>Aurora 6</t>
  </si>
  <si>
    <t>LD526156</t>
  </si>
  <si>
    <t>Yuri Cavalcanti</t>
  </si>
  <si>
    <t>60719325803</t>
  </si>
  <si>
    <t>607.193.258-03</t>
  </si>
  <si>
    <t>Aurora 3</t>
  </si>
  <si>
    <t>LD272634</t>
  </si>
  <si>
    <t>Rafael da Mota</t>
  </si>
  <si>
    <t>65490273143</t>
  </si>
  <si>
    <t>654.902.731-43</t>
  </si>
  <si>
    <t>Serenidade 1</t>
  </si>
  <si>
    <t>LD399105</t>
  </si>
  <si>
    <t>PE-CEN</t>
  </si>
  <si>
    <t>Helena Araújo</t>
  </si>
  <si>
    <t>14287065930</t>
  </si>
  <si>
    <t>142.870.659-30</t>
  </si>
  <si>
    <t>Petrolina</t>
  </si>
  <si>
    <t>Luz 4</t>
  </si>
  <si>
    <t>LD262316</t>
  </si>
  <si>
    <t>Sra. Larissa Silva</t>
  </si>
  <si>
    <t>16320758490</t>
  </si>
  <si>
    <t>163.207.584-90</t>
  </si>
  <si>
    <t>LD871476</t>
  </si>
  <si>
    <t>Ana Clara Melo</t>
  </si>
  <si>
    <t>951.824.637-82</t>
  </si>
  <si>
    <t>LD712554</t>
  </si>
  <si>
    <t>Pietra Gonçalves</t>
  </si>
  <si>
    <t>82375619455</t>
  </si>
  <si>
    <t>823.756.194-55</t>
  </si>
  <si>
    <t>Horizonte 1</t>
  </si>
  <si>
    <t>LD159642</t>
  </si>
  <si>
    <t>Agatha Jesus</t>
  </si>
  <si>
    <t>436.795.218-55</t>
  </si>
  <si>
    <t>LD723939</t>
  </si>
  <si>
    <t>Clara Silva</t>
  </si>
  <si>
    <t>72184560308</t>
  </si>
  <si>
    <t>721.845.603-08</t>
  </si>
  <si>
    <t>LD697347</t>
  </si>
  <si>
    <t>Enzo Gabriel da Paz</t>
  </si>
  <si>
    <t>20813476950</t>
  </si>
  <si>
    <t>208.134.769-50</t>
  </si>
  <si>
    <t>LD539589</t>
  </si>
  <si>
    <t>Maria Julia da Mota</t>
  </si>
  <si>
    <t>679.180.453-00</t>
  </si>
  <si>
    <t>LD314181</t>
  </si>
  <si>
    <t>Dra. Letícia Barros</t>
  </si>
  <si>
    <t>831.976.254-55</t>
  </si>
  <si>
    <t>LD237235</t>
  </si>
  <si>
    <t>Lavínia da Cruz</t>
  </si>
  <si>
    <t>794.612.380-96</t>
  </si>
  <si>
    <t>LD176066</t>
  </si>
  <si>
    <t>Ana Julia Gomes</t>
  </si>
  <si>
    <t>34528017644</t>
  </si>
  <si>
    <t>345.280.176-44</t>
  </si>
  <si>
    <t>LD176819</t>
  </si>
  <si>
    <t>Srta. Rafaela da Rosa</t>
  </si>
  <si>
    <t>168.243.507-53</t>
  </si>
  <si>
    <t>LD172132</t>
  </si>
  <si>
    <t>Joana Aragão</t>
  </si>
  <si>
    <t>967.025.318-77</t>
  </si>
  <si>
    <t>LD974244</t>
  </si>
  <si>
    <t>Gabriel Pinto</t>
  </si>
  <si>
    <t>706.253.148-08</t>
  </si>
  <si>
    <t>LD108203</t>
  </si>
  <si>
    <t>Alice Novaes</t>
  </si>
  <si>
    <t>901.537.682-40</t>
  </si>
  <si>
    <t>Aurora 9</t>
  </si>
  <si>
    <t>LD240814</t>
  </si>
  <si>
    <t>Giovanna da Rosa</t>
  </si>
  <si>
    <t>75863291095</t>
  </si>
  <si>
    <t>758.632.910-95</t>
  </si>
  <si>
    <t>LD262998</t>
  </si>
  <si>
    <t>Vinicius Viana</t>
  </si>
  <si>
    <t>05389647238</t>
  </si>
  <si>
    <t>053.896.472-38</t>
  </si>
  <si>
    <t>LD313487</t>
  </si>
  <si>
    <t>Pedro Henrique da Costa</t>
  </si>
  <si>
    <t>327.504.198-32</t>
  </si>
  <si>
    <t>LD363319</t>
  </si>
  <si>
    <t>Sr. Otávio Correia</t>
  </si>
  <si>
    <t>241.809.375-14</t>
  </si>
  <si>
    <t>LD969634</t>
  </si>
  <si>
    <t>Olivia Farias</t>
  </si>
  <si>
    <t>14968023731</t>
  </si>
  <si>
    <t>149.680.237-31</t>
  </si>
  <si>
    <t>LD269430</t>
  </si>
  <si>
    <t>Sr. Luiz Fernando Mendes</t>
  </si>
  <si>
    <t>067.932.548-47</t>
  </si>
  <si>
    <t>LD110139</t>
  </si>
  <si>
    <t>Thomas Silveira</t>
  </si>
  <si>
    <t>48736921050</t>
  </si>
  <si>
    <t>487.369.210-50</t>
  </si>
  <si>
    <t>Monte 5</t>
  </si>
  <si>
    <t>LD672092</t>
  </si>
  <si>
    <t>Guilherme Porto</t>
  </si>
  <si>
    <t>37620985140</t>
  </si>
  <si>
    <t>376.209.851-40</t>
  </si>
  <si>
    <t>Luz 2</t>
  </si>
  <si>
    <t>LD550664</t>
  </si>
  <si>
    <t>Dr. Joaquim Freitas</t>
  </si>
  <si>
    <t>94081752397</t>
  </si>
  <si>
    <t>940.817.523-97</t>
  </si>
  <si>
    <t>LD320281</t>
  </si>
  <si>
    <t>Sophie Duarte</t>
  </si>
  <si>
    <t>798.605.241-49</t>
  </si>
  <si>
    <t>Horizonte 3</t>
  </si>
  <si>
    <t>LD687080</t>
  </si>
  <si>
    <t>Henrique Moura</t>
  </si>
  <si>
    <t>785.394.216-82</t>
  </si>
  <si>
    <t>LD262060</t>
  </si>
  <si>
    <t>Fernando Dias</t>
  </si>
  <si>
    <t>135.074.962-16</t>
  </si>
  <si>
    <t>LD532322</t>
  </si>
  <si>
    <t>Emilly Souza</t>
  </si>
  <si>
    <t>94167253070</t>
  </si>
  <si>
    <t>941.672.530-70</t>
  </si>
  <si>
    <t>LD531712</t>
  </si>
  <si>
    <t>Thales Teixeira</t>
  </si>
  <si>
    <t>240.789.153-88</t>
  </si>
  <si>
    <t>LD266931</t>
  </si>
  <si>
    <t>Murilo Gomes</t>
  </si>
  <si>
    <t>798.210.654-49</t>
  </si>
  <si>
    <t>LD333238</t>
  </si>
  <si>
    <t>João Rodrigues</t>
  </si>
  <si>
    <t>10294783504</t>
  </si>
  <si>
    <t>102.947.835-04</t>
  </si>
  <si>
    <t>Monte 4</t>
  </si>
  <si>
    <t>LD960394</t>
  </si>
  <si>
    <t>Maria das Neves</t>
  </si>
  <si>
    <t>867.324.910-40</t>
  </si>
  <si>
    <t>LD302511</t>
  </si>
  <si>
    <t>Srta. Sophie da Rocha</t>
  </si>
  <si>
    <t>34176509252</t>
  </si>
  <si>
    <t>341.765.092-52</t>
  </si>
  <si>
    <t>LD468203</t>
  </si>
  <si>
    <t>Olivia Ribeiro</t>
  </si>
  <si>
    <t>403.256.789-10</t>
  </si>
  <si>
    <t>LD128941</t>
  </si>
  <si>
    <t>Maria Sophia da Paz</t>
  </si>
  <si>
    <t>61358290415</t>
  </si>
  <si>
    <t>613.582.904-15</t>
  </si>
  <si>
    <t>LD378361</t>
  </si>
  <si>
    <t>Noah Gomes</t>
  </si>
  <si>
    <t>71952364809</t>
  </si>
  <si>
    <t>719.523.648-09</t>
  </si>
  <si>
    <t>LD924629</t>
  </si>
  <si>
    <t>Noah Barbosa</t>
  </si>
  <si>
    <t>65409182758</t>
  </si>
  <si>
    <t>654.091.827-58</t>
  </si>
  <si>
    <t>Horizonte 6</t>
  </si>
  <si>
    <t>LD503906</t>
  </si>
  <si>
    <t>Vitor Hugo da Luz</t>
  </si>
  <si>
    <t>789.214.365-37</t>
  </si>
  <si>
    <t>LD557239</t>
  </si>
  <si>
    <t>Isabel Oliveira</t>
  </si>
  <si>
    <t>59167234828</t>
  </si>
  <si>
    <t>591.672.348-28</t>
  </si>
  <si>
    <t>LD481913</t>
  </si>
  <si>
    <t>Juliana Vieira</t>
  </si>
  <si>
    <t>07126598386</t>
  </si>
  <si>
    <t>071.265.983-86</t>
  </si>
  <si>
    <t>LD429164</t>
  </si>
  <si>
    <t>Letícia Oliveira</t>
  </si>
  <si>
    <t>035.487.961-84</t>
  </si>
  <si>
    <t>Serenidade 5</t>
  </si>
  <si>
    <t>LD424308</t>
  </si>
  <si>
    <t>Gustavo Henrique Pires</t>
  </si>
  <si>
    <t>710.548.639-20</t>
  </si>
  <si>
    <t>Horizonte 5</t>
  </si>
  <si>
    <t>LD681343</t>
  </si>
  <si>
    <t>Ana Laura das Neves</t>
  </si>
  <si>
    <t>17958324600</t>
  </si>
  <si>
    <t>179.583.246-00</t>
  </si>
  <si>
    <t>LD745414</t>
  </si>
  <si>
    <t>Lorena Farias</t>
  </si>
  <si>
    <t>782.314.506-53</t>
  </si>
  <si>
    <t>LD400850</t>
  </si>
  <si>
    <t>Heloísa Santos</t>
  </si>
  <si>
    <t>40952738104</t>
  </si>
  <si>
    <t>409.527.381-04</t>
  </si>
  <si>
    <t>LD437902</t>
  </si>
  <si>
    <t>Isabel Melo</t>
  </si>
  <si>
    <t>89632145755</t>
  </si>
  <si>
    <t>896.321.457-55</t>
  </si>
  <si>
    <t>LD932291</t>
  </si>
  <si>
    <t>Amanda Lopes</t>
  </si>
  <si>
    <t>768.591.302-02</t>
  </si>
  <si>
    <t>Estrela 8</t>
  </si>
  <si>
    <t>LD397571</t>
  </si>
  <si>
    <t>Helena Castro</t>
  </si>
  <si>
    <t>719.058.326-21</t>
  </si>
  <si>
    <t>LD958179</t>
  </si>
  <si>
    <t>Valentina Ferreira</t>
  </si>
  <si>
    <t>561.824.379-28</t>
  </si>
  <si>
    <t>Monte 1</t>
  </si>
  <si>
    <t>LD945742</t>
  </si>
  <si>
    <t>Alícia Campos</t>
  </si>
  <si>
    <t>34950762800</t>
  </si>
  <si>
    <t>349.507.628-00</t>
  </si>
  <si>
    <t>Horizonte 2</t>
  </si>
  <si>
    <t>LD740967</t>
  </si>
  <si>
    <t>Ryan Jesus</t>
  </si>
  <si>
    <t>095.682.413-70</t>
  </si>
  <si>
    <t>LD303880</t>
  </si>
  <si>
    <t>Luiz Miguel Oliveira</t>
  </si>
  <si>
    <t>928.104.375-05</t>
  </si>
  <si>
    <t>LD254739</t>
  </si>
  <si>
    <t>Bianca Dias</t>
  </si>
  <si>
    <t>749.250.318-05</t>
  </si>
  <si>
    <t>LD329471</t>
  </si>
  <si>
    <t>Isabel Jesus</t>
  </si>
  <si>
    <t>64792138078</t>
  </si>
  <si>
    <t>647.921.380-78</t>
  </si>
  <si>
    <t>LD152657</t>
  </si>
  <si>
    <t>Maria Julia Moraes</t>
  </si>
  <si>
    <t>948.053.267-00</t>
  </si>
  <si>
    <t>LD239816</t>
  </si>
  <si>
    <t>Sofia Sales</t>
  </si>
  <si>
    <t>435.176.280-26</t>
  </si>
  <si>
    <t>LD432711</t>
  </si>
  <si>
    <t>Pedro Lucas Barbosa</t>
  </si>
  <si>
    <t>470.921.865-01</t>
  </si>
  <si>
    <t>LD854213</t>
  </si>
  <si>
    <t>Camila da Paz</t>
  </si>
  <si>
    <t>285.469.137-73</t>
  </si>
  <si>
    <t>Serenidade 7</t>
  </si>
  <si>
    <t>LD266889</t>
  </si>
  <si>
    <t>Vinicius Mendes</t>
  </si>
  <si>
    <t>179.863.205-59</t>
  </si>
  <si>
    <t>LD980660</t>
  </si>
  <si>
    <t>Luiz Otávio Costa</t>
  </si>
  <si>
    <t>754.932.068-38</t>
  </si>
  <si>
    <t>LD757193</t>
  </si>
  <si>
    <t>Pedro Henrique Martins</t>
  </si>
  <si>
    <t>93158260433</t>
  </si>
  <si>
    <t>931.582.604-33</t>
  </si>
  <si>
    <t>LD345884</t>
  </si>
  <si>
    <t>Heitor Sales</t>
  </si>
  <si>
    <t>19348765264</t>
  </si>
  <si>
    <t>193.487.652-64</t>
  </si>
  <si>
    <t>LD245095</t>
  </si>
  <si>
    <t>Dra. Brenda Peixoto</t>
  </si>
  <si>
    <t>17620893431</t>
  </si>
  <si>
    <t>176.208.934-31</t>
  </si>
  <si>
    <t>LD167348</t>
  </si>
  <si>
    <t>Sr. Rodrigo Moura</t>
  </si>
  <si>
    <t>85032174653</t>
  </si>
  <si>
    <t>850.321.746-53</t>
  </si>
  <si>
    <t>LD165290</t>
  </si>
  <si>
    <t>SC-RIO</t>
  </si>
  <si>
    <t>Pedro Aragão</t>
  </si>
  <si>
    <t>05314692716</t>
  </si>
  <si>
    <t>053.146.927-16</t>
  </si>
  <si>
    <t>Santa Catarina</t>
  </si>
  <si>
    <t>SC</t>
  </si>
  <si>
    <t>Brisa 4</t>
  </si>
  <si>
    <t>LD120480</t>
  </si>
  <si>
    <t>Enzo Melo</t>
  </si>
  <si>
    <t>204.615.983-70</t>
  </si>
  <si>
    <t>LD106182</t>
  </si>
  <si>
    <t>Cauê Alves</t>
  </si>
  <si>
    <t>539.012.687-40</t>
  </si>
  <si>
    <t>LD664365</t>
  </si>
  <si>
    <t>Vinicius Campos</t>
  </si>
  <si>
    <t>795.460.328-83</t>
  </si>
  <si>
    <t>LD611945</t>
  </si>
  <si>
    <t>47083592683</t>
  </si>
  <si>
    <t>470.835.926-83</t>
  </si>
  <si>
    <t>LD452457</t>
  </si>
  <si>
    <t>Sra. Ana Julia Cardoso</t>
  </si>
  <si>
    <t>521.784.963-00</t>
  </si>
  <si>
    <t>LD981334</t>
  </si>
  <si>
    <t>Maria Pinto</t>
  </si>
  <si>
    <t>19376854209</t>
  </si>
  <si>
    <t>193.768.542-09</t>
  </si>
  <si>
    <t>LD128276</t>
  </si>
  <si>
    <t>Sabrina Castro</t>
  </si>
  <si>
    <t>569.728.143-91</t>
  </si>
  <si>
    <t>LD188025</t>
  </si>
  <si>
    <t>Bruno Carvalho</t>
  </si>
  <si>
    <t>615.984.027-49</t>
  </si>
  <si>
    <t>Oásis 1</t>
  </si>
  <si>
    <t>LD152727</t>
  </si>
  <si>
    <t>Juan Moraes</t>
  </si>
  <si>
    <t>60472589300</t>
  </si>
  <si>
    <t>604.725.893-00</t>
  </si>
  <si>
    <t>Aurora 2</t>
  </si>
  <si>
    <t>LD453894</t>
  </si>
  <si>
    <t>Luana das Neves</t>
  </si>
  <si>
    <t>158.024.936-15</t>
  </si>
  <si>
    <t>LD975467</t>
  </si>
  <si>
    <t>Olivia Fogaça</t>
  </si>
  <si>
    <t>02458679374</t>
  </si>
  <si>
    <t>024.586.793-74</t>
  </si>
  <si>
    <t>Monte 3</t>
  </si>
  <si>
    <t>LD466960</t>
  </si>
  <si>
    <t>Miguel Nunes</t>
  </si>
  <si>
    <t>12075493804</t>
  </si>
  <si>
    <t>120.754.938-04</t>
  </si>
  <si>
    <t>LD890870</t>
  </si>
  <si>
    <t>Sr. João Lucas Lima</t>
  </si>
  <si>
    <t>51086472390</t>
  </si>
  <si>
    <t>510.864.723-90</t>
  </si>
  <si>
    <t>LD259784</t>
  </si>
  <si>
    <t>Mirella Pereira</t>
  </si>
  <si>
    <t>79621405858</t>
  </si>
  <si>
    <t>796.214.058-58</t>
  </si>
  <si>
    <t>LD328552</t>
  </si>
  <si>
    <t>Renan Rodrigues</t>
  </si>
  <si>
    <t>84013975297</t>
  </si>
  <si>
    <t>840.139.752-97</t>
  </si>
  <si>
    <t>LD735324</t>
  </si>
  <si>
    <t>Vitor Cunha</t>
  </si>
  <si>
    <t>495.063.872-65</t>
  </si>
  <si>
    <t>LD426147</t>
  </si>
  <si>
    <t>Rafaela Dias</t>
  </si>
  <si>
    <t>89503674166</t>
  </si>
  <si>
    <t>895.036.741-66</t>
  </si>
  <si>
    <t>LD810250</t>
  </si>
  <si>
    <t>Dr. Murilo Nunes</t>
  </si>
  <si>
    <t>641.302.789-40</t>
  </si>
  <si>
    <t>LD179688</t>
  </si>
  <si>
    <t>Sra. Ana Laura Pinto</t>
  </si>
  <si>
    <t>136.487.092-40</t>
  </si>
  <si>
    <t>LD831059</t>
  </si>
  <si>
    <t>Sr. Isaac da Cunha</t>
  </si>
  <si>
    <t>189.467.250-01</t>
  </si>
  <si>
    <t>LD226935</t>
  </si>
  <si>
    <t>Danilo Fernandes</t>
  </si>
  <si>
    <t>328.650.179-40</t>
  </si>
  <si>
    <t>LD658623</t>
  </si>
  <si>
    <t>Sophie Porto</t>
  </si>
  <si>
    <t>95813076212</t>
  </si>
  <si>
    <t>958.130.762-12</t>
  </si>
  <si>
    <t>LD113266</t>
  </si>
  <si>
    <t>Nicolas Caldeira</t>
  </si>
  <si>
    <t>581.239.047-97</t>
  </si>
  <si>
    <t>LD479781</t>
  </si>
  <si>
    <t>Breno Carvalho</t>
  </si>
  <si>
    <t>986.345.017-01</t>
  </si>
  <si>
    <t>LD556641</t>
  </si>
  <si>
    <t>Lorena Santos</t>
  </si>
  <si>
    <t>20789614502</t>
  </si>
  <si>
    <t>207.896.145-02</t>
  </si>
  <si>
    <t>LD745830</t>
  </si>
  <si>
    <t>Laura Souza</t>
  </si>
  <si>
    <t>825.963.410-42</t>
  </si>
  <si>
    <t>Brisa 5</t>
  </si>
  <si>
    <t>LD556732</t>
  </si>
  <si>
    <t>Melissa Melo</t>
  </si>
  <si>
    <t>159.483.270-60</t>
  </si>
  <si>
    <t>LD357420</t>
  </si>
  <si>
    <t>Nathan da Conceição</t>
  </si>
  <si>
    <t>546.180.237-08</t>
  </si>
  <si>
    <t>LD886931</t>
  </si>
  <si>
    <t>Sr. Raul Souza</t>
  </si>
  <si>
    <t>16502798330</t>
  </si>
  <si>
    <t>165.027.983-30</t>
  </si>
  <si>
    <t>LD130094</t>
  </si>
  <si>
    <t>Caroline das Neves</t>
  </si>
  <si>
    <t>29180456758</t>
  </si>
  <si>
    <t>291.804.567-58</t>
  </si>
  <si>
    <t>LD472060</t>
  </si>
  <si>
    <t>Ana Nascimento</t>
  </si>
  <si>
    <t>298.654.173-91</t>
  </si>
  <si>
    <t>LD389688</t>
  </si>
  <si>
    <t>Isabelly Duarte</t>
  </si>
  <si>
    <t>749.186.250-02</t>
  </si>
  <si>
    <t>LD353080</t>
  </si>
  <si>
    <t>Maria Julia Pires</t>
  </si>
  <si>
    <t>746.893.102-03</t>
  </si>
  <si>
    <t>LD777278</t>
  </si>
  <si>
    <t>Benjamin Rocha</t>
  </si>
  <si>
    <t>581.940.263-42</t>
  </si>
  <si>
    <t>LD408528</t>
  </si>
  <si>
    <t>Maitê da Conceição</t>
  </si>
  <si>
    <t>61397208503</t>
  </si>
  <si>
    <t>613.972.085-03</t>
  </si>
  <si>
    <t>LD709805</t>
  </si>
  <si>
    <t>Isadora Duarte</t>
  </si>
  <si>
    <t>61580274994</t>
  </si>
  <si>
    <t>615.802.749-94</t>
  </si>
  <si>
    <t>Raio 6</t>
  </si>
  <si>
    <t>LD882169</t>
  </si>
  <si>
    <t>Daniel Azevedo</t>
  </si>
  <si>
    <t>472.653.980-92</t>
  </si>
  <si>
    <t>Encanto 4</t>
  </si>
  <si>
    <t>LD421517</t>
  </si>
  <si>
    <t>Anthony Fernandes</t>
  </si>
  <si>
    <t>32608157912</t>
  </si>
  <si>
    <t>326.081.579-12</t>
  </si>
  <si>
    <t>LD225362</t>
  </si>
  <si>
    <t>Maysa Ramos</t>
  </si>
  <si>
    <t>197.460.825-58</t>
  </si>
  <si>
    <t>LD300845</t>
  </si>
  <si>
    <t>Agatha Moraes</t>
  </si>
  <si>
    <t>36258074910</t>
  </si>
  <si>
    <t>362.580.749-10</t>
  </si>
  <si>
    <t>LD897135</t>
  </si>
  <si>
    <t>Amanda Nogueira</t>
  </si>
  <si>
    <t>540.276.189-20</t>
  </si>
  <si>
    <t>LD410636</t>
  </si>
  <si>
    <t>Sarah Melo</t>
  </si>
  <si>
    <t>20549137661</t>
  </si>
  <si>
    <t>205.491.376-61</t>
  </si>
  <si>
    <t>LD660081</t>
  </si>
  <si>
    <t>Daniel Campos</t>
  </si>
  <si>
    <t>70418659249</t>
  </si>
  <si>
    <t>704.186.592-49</t>
  </si>
  <si>
    <t>LD406327</t>
  </si>
  <si>
    <t>Maria Cecília Ribeiro</t>
  </si>
  <si>
    <t>403.268.519-33</t>
  </si>
  <si>
    <t>LD112861</t>
  </si>
  <si>
    <t>Dr. João Pires</t>
  </si>
  <si>
    <t>652.389.741-91</t>
  </si>
  <si>
    <t>LD293319</t>
  </si>
  <si>
    <t>Thomas Pereira</t>
  </si>
  <si>
    <t>162.475.039-70</t>
  </si>
  <si>
    <t>LD962050</t>
  </si>
  <si>
    <t>Henrique Porto</t>
  </si>
  <si>
    <t>96253780140</t>
  </si>
  <si>
    <t>962.537.801-40</t>
  </si>
  <si>
    <t>LD819796</t>
  </si>
  <si>
    <t>Emilly Caldeira</t>
  </si>
  <si>
    <t>16547903893</t>
  </si>
  <si>
    <t>165.479.038-93</t>
  </si>
  <si>
    <t>LD189318</t>
  </si>
  <si>
    <t>Bernardo Duarte</t>
  </si>
  <si>
    <t>596.407.123-61</t>
  </si>
  <si>
    <t>LD725084</t>
  </si>
  <si>
    <t>Dr. Vitor Hugo Cardoso</t>
  </si>
  <si>
    <t>925.387.104-05</t>
  </si>
  <si>
    <t>LD572398</t>
  </si>
  <si>
    <t>Luiz Felipe Silveira</t>
  </si>
  <si>
    <t>681.293.754-19</t>
  </si>
  <si>
    <t>LD420214</t>
  </si>
  <si>
    <t>Catarina Costa</t>
  </si>
  <si>
    <t>217.853.096-68</t>
  </si>
  <si>
    <t>LD899787</t>
  </si>
  <si>
    <t>Sr. Marcos Vinicius Viana</t>
  </si>
  <si>
    <t>49256173034</t>
  </si>
  <si>
    <t>492.561.730-34</t>
  </si>
  <si>
    <t>LD264686</t>
  </si>
  <si>
    <t>Daniel Duarte</t>
  </si>
  <si>
    <t>70546239838</t>
  </si>
  <si>
    <t>705.462.398-38</t>
  </si>
  <si>
    <t>LD528361</t>
  </si>
  <si>
    <t>Bernardo Lima</t>
  </si>
  <si>
    <t>67983405120</t>
  </si>
  <si>
    <t>679.834.051-20</t>
  </si>
  <si>
    <t>LD342720</t>
  </si>
  <si>
    <t>Levi Rezende</t>
  </si>
  <si>
    <t>85264910324</t>
  </si>
  <si>
    <t>852.649.103-24</t>
  </si>
  <si>
    <t>LD820775</t>
  </si>
  <si>
    <t>Cauã Silveira</t>
  </si>
  <si>
    <t>24917653819</t>
  </si>
  <si>
    <t>249.176.538-19</t>
  </si>
  <si>
    <t>LD793300</t>
  </si>
  <si>
    <t>Fernando da Paz</t>
  </si>
  <si>
    <t>842.579.063-83</t>
  </si>
  <si>
    <t>Oásis 10</t>
  </si>
  <si>
    <t>LD335729</t>
  </si>
  <si>
    <t>Brenda da Cunha</t>
  </si>
  <si>
    <t>950.678.421-30</t>
  </si>
  <si>
    <t>LD162535</t>
  </si>
  <si>
    <t>Vitor Peixoto</t>
  </si>
  <si>
    <t>90754261867</t>
  </si>
  <si>
    <t>907.542.618-67</t>
  </si>
  <si>
    <t>LD402630</t>
  </si>
  <si>
    <t>Juliana Jesus</t>
  </si>
  <si>
    <t>71083546910</t>
  </si>
  <si>
    <t>710.835.469-10</t>
  </si>
  <si>
    <t>LD522060</t>
  </si>
  <si>
    <t>Bianca Lopes</t>
  </si>
  <si>
    <t>596.124.073-80</t>
  </si>
  <si>
    <t>LD184349</t>
  </si>
  <si>
    <t>Gabriel Porto</t>
  </si>
  <si>
    <t>321.089.465-51</t>
  </si>
  <si>
    <t>LD733039</t>
  </si>
  <si>
    <t>Dr. Diogo da Cruz</t>
  </si>
  <si>
    <t>78932604169</t>
  </si>
  <si>
    <t>789.326.041-69</t>
  </si>
  <si>
    <t>LD715643</t>
  </si>
  <si>
    <t>Eduarda da Rosa</t>
  </si>
  <si>
    <t>950.723.416-07</t>
  </si>
  <si>
    <t>LD704238</t>
  </si>
  <si>
    <t>Leandro Cunha</t>
  </si>
  <si>
    <t>45620387992</t>
  </si>
  <si>
    <t>456.203.879-92</t>
  </si>
  <si>
    <t>LD783157</t>
  </si>
  <si>
    <t>Esther Cardoso</t>
  </si>
  <si>
    <t>68794203547</t>
  </si>
  <si>
    <t>687.942.035-47</t>
  </si>
  <si>
    <t>LD765620</t>
  </si>
  <si>
    <t>Dr. Matheus Moreira</t>
  </si>
  <si>
    <t>236.405.781-71</t>
  </si>
  <si>
    <t>LD528184</t>
  </si>
  <si>
    <t>Manuela Ramos</t>
  </si>
  <si>
    <t>28974613573</t>
  </si>
  <si>
    <t>289.746.135-73</t>
  </si>
  <si>
    <t>LD531641</t>
  </si>
  <si>
    <t>Dr. Thales Jesus</t>
  </si>
  <si>
    <t>705.298.361-30</t>
  </si>
  <si>
    <t>LD138479</t>
  </si>
  <si>
    <t>Dra. Marina Araújo</t>
  </si>
  <si>
    <t>97458612002</t>
  </si>
  <si>
    <t>974.586.120-02</t>
  </si>
  <si>
    <t>LD910075</t>
  </si>
  <si>
    <t>Bárbara Souza</t>
  </si>
  <si>
    <t>96285107386</t>
  </si>
  <si>
    <t>962.851.073-86</t>
  </si>
  <si>
    <t>LD668950</t>
  </si>
  <si>
    <t>Leonardo Lopes</t>
  </si>
  <si>
    <t>62951348070</t>
  </si>
  <si>
    <t>629.513.480-70</t>
  </si>
  <si>
    <t>LD752878</t>
  </si>
  <si>
    <t>Luiz Henrique da Rocha</t>
  </si>
  <si>
    <t>857.432.196-64</t>
  </si>
  <si>
    <t>LD380028</t>
  </si>
  <si>
    <t>Dr. Paulo Rocha</t>
  </si>
  <si>
    <t>394.721.560-61</t>
  </si>
  <si>
    <t>Serenidade 2</t>
  </si>
  <si>
    <t>LD608257</t>
  </si>
  <si>
    <t>Sra. Gabrielly Rocha</t>
  </si>
  <si>
    <t>58420731617</t>
  </si>
  <si>
    <t>584.207.316-17</t>
  </si>
  <si>
    <t>Oásis 6</t>
  </si>
  <si>
    <t>LD350921</t>
  </si>
  <si>
    <t>Gustavo Barbosa</t>
  </si>
  <si>
    <t>415.372.609-52</t>
  </si>
  <si>
    <t>LD527809</t>
  </si>
  <si>
    <t>Emanuelly Fogaça</t>
  </si>
  <si>
    <t>21380469589</t>
  </si>
  <si>
    <t>213.804.695-89</t>
  </si>
  <si>
    <t>LD223172</t>
  </si>
  <si>
    <t>Juan Melo</t>
  </si>
  <si>
    <t>712.048.395-14</t>
  </si>
  <si>
    <t>LD633590</t>
  </si>
  <si>
    <t>Catarina Gomes</t>
  </si>
  <si>
    <t>540.678.129-49</t>
  </si>
  <si>
    <t>LD355570</t>
  </si>
  <si>
    <t>Kaique da Luz</t>
  </si>
  <si>
    <t>06715293821</t>
  </si>
  <si>
    <t>067.152.938-21</t>
  </si>
  <si>
    <t>LD173201</t>
  </si>
  <si>
    <t>Ana Lívia Melo</t>
  </si>
  <si>
    <t>47819320532</t>
  </si>
  <si>
    <t>478.193.205-32</t>
  </si>
  <si>
    <t>LD925981</t>
  </si>
  <si>
    <t>Thomas Ramos</t>
  </si>
  <si>
    <t>420.586.173-71</t>
  </si>
  <si>
    <t>LD413058</t>
  </si>
  <si>
    <t>Maitê Martins</t>
  </si>
  <si>
    <t>169.783.204-04</t>
  </si>
  <si>
    <t>LD255813</t>
  </si>
  <si>
    <t>Eduarda Porto</t>
  </si>
  <si>
    <t>45978601267</t>
  </si>
  <si>
    <t>459.786.012-67</t>
  </si>
  <si>
    <t>LD899929</t>
  </si>
  <si>
    <t>Benício Costa</t>
  </si>
  <si>
    <t>742.358.960-83</t>
  </si>
  <si>
    <t>LD297816</t>
  </si>
  <si>
    <t>João Lucas das Neves</t>
  </si>
  <si>
    <t>327.194.865-82</t>
  </si>
  <si>
    <t>LD997594</t>
  </si>
  <si>
    <t>Yasmin da Rosa</t>
  </si>
  <si>
    <t>317.452.069-06</t>
  </si>
  <si>
    <t>LD839485</t>
  </si>
  <si>
    <t>Lívia da Paz</t>
  </si>
  <si>
    <t>982.174.305-60</t>
  </si>
  <si>
    <t>LD619389</t>
  </si>
  <si>
    <t>Luiza Carvalho</t>
  </si>
  <si>
    <t>870.314.659-66</t>
  </si>
  <si>
    <t>LD205239</t>
  </si>
  <si>
    <t>Nicole Lima</t>
  </si>
  <si>
    <t>064.891.537-93</t>
  </si>
  <si>
    <t>LD116093</t>
  </si>
  <si>
    <t>Srta. Maria Cecília Caldeira</t>
  </si>
  <si>
    <t>170.239.465-43</t>
  </si>
  <si>
    <t>LD178463</t>
  </si>
  <si>
    <t>Lavínia Nascimento</t>
  </si>
  <si>
    <t>61257089340</t>
  </si>
  <si>
    <t>612.570.893-40</t>
  </si>
  <si>
    <t>LD826353</t>
  </si>
  <si>
    <t>Thomas das Neves</t>
  </si>
  <si>
    <t>09435762107</t>
  </si>
  <si>
    <t>094.357.621-07</t>
  </si>
  <si>
    <t>LD807115</t>
  </si>
  <si>
    <t>Felipe Ramos</t>
  </si>
  <si>
    <t>524.190.786-67</t>
  </si>
  <si>
    <t>LD853629</t>
  </si>
  <si>
    <t>Erick da Rocha</t>
  </si>
  <si>
    <t>190.347.825-14</t>
  </si>
  <si>
    <t>LD747453</t>
  </si>
  <si>
    <t>Daniela Viana</t>
  </si>
  <si>
    <t>30247159670</t>
  </si>
  <si>
    <t>302.471.596-70</t>
  </si>
  <si>
    <t>LD883041</t>
  </si>
  <si>
    <t>Danilo Silveira</t>
  </si>
  <si>
    <t>36420718996</t>
  </si>
  <si>
    <t>364.207.189-96</t>
  </si>
  <si>
    <t>LD565230</t>
  </si>
  <si>
    <t>Ana Beatriz Monteiro</t>
  </si>
  <si>
    <t>68573914246</t>
  </si>
  <si>
    <t>685.739.142-46</t>
  </si>
  <si>
    <t>LD440131</t>
  </si>
  <si>
    <t>Lorena Duarte</t>
  </si>
  <si>
    <t>342.690.518-33</t>
  </si>
  <si>
    <t>LD252640</t>
  </si>
  <si>
    <t>Fernando da Rocha</t>
  </si>
  <si>
    <t>51762084317</t>
  </si>
  <si>
    <t>517.620.843-17</t>
  </si>
  <si>
    <t>LD278240</t>
  </si>
  <si>
    <t>Maria Barbosa</t>
  </si>
  <si>
    <t>13879240604</t>
  </si>
  <si>
    <t>138.792.406-04</t>
  </si>
  <si>
    <t>LD816318</t>
  </si>
  <si>
    <t>Srta. Sofia Rocha</t>
  </si>
  <si>
    <t>39614257873</t>
  </si>
  <si>
    <t>396.142.578-73</t>
  </si>
  <si>
    <t>LD583550</t>
  </si>
  <si>
    <t>Isabella Lima</t>
  </si>
  <si>
    <t>457.306.281-53</t>
  </si>
  <si>
    <t>LD943718</t>
  </si>
  <si>
    <t>Amanda das Neves</t>
  </si>
  <si>
    <t>20476531853</t>
  </si>
  <si>
    <t>204.765.318-53</t>
  </si>
  <si>
    <t>LD177449</t>
  </si>
  <si>
    <t>Sr. João Miguel Farias</t>
  </si>
  <si>
    <t>78523940197</t>
  </si>
  <si>
    <t>785.239.401-97</t>
  </si>
  <si>
    <t>LD769975</t>
  </si>
  <si>
    <t>Thiago Viana</t>
  </si>
  <si>
    <t>720.495.631-16</t>
  </si>
  <si>
    <t>LD308894</t>
  </si>
  <si>
    <t>Daniela Campos</t>
  </si>
  <si>
    <t>203.479.861-96</t>
  </si>
  <si>
    <t>LD499889</t>
  </si>
  <si>
    <t>Alexia Almeida</t>
  </si>
  <si>
    <t>896.074.231-78</t>
  </si>
  <si>
    <t>LD123005</t>
  </si>
  <si>
    <t>Pietra Pinto</t>
  </si>
  <si>
    <t>218.475.693-82</t>
  </si>
  <si>
    <t>LD693419</t>
  </si>
  <si>
    <t>Dr. João Vitor Cardoso</t>
  </si>
  <si>
    <t>567.419.230-80</t>
  </si>
  <si>
    <t>LD881369</t>
  </si>
  <si>
    <t>Sophie Azevedo</t>
  </si>
  <si>
    <t>16834702571</t>
  </si>
  <si>
    <t>168.347.025-71</t>
  </si>
  <si>
    <t>LD736553</t>
  </si>
  <si>
    <t>Bruno Sales</t>
  </si>
  <si>
    <t>651.407.923-70</t>
  </si>
  <si>
    <t>LD810687</t>
  </si>
  <si>
    <t>Breno Freitas</t>
  </si>
  <si>
    <t>802.679.154-11</t>
  </si>
  <si>
    <t>LD758765</t>
  </si>
  <si>
    <t>Sra. Ana Julia Jesus</t>
  </si>
  <si>
    <t>23654987010</t>
  </si>
  <si>
    <t>236.549.870-10</t>
  </si>
  <si>
    <t>LD926918</t>
  </si>
  <si>
    <t>Dra. Ana Júlia Santos</t>
  </si>
  <si>
    <t>50137826940</t>
  </si>
  <si>
    <t>501.378.269-40</t>
  </si>
  <si>
    <t>LD194511</t>
  </si>
  <si>
    <t>Sr. Pedro Miguel Fogaça</t>
  </si>
  <si>
    <t>793.248.501-05</t>
  </si>
  <si>
    <t>LD310548</t>
  </si>
  <si>
    <t>Evelyn Farias</t>
  </si>
  <si>
    <t>19483657237</t>
  </si>
  <si>
    <t>194.836.572-37</t>
  </si>
  <si>
    <t>LD626169</t>
  </si>
  <si>
    <t>Alexandre Lima</t>
  </si>
  <si>
    <t>754.016.832-35</t>
  </si>
  <si>
    <t>LD945664</t>
  </si>
  <si>
    <t>Maitê Oliveira</t>
  </si>
  <si>
    <t>10924867558</t>
  </si>
  <si>
    <t>109.248.675-58</t>
  </si>
  <si>
    <t>LD178957</t>
  </si>
  <si>
    <t>Joana Cardoso</t>
  </si>
  <si>
    <t>83259146709</t>
  </si>
  <si>
    <t>832.591.467-09</t>
  </si>
  <si>
    <t>LD986827</t>
  </si>
  <si>
    <t>Bianca Campos</t>
  </si>
  <si>
    <t>264.398.015-89</t>
  </si>
  <si>
    <t>Oásis 7</t>
  </si>
  <si>
    <t>LD377304</t>
  </si>
  <si>
    <t>Dra. Luna da Paz</t>
  </si>
  <si>
    <t>712.903.648-69</t>
  </si>
  <si>
    <t>LD712955</t>
  </si>
  <si>
    <t>Dr. Isaac Pinto</t>
  </si>
  <si>
    <t>92487135050</t>
  </si>
  <si>
    <t>924.871.350-50</t>
  </si>
  <si>
    <t>LD807617</t>
  </si>
  <si>
    <t>Dr. Vicente Rodrigues</t>
  </si>
  <si>
    <t>93582670465</t>
  </si>
  <si>
    <t>935.826.704-65</t>
  </si>
  <si>
    <t>LD739717</t>
  </si>
  <si>
    <t>Carolina Vieira</t>
  </si>
  <si>
    <t>07382965112</t>
  </si>
  <si>
    <t>073.829.651-12</t>
  </si>
  <si>
    <t>LD416869</t>
  </si>
  <si>
    <t>Fernanda Duarte</t>
  </si>
  <si>
    <t>426.730.581-17</t>
  </si>
  <si>
    <t>LD419149</t>
  </si>
  <si>
    <t>Maria Alice Santos</t>
  </si>
  <si>
    <t>680.924.735-10</t>
  </si>
  <si>
    <t>LD507524</t>
  </si>
  <si>
    <t>Isabella da Cunha</t>
  </si>
  <si>
    <t>90672384574</t>
  </si>
  <si>
    <t>906.723.845-74</t>
  </si>
  <si>
    <t>LD539486</t>
  </si>
  <si>
    <t>Luiz Gustavo Silveira</t>
  </si>
  <si>
    <t>837.295.140-32</t>
  </si>
  <si>
    <t>LD974190</t>
  </si>
  <si>
    <t>Gustavo Peixoto</t>
  </si>
  <si>
    <t>19276530886</t>
  </si>
  <si>
    <t>192.765.308-86</t>
  </si>
  <si>
    <t>LD823811</t>
  </si>
  <si>
    <t>Ana Luiza Pires</t>
  </si>
  <si>
    <t>75120849350</t>
  </si>
  <si>
    <t>751.208.493-50</t>
  </si>
  <si>
    <t>LD204180</t>
  </si>
  <si>
    <t>Vicente Farias</t>
  </si>
  <si>
    <t>829.743.501-60</t>
  </si>
  <si>
    <t>LD163491</t>
  </si>
  <si>
    <t>Diego Pinto</t>
  </si>
  <si>
    <t>60374958238</t>
  </si>
  <si>
    <t>603.749.582-38</t>
  </si>
  <si>
    <t>LD196126</t>
  </si>
  <si>
    <t>Vitor Gabriel Campos</t>
  </si>
  <si>
    <t>912.768.304-40</t>
  </si>
  <si>
    <t>LD153035</t>
  </si>
  <si>
    <t>Marcela Lopes</t>
  </si>
  <si>
    <t>968.402.715-01</t>
  </si>
  <si>
    <t>LD315173</t>
  </si>
  <si>
    <t>91270865340</t>
  </si>
  <si>
    <t>912.708.653-40</t>
  </si>
  <si>
    <t>LD952547</t>
  </si>
  <si>
    <t>Srta. Maitê Nogueira</t>
  </si>
  <si>
    <t>629.317.580-86</t>
  </si>
  <si>
    <t>LD102973</t>
  </si>
  <si>
    <t>Daniel da Mata</t>
  </si>
  <si>
    <t>57062834947</t>
  </si>
  <si>
    <t>570.628.349-47</t>
  </si>
  <si>
    <t>LD362829</t>
  </si>
  <si>
    <t>Maria Eduarda Santos</t>
  </si>
  <si>
    <t>769.358.402-10</t>
  </si>
  <si>
    <t>LD115582</t>
  </si>
  <si>
    <t>Vitor Hugo das Neves</t>
  </si>
  <si>
    <t>40917263561</t>
  </si>
  <si>
    <t>409.172.635-61</t>
  </si>
  <si>
    <t>LD116547</t>
  </si>
  <si>
    <t>Ana Sophia Correia</t>
  </si>
  <si>
    <t>48590316793</t>
  </si>
  <si>
    <t>485.903.167-93</t>
  </si>
  <si>
    <t>LD651640</t>
  </si>
  <si>
    <t>Sophia Farias</t>
  </si>
  <si>
    <t>40726839574</t>
  </si>
  <si>
    <t>407.268.395-74</t>
  </si>
  <si>
    <t>LD638169</t>
  </si>
  <si>
    <t>Dra. Olivia Monteiro</t>
  </si>
  <si>
    <t>962.415.803-70</t>
  </si>
  <si>
    <t>LD862569</t>
  </si>
  <si>
    <t>Noah Teixeira</t>
  </si>
  <si>
    <t>254.976.031-06</t>
  </si>
  <si>
    <t>LD580292</t>
  </si>
  <si>
    <t>Pietro Costela</t>
  </si>
  <si>
    <t>239.571.840-88</t>
  </si>
  <si>
    <t>LD546980</t>
  </si>
  <si>
    <t>Emanuelly Peixoto</t>
  </si>
  <si>
    <t>671.503.248-35</t>
  </si>
  <si>
    <t>LD184714</t>
  </si>
  <si>
    <t>Giovanna Almeida</t>
  </si>
  <si>
    <t>17560438920</t>
  </si>
  <si>
    <t>175.604.389-20</t>
  </si>
  <si>
    <t>LD754644</t>
  </si>
  <si>
    <t>Luiz Felipe Fogaça</t>
  </si>
  <si>
    <t>549.861.370-93</t>
  </si>
  <si>
    <t>LD726410</t>
  </si>
  <si>
    <t>Pedro Lucas Ramos</t>
  </si>
  <si>
    <t>012.369.547-34</t>
  </si>
  <si>
    <t>LD203996</t>
  </si>
  <si>
    <t>Fernanda da Cruz</t>
  </si>
  <si>
    <t>415.206.873-62</t>
  </si>
  <si>
    <t>LD855855</t>
  </si>
  <si>
    <t>Thiago Dias</t>
  </si>
  <si>
    <t>618.073.942-04</t>
  </si>
  <si>
    <t>LD455395</t>
  </si>
  <si>
    <t>Laura Alves</t>
  </si>
  <si>
    <t>051.637.892-95</t>
  </si>
  <si>
    <t>Brisa 7</t>
  </si>
  <si>
    <t>LD427730</t>
  </si>
  <si>
    <t>Thomas Cavalcanti</t>
  </si>
  <si>
    <t>15829376059</t>
  </si>
  <si>
    <t>158.293.760-59</t>
  </si>
  <si>
    <t>LD820184</t>
  </si>
  <si>
    <t>Maria Fernanda Alves</t>
  </si>
  <si>
    <t>927.851.436-55</t>
  </si>
  <si>
    <t>LD552855</t>
  </si>
  <si>
    <t>Bryan Castro</t>
  </si>
  <si>
    <t>21693780577</t>
  </si>
  <si>
    <t>216.937.805-77</t>
  </si>
  <si>
    <t>LD162894</t>
  </si>
  <si>
    <t>Felipe Vieira</t>
  </si>
  <si>
    <t>940.652.187-30</t>
  </si>
  <si>
    <t>LD228168</t>
  </si>
  <si>
    <t>Evelyn Barros</t>
  </si>
  <si>
    <t>37601982440</t>
  </si>
  <si>
    <t>376.019.824-40</t>
  </si>
  <si>
    <t>LD401601</t>
  </si>
  <si>
    <t>Sr. João Pedro Peixoto</t>
  </si>
  <si>
    <t>582.630.479-00</t>
  </si>
  <si>
    <t>LD323072</t>
  </si>
  <si>
    <t>Enrico Barbosa</t>
  </si>
  <si>
    <t>06458731280</t>
  </si>
  <si>
    <t>064.587.312-80</t>
  </si>
  <si>
    <t>LD986438</t>
  </si>
  <si>
    <t>Maria Alice Teixeira</t>
  </si>
  <si>
    <t>924.086.173-40</t>
  </si>
  <si>
    <t>LD337144</t>
  </si>
  <si>
    <t>Maysa Campos</t>
  </si>
  <si>
    <t>463.018.795-20</t>
  </si>
  <si>
    <t>LD807764</t>
  </si>
  <si>
    <t>Ana Carolina Lima</t>
  </si>
  <si>
    <t>210.587.639-03</t>
  </si>
  <si>
    <t>LD130359</t>
  </si>
  <si>
    <t>25987041694</t>
  </si>
  <si>
    <t>259.870.416-94</t>
  </si>
  <si>
    <t>LD468074</t>
  </si>
  <si>
    <t>Ana Clara Ferreira</t>
  </si>
  <si>
    <t>91734208678</t>
  </si>
  <si>
    <t>917.342.086-78</t>
  </si>
  <si>
    <t>LD520252</t>
  </si>
  <si>
    <t>Fernando Cavalcanti</t>
  </si>
  <si>
    <t>91354067207</t>
  </si>
  <si>
    <t>913.540.672-07</t>
  </si>
  <si>
    <t>LD882354</t>
  </si>
  <si>
    <t>Isabelly Nogueira</t>
  </si>
  <si>
    <t>290.453.167-06</t>
  </si>
  <si>
    <t>LD265055</t>
  </si>
  <si>
    <t>Sra. Emanuelly Cardoso</t>
  </si>
  <si>
    <t>95148076267</t>
  </si>
  <si>
    <t>951.480.762-67</t>
  </si>
  <si>
    <t>LD189083</t>
  </si>
  <si>
    <t>Lucas Gabriel Gomes</t>
  </si>
  <si>
    <t>451.930.267-61</t>
  </si>
  <si>
    <t>LD806707</t>
  </si>
  <si>
    <t>75961480267</t>
  </si>
  <si>
    <t>759.614.802-67</t>
  </si>
  <si>
    <t>LD736565</t>
  </si>
  <si>
    <t>Enzo Viana</t>
  </si>
  <si>
    <t>50987326465</t>
  </si>
  <si>
    <t>509.873.264-65</t>
  </si>
  <si>
    <t>LD461939</t>
  </si>
  <si>
    <t>Kaique Rodrigues</t>
  </si>
  <si>
    <t>02496138750</t>
  </si>
  <si>
    <t>024.961.387-50</t>
  </si>
  <si>
    <t>LD610271</t>
  </si>
  <si>
    <t>Srta. Maria Luiza Castro</t>
  </si>
  <si>
    <t>826.045.713-07</t>
  </si>
  <si>
    <t>LD728437</t>
  </si>
  <si>
    <t>Francisco Lopes</t>
  </si>
  <si>
    <t>65832109759</t>
  </si>
  <si>
    <t>658.321.097-59</t>
  </si>
  <si>
    <t>LD901280</t>
  </si>
  <si>
    <t>Ana Lívia da Costa</t>
  </si>
  <si>
    <t>12738605940</t>
  </si>
  <si>
    <t>127.386.059-40</t>
  </si>
  <si>
    <t>LD883301</t>
  </si>
  <si>
    <t>Levi Lima</t>
  </si>
  <si>
    <t>74109263506</t>
  </si>
  <si>
    <t>741.092.635-06</t>
  </si>
  <si>
    <t>LD624563</t>
  </si>
  <si>
    <t>Theo Farias</t>
  </si>
  <si>
    <t>560.928.173-30</t>
  </si>
  <si>
    <t>LD516359</t>
  </si>
  <si>
    <t>Maria Eduarda Vieira</t>
  </si>
  <si>
    <t>317.086.492-04</t>
  </si>
  <si>
    <t>LD181644</t>
  </si>
  <si>
    <t>149.067.352-07</t>
  </si>
  <si>
    <t>LD843963</t>
  </si>
  <si>
    <t>Sr. Augusto Rezende</t>
  </si>
  <si>
    <t>026.753.491-43</t>
  </si>
  <si>
    <t>LD440544</t>
  </si>
  <si>
    <t>Camila Moraes</t>
  </si>
  <si>
    <t>32489106589</t>
  </si>
  <si>
    <t>324.891.065-89</t>
  </si>
  <si>
    <t>LD479430</t>
  </si>
  <si>
    <t>Luiz Felipe Oliveira</t>
  </si>
  <si>
    <t>87092314631</t>
  </si>
  <si>
    <t>870.923.146-31</t>
  </si>
  <si>
    <t>LD717476</t>
  </si>
  <si>
    <t>Elisa Viana</t>
  </si>
  <si>
    <t>06534827107</t>
  </si>
  <si>
    <t>065.348.271-07</t>
  </si>
  <si>
    <t>LD456005</t>
  </si>
  <si>
    <t>Diego Araújo</t>
  </si>
  <si>
    <t>53062789140</t>
  </si>
  <si>
    <t>530.627.891-40</t>
  </si>
  <si>
    <t>LD763984</t>
  </si>
  <si>
    <t>Daniela da Cruz</t>
  </si>
  <si>
    <t>13824096722</t>
  </si>
  <si>
    <t>138.240.967-22</t>
  </si>
  <si>
    <t>LD862712</t>
  </si>
  <si>
    <t>Davi Duarte</t>
  </si>
  <si>
    <t>958.402.167-20</t>
  </si>
  <si>
    <t>LD207798</t>
  </si>
  <si>
    <t>Maria Cecília Lima</t>
  </si>
  <si>
    <t>27086145335</t>
  </si>
  <si>
    <t>270.861.453-35</t>
  </si>
  <si>
    <t>LD897143</t>
  </si>
  <si>
    <t>Sr. Cauê Mendes</t>
  </si>
  <si>
    <t>250.714.863-26</t>
  </si>
  <si>
    <t>LD586490</t>
  </si>
  <si>
    <t>Dr. Nicolas Castro</t>
  </si>
  <si>
    <t>549.163.827-73</t>
  </si>
  <si>
    <t>LD691912</t>
  </si>
  <si>
    <t>Dra. Olivia Moraes</t>
  </si>
  <si>
    <t>326.857.104-26</t>
  </si>
  <si>
    <t>LD757685</t>
  </si>
  <si>
    <t>Julia Azevedo</t>
  </si>
  <si>
    <t>25384076135</t>
  </si>
  <si>
    <t>253.840.761-35</t>
  </si>
  <si>
    <t>LD762055</t>
  </si>
  <si>
    <t>Erick Monteiro</t>
  </si>
  <si>
    <t>52169830740</t>
  </si>
  <si>
    <t>521.698.307-40</t>
  </si>
  <si>
    <t>LD631981</t>
  </si>
  <si>
    <t>Ryan Campos</t>
  </si>
  <si>
    <t>54190637270</t>
  </si>
  <si>
    <t>541.906.372-70</t>
  </si>
  <si>
    <t>LD486649</t>
  </si>
  <si>
    <t>Luna Nascimento</t>
  </si>
  <si>
    <t>586.034.179-20</t>
  </si>
  <si>
    <t>LD722937</t>
  </si>
  <si>
    <t>Gustavo Aragão</t>
  </si>
  <si>
    <t>541.027.369-99</t>
  </si>
  <si>
    <t>LD571579</t>
  </si>
  <si>
    <t>Joaquim Rocha</t>
  </si>
  <si>
    <t>062.431.958-05</t>
  </si>
  <si>
    <t>LD734394</t>
  </si>
  <si>
    <t>Juan Vieira</t>
  </si>
  <si>
    <t>84921075611</t>
  </si>
  <si>
    <t>849.210.756-11</t>
  </si>
  <si>
    <t>LD208529</t>
  </si>
  <si>
    <t>João Guilherme Almeida</t>
  </si>
  <si>
    <t>614.957.302-80</t>
  </si>
  <si>
    <t>LD629057</t>
  </si>
  <si>
    <t>Davi Luiz Gonçalves</t>
  </si>
  <si>
    <t>179.235.468-19</t>
  </si>
  <si>
    <t>LD560767</t>
  </si>
  <si>
    <t>Maria Cecília Nogueira</t>
  </si>
  <si>
    <t>256.913.087-77</t>
  </si>
  <si>
    <t>LD396635</t>
  </si>
  <si>
    <t>Enzo Gabriel Fogaça</t>
  </si>
  <si>
    <t>90265847176</t>
  </si>
  <si>
    <t>902.658.471-76</t>
  </si>
  <si>
    <t>LD154909</t>
  </si>
  <si>
    <t>Júlia Dias</t>
  </si>
  <si>
    <t>806.743.529-47</t>
  </si>
  <si>
    <t>LD199096</t>
  </si>
  <si>
    <t>Bruno Novaes</t>
  </si>
  <si>
    <t>082.931.467-96</t>
  </si>
  <si>
    <t>LD992931</t>
  </si>
  <si>
    <t>Kevin Cardoso</t>
  </si>
  <si>
    <t>632.947.580-65</t>
  </si>
  <si>
    <t>LD185461</t>
  </si>
  <si>
    <t>Maria Eduarda Novaes</t>
  </si>
  <si>
    <t>854.730.961-66</t>
  </si>
  <si>
    <t>LD787923</t>
  </si>
  <si>
    <t>Miguel Castro</t>
  </si>
  <si>
    <t>194.672.385-19</t>
  </si>
  <si>
    <t>LD188834</t>
  </si>
  <si>
    <t>Maria Julia Ribeiro</t>
  </si>
  <si>
    <t>02431769534</t>
  </si>
  <si>
    <t>024.317.695-34</t>
  </si>
  <si>
    <t>LD234001</t>
  </si>
  <si>
    <t>Sr. Benjamin Ribeiro</t>
  </si>
  <si>
    <t>450.268.917-30</t>
  </si>
  <si>
    <t>LD197992</t>
  </si>
  <si>
    <t>Daniel Jesus</t>
  </si>
  <si>
    <t>754.839.061-01</t>
  </si>
  <si>
    <t>LD480211</t>
  </si>
  <si>
    <t>Sarah Rodrigues</t>
  </si>
  <si>
    <t>85041723923</t>
  </si>
  <si>
    <t>850.417.239-23</t>
  </si>
  <si>
    <t>LD609892</t>
  </si>
  <si>
    <t>Maria Fernanda Araújo</t>
  </si>
  <si>
    <t>23860154753</t>
  </si>
  <si>
    <t>238.601.547-53</t>
  </si>
  <si>
    <t>LD410160</t>
  </si>
  <si>
    <t>Srta. Emilly Moura</t>
  </si>
  <si>
    <t>786.509.132-02</t>
  </si>
  <si>
    <t>LD139581</t>
  </si>
  <si>
    <t>Camila Ribeiro</t>
  </si>
  <si>
    <t>985.216.073-77</t>
  </si>
  <si>
    <t>LD726258</t>
  </si>
  <si>
    <t>Davi Lucca da Rosa</t>
  </si>
  <si>
    <t>39825706465</t>
  </si>
  <si>
    <t>398.257.064-65</t>
  </si>
  <si>
    <t>LD948343</t>
  </si>
  <si>
    <t>Pedro da Luz</t>
  </si>
  <si>
    <t>903.246.517-16</t>
  </si>
  <si>
    <t>LD481995</t>
  </si>
  <si>
    <t>Dr. Fernando da Rosa</t>
  </si>
  <si>
    <t>746.805.231-07</t>
  </si>
  <si>
    <t>LD398768</t>
  </si>
  <si>
    <t>Ana Lívia Rocha</t>
  </si>
  <si>
    <t>154.826.739-28</t>
  </si>
  <si>
    <t>LD424500</t>
  </si>
  <si>
    <t>Luiz Henrique Duarte</t>
  </si>
  <si>
    <t>065.719.382-86</t>
  </si>
  <si>
    <t>LD811256</t>
  </si>
  <si>
    <t>Juliana Nogueira</t>
  </si>
  <si>
    <t>035.761.824-62</t>
  </si>
  <si>
    <t>LD915922</t>
  </si>
  <si>
    <t>Davi Luiz da Mata</t>
  </si>
  <si>
    <t>41785269364</t>
  </si>
  <si>
    <t>417.852.693-64</t>
  </si>
  <si>
    <t>LD940181</t>
  </si>
  <si>
    <t>Enzo Gabriel Moraes</t>
  </si>
  <si>
    <t>346.725.891-37</t>
  </si>
  <si>
    <t>LD603935</t>
  </si>
  <si>
    <t>Lucas Barros</t>
  </si>
  <si>
    <t>917.840.326-03</t>
  </si>
  <si>
    <t>LD992512</t>
  </si>
  <si>
    <t>Davi Lucas Cunha</t>
  </si>
  <si>
    <t>35649128006</t>
  </si>
  <si>
    <t>356.491.280-06</t>
  </si>
  <si>
    <t>LD571145</t>
  </si>
  <si>
    <t>Luigi Melo</t>
  </si>
  <si>
    <t>250.739.164-25</t>
  </si>
  <si>
    <t>LD332823</t>
  </si>
  <si>
    <t>Cauê Pinto</t>
  </si>
  <si>
    <t>698.370.425-83</t>
  </si>
  <si>
    <t>LD155843</t>
  </si>
  <si>
    <t>Sr. Igor Souza</t>
  </si>
  <si>
    <t>30856142905</t>
  </si>
  <si>
    <t>308.561.429-05</t>
  </si>
  <si>
    <t>LD493124</t>
  </si>
  <si>
    <t>Calebe Nogueira</t>
  </si>
  <si>
    <t>84206791350</t>
  </si>
  <si>
    <t>842.067.913-50</t>
  </si>
  <si>
    <t>LD929822</t>
  </si>
  <si>
    <t>Beatriz Mendes</t>
  </si>
  <si>
    <t>75319064225</t>
  </si>
  <si>
    <t>753.190.642-25</t>
  </si>
  <si>
    <t>LD971482</t>
  </si>
  <si>
    <t>Srta. Maria Sophia Santos</t>
  </si>
  <si>
    <t>21576039803</t>
  </si>
  <si>
    <t>215.760.398-03</t>
  </si>
  <si>
    <t>LD105506</t>
  </si>
  <si>
    <t>Mariane Barros</t>
  </si>
  <si>
    <t>901.586.472-11</t>
  </si>
  <si>
    <t>LD675462</t>
  </si>
  <si>
    <t>Marcos Vinicius Fernandes</t>
  </si>
  <si>
    <t>723.560.814-53</t>
  </si>
  <si>
    <t>LD913875</t>
  </si>
  <si>
    <t>Emanuelly Cunha</t>
  </si>
  <si>
    <t>61820534960</t>
  </si>
  <si>
    <t>618.205.349-60</t>
  </si>
  <si>
    <t>LD540218</t>
  </si>
  <si>
    <t>Luiz Henrique da Paz</t>
  </si>
  <si>
    <t>564.107.398-93</t>
  </si>
  <si>
    <t>LD977330</t>
  </si>
  <si>
    <t>Alexandre Alves</t>
  </si>
  <si>
    <t>197.804.523-97</t>
  </si>
  <si>
    <t>LD640410</t>
  </si>
  <si>
    <t>Pedro Dias</t>
  </si>
  <si>
    <t>748.305.196-57</t>
  </si>
  <si>
    <t>LD101640</t>
  </si>
  <si>
    <t>Gabrielly Pereira</t>
  </si>
  <si>
    <t>190.785.243-32</t>
  </si>
  <si>
    <t>LD796643</t>
  </si>
  <si>
    <t>Thomas Carvalho</t>
  </si>
  <si>
    <t>592.038.417-41</t>
  </si>
  <si>
    <t>LD651613</t>
  </si>
  <si>
    <t>Yasmin Peixoto</t>
  </si>
  <si>
    <t>219.560.843-98</t>
  </si>
  <si>
    <t>LD121322</t>
  </si>
  <si>
    <t>Luana Pires</t>
  </si>
  <si>
    <t>26540138717</t>
  </si>
  <si>
    <t>265.401.387-17</t>
  </si>
  <si>
    <t>LD491435</t>
  </si>
  <si>
    <t>Laura Barbosa</t>
  </si>
  <si>
    <t>14507892341</t>
  </si>
  <si>
    <t>145.078.923-41</t>
  </si>
  <si>
    <t>LD352838</t>
  </si>
  <si>
    <t>Olivia Castro</t>
  </si>
  <si>
    <t>637.258.190-68</t>
  </si>
  <si>
    <t>LD893435</t>
  </si>
  <si>
    <t>Bruna Santos</t>
  </si>
  <si>
    <t>79203815414</t>
  </si>
  <si>
    <t>792.038.154-14</t>
  </si>
  <si>
    <t>LD953025</t>
  </si>
  <si>
    <t>Clarice Vieira</t>
  </si>
  <si>
    <t>693.075.481-10</t>
  </si>
  <si>
    <t>LD829168</t>
  </si>
  <si>
    <t>Sr. Luiz Felipe Aragão</t>
  </si>
  <si>
    <t>16804573900</t>
  </si>
  <si>
    <t>168.045.739-00</t>
  </si>
  <si>
    <t>LD850827</t>
  </si>
  <si>
    <t>Maria Eduarda da Rocha</t>
  </si>
  <si>
    <t>758.601.342-07</t>
  </si>
  <si>
    <t>LD145934</t>
  </si>
  <si>
    <t>Isabelly Porto</t>
  </si>
  <si>
    <t>193.025.478-41</t>
  </si>
  <si>
    <t>LD640418</t>
  </si>
  <si>
    <t>Augusto da Cunha</t>
  </si>
  <si>
    <t>72608419585</t>
  </si>
  <si>
    <t>726.084.195-85</t>
  </si>
  <si>
    <t>LD138399</t>
  </si>
  <si>
    <t>Clara Ramos</t>
  </si>
  <si>
    <t>351.690.472-07</t>
  </si>
  <si>
    <t>LD918771</t>
  </si>
  <si>
    <t>Lívia Cunha</t>
  </si>
  <si>
    <t>70843652900</t>
  </si>
  <si>
    <t>708.436.529-00</t>
  </si>
  <si>
    <t>LD938171</t>
  </si>
  <si>
    <t>Camila Costela</t>
  </si>
  <si>
    <t>16543798246</t>
  </si>
  <si>
    <t>165.437.982-46</t>
  </si>
  <si>
    <t>LD505426</t>
  </si>
  <si>
    <t>Levi Cunha</t>
  </si>
  <si>
    <t>26485793038</t>
  </si>
  <si>
    <t>264.857.930-38</t>
  </si>
  <si>
    <t>LD485191</t>
  </si>
  <si>
    <t>Pedro Henrique Gonçalves</t>
  </si>
  <si>
    <t>528.467.019-11</t>
  </si>
  <si>
    <t>LD182760</t>
  </si>
  <si>
    <t>Natália Peixoto</t>
  </si>
  <si>
    <t>84670953184</t>
  </si>
  <si>
    <t>846.709.531-84</t>
  </si>
  <si>
    <t>LD408036</t>
  </si>
  <si>
    <t>Raul Caldeira</t>
  </si>
  <si>
    <t>34275610970</t>
  </si>
  <si>
    <t>342.756.109-70</t>
  </si>
  <si>
    <t>LD421384</t>
  </si>
  <si>
    <t>Alícia Moraes</t>
  </si>
  <si>
    <t>71356490875</t>
  </si>
  <si>
    <t>713.564.908-75</t>
  </si>
  <si>
    <t>LD468623</t>
  </si>
  <si>
    <t>Ana Beatriz Nascimento</t>
  </si>
  <si>
    <t>69540728185</t>
  </si>
  <si>
    <t>695.407.281-85</t>
  </si>
  <si>
    <t>LD556068</t>
  </si>
  <si>
    <t>Pedro Miguel Moura</t>
  </si>
  <si>
    <t>98365124033</t>
  </si>
  <si>
    <t>983.651.240-33</t>
  </si>
  <si>
    <t>LD803787</t>
  </si>
  <si>
    <t>Diego da Luz</t>
  </si>
  <si>
    <t>816.032.475-80</t>
  </si>
  <si>
    <t>LD132653</t>
  </si>
  <si>
    <t>Alexandre Melo</t>
  </si>
  <si>
    <t>72018495658</t>
  </si>
  <si>
    <t>720.184.956-58</t>
  </si>
  <si>
    <t>LD232361</t>
  </si>
  <si>
    <t>Maria Clara Moraes</t>
  </si>
  <si>
    <t>15394067252</t>
  </si>
  <si>
    <t>153.940.672-52</t>
  </si>
  <si>
    <t>LD501451</t>
  </si>
  <si>
    <t>Sr. Enrico Melo</t>
  </si>
  <si>
    <t>594.178.320-50</t>
  </si>
  <si>
    <t>LD488984</t>
  </si>
  <si>
    <t>Isabel Porto</t>
  </si>
  <si>
    <t>39052871612</t>
  </si>
  <si>
    <t>390.528.716-12</t>
  </si>
  <si>
    <t>LD655178</t>
  </si>
  <si>
    <t>Sra. Alice Silveira</t>
  </si>
  <si>
    <t>58730216940</t>
  </si>
  <si>
    <t>587.302.169-40</t>
  </si>
  <si>
    <t>LD218959</t>
  </si>
  <si>
    <t>Vitor Teixeira</t>
  </si>
  <si>
    <t>80175639221</t>
  </si>
  <si>
    <t>801.756.392-21</t>
  </si>
  <si>
    <t>LD688956</t>
  </si>
  <si>
    <t>Dra. Stephany Pinto</t>
  </si>
  <si>
    <t>12035876435</t>
  </si>
  <si>
    <t>120.358.764-35</t>
  </si>
  <si>
    <t>LD324993</t>
  </si>
  <si>
    <t>Fernando Cardoso</t>
  </si>
  <si>
    <t>934.865.712-73</t>
  </si>
  <si>
    <t>LD228594</t>
  </si>
  <si>
    <t>Nicole Costa</t>
  </si>
  <si>
    <t>80165492333</t>
  </si>
  <si>
    <t>801.654.923-33</t>
  </si>
  <si>
    <t>LD192055</t>
  </si>
  <si>
    <t>Ana Lívia Gonçalves</t>
  </si>
  <si>
    <t>419.635.720-25</t>
  </si>
  <si>
    <t>LD464301</t>
  </si>
  <si>
    <t>Luiz Otávio das Neves</t>
  </si>
  <si>
    <t>264.519.703-52</t>
  </si>
  <si>
    <t>LD992717</t>
  </si>
  <si>
    <t>Alexandre Novaes</t>
  </si>
  <si>
    <t>89127653021</t>
  </si>
  <si>
    <t>891.276.530-21</t>
  </si>
  <si>
    <t>LD932250</t>
  </si>
  <si>
    <t>Enzo Gabriel Fernandes</t>
  </si>
  <si>
    <t>31254097643</t>
  </si>
  <si>
    <t>312.540.976-43</t>
  </si>
  <si>
    <t>LD348235</t>
  </si>
  <si>
    <t>Ana Clara Fernandes</t>
  </si>
  <si>
    <t>137.269.408-04</t>
  </si>
  <si>
    <t>LD486831</t>
  </si>
  <si>
    <t>Diogo Lopes</t>
  </si>
  <si>
    <t>79548216337</t>
  </si>
  <si>
    <t>795.482.163-37</t>
  </si>
  <si>
    <t>LD190403</t>
  </si>
  <si>
    <t>Dr. Davi Luiz Almeida</t>
  </si>
  <si>
    <t>53896721003</t>
  </si>
  <si>
    <t>538.967.210-03</t>
  </si>
  <si>
    <t>LD651231</t>
  </si>
  <si>
    <t>Sra. Luana Rezende</t>
  </si>
  <si>
    <t>75439012850</t>
  </si>
  <si>
    <t>754.390.128-50</t>
  </si>
  <si>
    <t>LD231414</t>
  </si>
  <si>
    <t>Daniel Teixeira</t>
  </si>
  <si>
    <t>341.506.827-71</t>
  </si>
  <si>
    <t>LD813145</t>
  </si>
  <si>
    <t>Clara Azevedo</t>
  </si>
  <si>
    <t>847.512.306-62</t>
  </si>
  <si>
    <t>LD290802</t>
  </si>
  <si>
    <t>Lívia Silva</t>
  </si>
  <si>
    <t>165.409.827-20</t>
  </si>
  <si>
    <t>LD971776</t>
  </si>
  <si>
    <t>Davi da Conceição</t>
  </si>
  <si>
    <t>75013694299</t>
  </si>
  <si>
    <t>750.136.942-99</t>
  </si>
  <si>
    <t>LD438334</t>
  </si>
  <si>
    <t>Raul da Rocha</t>
  </si>
  <si>
    <t>856.370.421-44</t>
  </si>
  <si>
    <t>LD987025</t>
  </si>
  <si>
    <t>Dra. Maysa Freitas</t>
  </si>
  <si>
    <t>48235679000</t>
  </si>
  <si>
    <t>482.356.790-00</t>
  </si>
  <si>
    <t>LD231250</t>
  </si>
  <si>
    <t>João Miguel das Neves</t>
  </si>
  <si>
    <t>865.923.470-74</t>
  </si>
  <si>
    <t>LD772124</t>
  </si>
  <si>
    <t>Leonardo da Cunha</t>
  </si>
  <si>
    <t>31486579000</t>
  </si>
  <si>
    <t>314.865.790-00</t>
  </si>
  <si>
    <t>LD790731</t>
  </si>
  <si>
    <t>Kaique Melo</t>
  </si>
  <si>
    <t>178.394.526-55</t>
  </si>
  <si>
    <t>LD690996</t>
  </si>
  <si>
    <t>Augusto Costela</t>
  </si>
  <si>
    <t>92854016785</t>
  </si>
  <si>
    <t>928.540.167-85</t>
  </si>
  <si>
    <t>LD772612</t>
  </si>
  <si>
    <t>Luiz Henrique Nunes</t>
  </si>
  <si>
    <t>904.813.756-00</t>
  </si>
  <si>
    <t>LD748133</t>
  </si>
  <si>
    <t>Maria Vitória da Conceição</t>
  </si>
  <si>
    <t>924.158.370-32</t>
  </si>
  <si>
    <t>LD403742</t>
  </si>
  <si>
    <t>Joana Costela</t>
  </si>
  <si>
    <t>103.467.928-78</t>
  </si>
  <si>
    <t>LD411882</t>
  </si>
  <si>
    <t>Mariana Azevedo</t>
  </si>
  <si>
    <t>89103762440</t>
  </si>
  <si>
    <t>891.037.624-40</t>
  </si>
  <si>
    <t>LD535810</t>
  </si>
  <si>
    <t>Isadora Barbosa</t>
  </si>
  <si>
    <t>86397524000</t>
  </si>
  <si>
    <t>863.975.240-00</t>
  </si>
  <si>
    <t>LD427766</t>
  </si>
  <si>
    <t>Fernando Rocha</t>
  </si>
  <si>
    <t>314.769.205-16</t>
  </si>
  <si>
    <t>LD237118</t>
  </si>
  <si>
    <t>Srta. Maria Julia Silveira</t>
  </si>
  <si>
    <t>180.359.246-05</t>
  </si>
  <si>
    <t>LD353480</t>
  </si>
  <si>
    <t>Kevin Fernandes</t>
  </si>
  <si>
    <t>48692753173</t>
  </si>
  <si>
    <t>486.927.531-73</t>
  </si>
  <si>
    <t>LD201514</t>
  </si>
  <si>
    <t>87294531609</t>
  </si>
  <si>
    <t>872.945.316-09</t>
  </si>
  <si>
    <t>LD360330</t>
  </si>
  <si>
    <t>Dr. Vicente Cunha</t>
  </si>
  <si>
    <t>137.659.084-01</t>
  </si>
  <si>
    <t>LD856157</t>
  </si>
  <si>
    <t>Sr. Davi Lucca Nogueira</t>
  </si>
  <si>
    <t>01234695898</t>
  </si>
  <si>
    <t>012.346.958-98</t>
  </si>
  <si>
    <t>LD589491</t>
  </si>
  <si>
    <t>Sr. Otávio Azevedo</t>
  </si>
  <si>
    <t>69457012399</t>
  </si>
  <si>
    <t>694.570.123-99</t>
  </si>
  <si>
    <t>LD512344</t>
  </si>
  <si>
    <t>Eduardo Silveira</t>
  </si>
  <si>
    <t>430.695.127-80</t>
  </si>
  <si>
    <t>LD151021</t>
  </si>
  <si>
    <t>João Guilherme Duarte</t>
  </si>
  <si>
    <t>02183657995</t>
  </si>
  <si>
    <t>021.836.579-95</t>
  </si>
  <si>
    <t>LD399628</t>
  </si>
  <si>
    <t>Vicente Campos</t>
  </si>
  <si>
    <t>184.576.293-28</t>
  </si>
  <si>
    <t>LD377319</t>
  </si>
  <si>
    <t>Caroline Ramos</t>
  </si>
  <si>
    <t>604.137.825-90</t>
  </si>
  <si>
    <t>LD520040</t>
  </si>
  <si>
    <t>Joaquim Correia</t>
  </si>
  <si>
    <t>84953670175</t>
  </si>
  <si>
    <t>849.536.701-75</t>
  </si>
  <si>
    <t>LD402620</t>
  </si>
  <si>
    <t>Nina Ramos</t>
  </si>
  <si>
    <t>90782635474</t>
  </si>
  <si>
    <t>907.826.354-74</t>
  </si>
  <si>
    <t>LD965401</t>
  </si>
  <si>
    <t>Srta. Yasmin Lopes</t>
  </si>
  <si>
    <t>650.821.974-01</t>
  </si>
  <si>
    <t>LD201377</t>
  </si>
  <si>
    <t>Sra. Ana Julia Vieira</t>
  </si>
  <si>
    <t>27591460307</t>
  </si>
  <si>
    <t>275.914.603-07</t>
  </si>
  <si>
    <t>LD483366</t>
  </si>
  <si>
    <t>Srta. Eduarda Duarte</t>
  </si>
  <si>
    <t>438.169.207-13</t>
  </si>
  <si>
    <t>LD624369</t>
  </si>
  <si>
    <t>Renan Sales</t>
  </si>
  <si>
    <t>90863241506</t>
  </si>
  <si>
    <t>908.632.415-06</t>
  </si>
  <si>
    <t>LD943019</t>
  </si>
  <si>
    <t>Vitor Hugo Silva</t>
  </si>
  <si>
    <t>46389102542</t>
  </si>
  <si>
    <t>463.891.025-42</t>
  </si>
  <si>
    <t>LD246570</t>
  </si>
  <si>
    <t>Alícia Santos</t>
  </si>
  <si>
    <t>56230481960</t>
  </si>
  <si>
    <t>562.304.819-60</t>
  </si>
  <si>
    <t>LD746447</t>
  </si>
  <si>
    <t>Cecília Nascimento</t>
  </si>
  <si>
    <t>915.246.873-91</t>
  </si>
  <si>
    <t>LD968524</t>
  </si>
  <si>
    <t>527.316.894-55</t>
  </si>
  <si>
    <t>LD597960</t>
  </si>
  <si>
    <t>Carolina Costela</t>
  </si>
  <si>
    <t>931.527.840-23</t>
  </si>
  <si>
    <t>LD536774</t>
  </si>
  <si>
    <t>Srta. Lorena Alves</t>
  </si>
  <si>
    <t>267.154.983-00</t>
  </si>
  <si>
    <t>LD725905</t>
  </si>
  <si>
    <t>Maria Fernanda Barros</t>
  </si>
  <si>
    <t>61208734903</t>
  </si>
  <si>
    <t>612.087.349-03</t>
  </si>
  <si>
    <t>LD338596</t>
  </si>
  <si>
    <t>Sra. Emanuella Moreira</t>
  </si>
  <si>
    <t>584.203.917-60</t>
  </si>
  <si>
    <t>LD759580</t>
  </si>
  <si>
    <t>Milena Teixeira</t>
  </si>
  <si>
    <t>245.978.361-28</t>
  </si>
  <si>
    <t>LD961574</t>
  </si>
  <si>
    <t>João Miguel Gomes</t>
  </si>
  <si>
    <t>728.593.406-29</t>
  </si>
  <si>
    <t>LD300051</t>
  </si>
  <si>
    <t>Sr. Ian Lopes</t>
  </si>
  <si>
    <t>49623751052</t>
  </si>
  <si>
    <t>496.237.510-52</t>
  </si>
  <si>
    <t>LD824042</t>
  </si>
  <si>
    <t>Cauê Duarte</t>
  </si>
  <si>
    <t>41387095684</t>
  </si>
  <si>
    <t>413.870.956-84</t>
  </si>
  <si>
    <t>LD989587</t>
  </si>
  <si>
    <t>Antônio Novaes</t>
  </si>
  <si>
    <t>819.247.065-20</t>
  </si>
  <si>
    <t>LD317413</t>
  </si>
  <si>
    <t>Felipe Gomes</t>
  </si>
  <si>
    <t>728.410.695-67</t>
  </si>
  <si>
    <t>LD495129</t>
  </si>
  <si>
    <t>Dr. Lucas Gabriel Viana</t>
  </si>
  <si>
    <t>48715962300</t>
  </si>
  <si>
    <t>487.159.623-00</t>
  </si>
  <si>
    <t>LD672808</t>
  </si>
  <si>
    <t>Dra. Maria Fernanda Pinto</t>
  </si>
  <si>
    <t>89423710514</t>
  </si>
  <si>
    <t>894.237.105-14</t>
  </si>
  <si>
    <t>LD739711</t>
  </si>
  <si>
    <t>Dr. Francisco da Costa</t>
  </si>
  <si>
    <t>40891265767</t>
  </si>
  <si>
    <t>408.912.657-67</t>
  </si>
  <si>
    <t>LD412999</t>
  </si>
  <si>
    <t>Sophia Rocha</t>
  </si>
  <si>
    <t>40672918331</t>
  </si>
  <si>
    <t>406.729.183-31</t>
  </si>
  <si>
    <t>LD839142</t>
  </si>
  <si>
    <t>Maria Eduarda Pinto</t>
  </si>
  <si>
    <t>63259840133</t>
  </si>
  <si>
    <t>632.598.401-33</t>
  </si>
  <si>
    <t>LD465746</t>
  </si>
  <si>
    <t>Marina Duarte</t>
  </si>
  <si>
    <t>849.567.210-30</t>
  </si>
  <si>
    <t>LD401769</t>
  </si>
  <si>
    <t>Diego Cunha</t>
  </si>
  <si>
    <t>41793250804</t>
  </si>
  <si>
    <t>417.932.508-04</t>
  </si>
  <si>
    <t>LD958130</t>
  </si>
  <si>
    <t>Benjamin Teixeira</t>
  </si>
  <si>
    <t>02186735903</t>
  </si>
  <si>
    <t>021.867.359-03</t>
  </si>
  <si>
    <t>LD144109</t>
  </si>
  <si>
    <t>Davi Lucas Alves</t>
  </si>
  <si>
    <t>73582691012</t>
  </si>
  <si>
    <t>735.826.910-12</t>
  </si>
  <si>
    <t>LD787836</t>
  </si>
  <si>
    <t>Vitor Gabriel da Conceição</t>
  </si>
  <si>
    <t>04698317584</t>
  </si>
  <si>
    <t>046.983.175-84</t>
  </si>
  <si>
    <t>LD689318</t>
  </si>
  <si>
    <t>Alana Costa</t>
  </si>
  <si>
    <t>367.150.894-93</t>
  </si>
  <si>
    <t>LD715336</t>
  </si>
  <si>
    <t>Cecília Ribeiro</t>
  </si>
  <si>
    <t>64517089258</t>
  </si>
  <si>
    <t>645.170.892-58</t>
  </si>
  <si>
    <t>LD768933</t>
  </si>
  <si>
    <t>Eduardo Moreira</t>
  </si>
  <si>
    <t>03175829414</t>
  </si>
  <si>
    <t>031.758.294-14</t>
  </si>
  <si>
    <t>LD595351</t>
  </si>
  <si>
    <t>Nathan Costa</t>
  </si>
  <si>
    <t>63074815957</t>
  </si>
  <si>
    <t>630.748.159-57</t>
  </si>
  <si>
    <t>LD265613</t>
  </si>
  <si>
    <t>Luiz Felipe Carvalho</t>
  </si>
  <si>
    <t>95072163407</t>
  </si>
  <si>
    <t>950.721.634-07</t>
  </si>
  <si>
    <t>LD782139</t>
  </si>
  <si>
    <t>Dr. Leonardo da Mota</t>
  </si>
  <si>
    <t>06571298449</t>
  </si>
  <si>
    <t>065.712.984-49</t>
  </si>
  <si>
    <t>LD777273</t>
  </si>
  <si>
    <t>Marcelo Rodrigues</t>
  </si>
  <si>
    <t>32587964083</t>
  </si>
  <si>
    <t>325.879.640-83</t>
  </si>
  <si>
    <t>LD343500</t>
  </si>
  <si>
    <t>Brenda Porto</t>
  </si>
  <si>
    <t>495.308.627-92</t>
  </si>
  <si>
    <t>LD538184</t>
  </si>
  <si>
    <t>Pedro Henrique Moreira</t>
  </si>
  <si>
    <t>935.704.861-84</t>
  </si>
  <si>
    <t>LD926236</t>
  </si>
  <si>
    <t>Brenda Gomes</t>
  </si>
  <si>
    <t>56908473210</t>
  </si>
  <si>
    <t>569.084.732-10</t>
  </si>
  <si>
    <t>LD109717</t>
  </si>
  <si>
    <t>Eduardo Cavalcanti</t>
  </si>
  <si>
    <t>73104852979</t>
  </si>
  <si>
    <t>731.048.529-79</t>
  </si>
  <si>
    <t>LD576419</t>
  </si>
  <si>
    <t>Sr. Otávio Cardoso</t>
  </si>
  <si>
    <t>037.698.512-77</t>
  </si>
  <si>
    <t>LD992400</t>
  </si>
  <si>
    <t>Sr. Paulo Fogaça</t>
  </si>
  <si>
    <t>801.629.754-49</t>
  </si>
  <si>
    <t>LD270387</t>
  </si>
  <si>
    <t>Srta. Maria Alice Nogueira</t>
  </si>
  <si>
    <t>398.451.720-32</t>
  </si>
  <si>
    <t>LD114768</t>
  </si>
  <si>
    <t>761.984.325-64</t>
  </si>
  <si>
    <t>LD894068</t>
  </si>
  <si>
    <t>Luiz Otávio Pires</t>
  </si>
  <si>
    <t>59862347155</t>
  </si>
  <si>
    <t>598.623.471-55</t>
  </si>
  <si>
    <t>LD967161</t>
  </si>
  <si>
    <t>Miguel Viana</t>
  </si>
  <si>
    <t>36429570800</t>
  </si>
  <si>
    <t>364.295.708-00</t>
  </si>
  <si>
    <t>LD293757</t>
  </si>
  <si>
    <t>Alexia Silveira</t>
  </si>
  <si>
    <t>240.915.678-94</t>
  </si>
  <si>
    <t>LD373453</t>
  </si>
  <si>
    <t>Maria Eduarda da Costa</t>
  </si>
  <si>
    <t>10729564894</t>
  </si>
  <si>
    <t>107.295.648-94</t>
  </si>
  <si>
    <t>LD416613</t>
  </si>
  <si>
    <t>Heitor Carvalho</t>
  </si>
  <si>
    <t>963.502.781-86</t>
  </si>
  <si>
    <t>LD477017</t>
  </si>
  <si>
    <t>Dra. Maria Julia Castro</t>
  </si>
  <si>
    <t>940.583.761-39</t>
  </si>
  <si>
    <t>LD421709</t>
  </si>
  <si>
    <t>Kamilly Costa</t>
  </si>
  <si>
    <t>30682471950</t>
  </si>
  <si>
    <t>306.824.719-50</t>
  </si>
  <si>
    <t>LD823821</t>
  </si>
  <si>
    <t>Pietra das Neves</t>
  </si>
  <si>
    <t>20634587153</t>
  </si>
  <si>
    <t>206.345.871-53</t>
  </si>
  <si>
    <t>LD744481</t>
  </si>
  <si>
    <t>Bianca Costela</t>
  </si>
  <si>
    <t>51749038684</t>
  </si>
  <si>
    <t>517.490.386-84</t>
  </si>
  <si>
    <t>LD577079</t>
  </si>
  <si>
    <t>Larissa Costela</t>
  </si>
  <si>
    <t>273.864.190-31</t>
  </si>
  <si>
    <t>LD593699</t>
  </si>
  <si>
    <t>518.936.270-12</t>
  </si>
  <si>
    <t>LD813390</t>
  </si>
  <si>
    <t>Sr. Vitor Lima</t>
  </si>
  <si>
    <t>257.413.069-34</t>
  </si>
  <si>
    <t>LD568449</t>
  </si>
  <si>
    <t>Sr. Vitor Gabriel Cardoso</t>
  </si>
  <si>
    <t>103.492.857-05</t>
  </si>
  <si>
    <t>LD164758</t>
  </si>
  <si>
    <t>Lorena Aragão</t>
  </si>
  <si>
    <t>538.149.276-64</t>
  </si>
  <si>
    <t>LD272529</t>
  </si>
  <si>
    <t>Srta. Olivia Aragão</t>
  </si>
  <si>
    <t>68021794585</t>
  </si>
  <si>
    <t>680.217.945-85</t>
  </si>
  <si>
    <t>LD851742</t>
  </si>
  <si>
    <t>Milena Alves</t>
  </si>
  <si>
    <t>164.582.039-42</t>
  </si>
  <si>
    <t>LD947975</t>
  </si>
  <si>
    <t>Joana Dias</t>
  </si>
  <si>
    <t>68123405960</t>
  </si>
  <si>
    <t>681.234.059-60</t>
  </si>
  <si>
    <t>LD691303</t>
  </si>
  <si>
    <t>Maria Eduarda Aragão</t>
  </si>
  <si>
    <t>03428519779</t>
  </si>
  <si>
    <t>034.285.197-79</t>
  </si>
  <si>
    <t>LD122827</t>
  </si>
  <si>
    <t>Dr. Pedro Lucas Jesus</t>
  </si>
  <si>
    <t>38460295133</t>
  </si>
  <si>
    <t>384.602.951-33</t>
  </si>
  <si>
    <t>LD706403</t>
  </si>
  <si>
    <t>Joaquim Novaes</t>
  </si>
  <si>
    <t>21645783090</t>
  </si>
  <si>
    <t>216.457.830-90</t>
  </si>
  <si>
    <t>LD667451</t>
  </si>
  <si>
    <t>Kevin Lima</t>
  </si>
  <si>
    <t>957.418.620-20</t>
  </si>
  <si>
    <t>LD133276</t>
  </si>
  <si>
    <t>Henrique Souza</t>
  </si>
  <si>
    <t>26954170399</t>
  </si>
  <si>
    <t>269.541.703-99</t>
  </si>
  <si>
    <t>LD492650</t>
  </si>
  <si>
    <t>Sr. Thomas Araújo</t>
  </si>
  <si>
    <t>568.237.104-62</t>
  </si>
  <si>
    <t>LD184148</t>
  </si>
  <si>
    <t>Antônio Fogaça</t>
  </si>
  <si>
    <t>938.150.246-33</t>
  </si>
  <si>
    <t>LD785280</t>
  </si>
  <si>
    <t>Maria Ribeiro</t>
  </si>
  <si>
    <t>526.371.408-44</t>
  </si>
  <si>
    <t>LD654531</t>
  </si>
  <si>
    <t>Sophie Alves</t>
  </si>
  <si>
    <t>46358190270</t>
  </si>
  <si>
    <t>463.581.902-70</t>
  </si>
  <si>
    <t>LD412856</t>
  </si>
  <si>
    <t>Luiza Martins</t>
  </si>
  <si>
    <t>73680492103</t>
  </si>
  <si>
    <t>736.804.921-03</t>
  </si>
  <si>
    <t>LD497700</t>
  </si>
  <si>
    <t>Sofia Teixeira</t>
  </si>
  <si>
    <t>801.369.725-86</t>
  </si>
  <si>
    <t>LD389039</t>
  </si>
  <si>
    <t>Matheus Nogueira</t>
  </si>
  <si>
    <t>80327561408</t>
  </si>
  <si>
    <t>803.275.614-08</t>
  </si>
  <si>
    <t>LD948799</t>
  </si>
  <si>
    <t>827.653.094-00</t>
  </si>
  <si>
    <t>LD316092</t>
  </si>
  <si>
    <t>Pietra Viana</t>
  </si>
  <si>
    <t>26893015470</t>
  </si>
  <si>
    <t>268.930.154-70</t>
  </si>
  <si>
    <t>LD804667</t>
  </si>
  <si>
    <t>Ana Laura Fernandes</t>
  </si>
  <si>
    <t>521.063.897-95</t>
  </si>
  <si>
    <t>LD521805</t>
  </si>
  <si>
    <t>Mariana da Cruz</t>
  </si>
  <si>
    <t>68901257467</t>
  </si>
  <si>
    <t>689.012.574-67</t>
  </si>
  <si>
    <t>LD628373</t>
  </si>
  <si>
    <t>Srta. Kamilly Lima</t>
  </si>
  <si>
    <t>479.510.682-76</t>
  </si>
  <si>
    <t>LD434394</t>
  </si>
  <si>
    <t>André Ramos</t>
  </si>
  <si>
    <t>790.431.625-07</t>
  </si>
  <si>
    <t>LD416422</t>
  </si>
  <si>
    <t>Laura Cardoso</t>
  </si>
  <si>
    <t>903.426.185-98</t>
  </si>
  <si>
    <t>LD533649</t>
  </si>
  <si>
    <t>Pietro Monteiro</t>
  </si>
  <si>
    <t>02954681730</t>
  </si>
  <si>
    <t>029.546.817-30</t>
  </si>
  <si>
    <t>LD283640</t>
  </si>
  <si>
    <t>249.358.706-56</t>
  </si>
  <si>
    <t>LD461145</t>
  </si>
  <si>
    <t>Igor Moura</t>
  </si>
  <si>
    <t>619.740.285-85</t>
  </si>
  <si>
    <t>LD830132</t>
  </si>
  <si>
    <t>Sra. Helena Souza</t>
  </si>
  <si>
    <t>68351407208</t>
  </si>
  <si>
    <t>683.514.072-08</t>
  </si>
  <si>
    <t>LD891062</t>
  </si>
  <si>
    <t>Dra. Maria Gomes</t>
  </si>
  <si>
    <t>654.798.201-76</t>
  </si>
  <si>
    <t>LD999197</t>
  </si>
  <si>
    <t>Dra. Luna Sales</t>
  </si>
  <si>
    <t>234.105.768-35</t>
  </si>
  <si>
    <t>LD532723</t>
  </si>
  <si>
    <t>Paulo Peixoto</t>
  </si>
  <si>
    <t>605.241.893-15</t>
  </si>
  <si>
    <t>LD354655</t>
  </si>
  <si>
    <t>Fernando Campos</t>
  </si>
  <si>
    <t>49560721399</t>
  </si>
  <si>
    <t>495.607.213-99</t>
  </si>
  <si>
    <t>LD988283</t>
  </si>
  <si>
    <t>Mariana Araújo</t>
  </si>
  <si>
    <t>23569840700</t>
  </si>
  <si>
    <t>235.698.407-00</t>
  </si>
  <si>
    <t>LD381502</t>
  </si>
  <si>
    <t>85763029186</t>
  </si>
  <si>
    <t>857.630.291-86</t>
  </si>
  <si>
    <t>LD297303</t>
  </si>
  <si>
    <t>Alexia da Rocha</t>
  </si>
  <si>
    <t>958.012.674-76</t>
  </si>
  <si>
    <t>LD327558</t>
  </si>
  <si>
    <t>Bárbara Nogueira</t>
  </si>
  <si>
    <t>21459068785</t>
  </si>
  <si>
    <t>214.590.687-85</t>
  </si>
  <si>
    <t>LD116078</t>
  </si>
  <si>
    <t>João Lucas Porto</t>
  </si>
  <si>
    <t>43910258760</t>
  </si>
  <si>
    <t>439.102.587-60</t>
  </si>
  <si>
    <t>LD883159</t>
  </si>
  <si>
    <t>Alice Rocha</t>
  </si>
  <si>
    <t>823.974.610-13</t>
  </si>
  <si>
    <t>LD515898</t>
  </si>
  <si>
    <t>Luiz Henrique Costela</t>
  </si>
  <si>
    <t>307.954.861-20</t>
  </si>
  <si>
    <t>LD588899</t>
  </si>
  <si>
    <t>Maria Vitória Carvalho</t>
  </si>
  <si>
    <t>570.842.691-85</t>
  </si>
  <si>
    <t>LD637727</t>
  </si>
  <si>
    <t>Igor da Paz</t>
  </si>
  <si>
    <t>348.729.016-22</t>
  </si>
  <si>
    <t>LD898625</t>
  </si>
  <si>
    <t>Carlos Eduardo Alves</t>
  </si>
  <si>
    <t>981.742.560-67</t>
  </si>
  <si>
    <t>LD534037</t>
  </si>
  <si>
    <t>Murilo Farias</t>
  </si>
  <si>
    <t>21479630543</t>
  </si>
  <si>
    <t>214.796.305-43</t>
  </si>
  <si>
    <t>LD117007</t>
  </si>
  <si>
    <t>Nicole Barros</t>
  </si>
  <si>
    <t>16073592434</t>
  </si>
  <si>
    <t>160.735.924-34</t>
  </si>
  <si>
    <t>LD537862</t>
  </si>
  <si>
    <t>Dr. Isaac da Paz</t>
  </si>
  <si>
    <t>81749036584</t>
  </si>
  <si>
    <t>817.490.365-84</t>
  </si>
  <si>
    <t>LD697467</t>
  </si>
  <si>
    <t>Melissa Rezende</t>
  </si>
  <si>
    <t>738.142.560-26</t>
  </si>
  <si>
    <t>LD369826</t>
  </si>
  <si>
    <t>Helena Martins</t>
  </si>
  <si>
    <t>790.836.215-02</t>
  </si>
  <si>
    <t>LD583214</t>
  </si>
  <si>
    <t>Gustavo Henrique Monteiro</t>
  </si>
  <si>
    <t>92135086460</t>
  </si>
  <si>
    <t>921.350.864-60</t>
  </si>
  <si>
    <t>LD855303</t>
  </si>
  <si>
    <t>Luiz Otávio Rezende</t>
  </si>
  <si>
    <t>693.418.572-28</t>
  </si>
  <si>
    <t>LD649395</t>
  </si>
  <si>
    <t>Sr. Ryan Pinto</t>
  </si>
  <si>
    <t>65318074901</t>
  </si>
  <si>
    <t>653.180.749-01</t>
  </si>
  <si>
    <t>LD901467</t>
  </si>
  <si>
    <t>24608731904</t>
  </si>
  <si>
    <t>246.087.319-04</t>
  </si>
  <si>
    <t>LD171269</t>
  </si>
  <si>
    <t>Ana Carolina Carvalho</t>
  </si>
  <si>
    <t>320.615.984-98</t>
  </si>
  <si>
    <t>LD491329</t>
  </si>
  <si>
    <t>Maria Julia Porto</t>
  </si>
  <si>
    <t>39524687119</t>
  </si>
  <si>
    <t>395.246.871-19</t>
  </si>
  <si>
    <t>LD791309</t>
  </si>
  <si>
    <t>Alana Silva</t>
  </si>
  <si>
    <t>62408793122</t>
  </si>
  <si>
    <t>624.087.931-22</t>
  </si>
  <si>
    <t>LD112426</t>
  </si>
  <si>
    <t>Antônio Duarte</t>
  </si>
  <si>
    <t>69573841010</t>
  </si>
  <si>
    <t>695.738.410-10</t>
  </si>
  <si>
    <t>LD117975</t>
  </si>
  <si>
    <t>Lucas Cunha</t>
  </si>
  <si>
    <t>386.729.140-31</t>
  </si>
  <si>
    <t>LD212214</t>
  </si>
  <si>
    <t>Breno Aragão</t>
  </si>
  <si>
    <t>276.108.349-04</t>
  </si>
  <si>
    <t>LD749887</t>
  </si>
  <si>
    <t>Lorenzo Silva</t>
  </si>
  <si>
    <t>687.321.490-69</t>
  </si>
  <si>
    <t>LD182857</t>
  </si>
  <si>
    <t>Sabrina Duarte</t>
  </si>
  <si>
    <t>84697203178</t>
  </si>
  <si>
    <t>846.972.031-78</t>
  </si>
  <si>
    <t>LD831105</t>
  </si>
  <si>
    <t>Sr. Nathan Rocha</t>
  </si>
  <si>
    <t>12437056980</t>
  </si>
  <si>
    <t>124.370.569-80</t>
  </si>
  <si>
    <t>LD198042</t>
  </si>
  <si>
    <t>Dra. Natália Cardoso</t>
  </si>
  <si>
    <t>84029731678</t>
  </si>
  <si>
    <t>840.297.316-78</t>
  </si>
  <si>
    <t>LD767678</t>
  </si>
  <si>
    <t>Sra. Kamilly Moraes</t>
  </si>
  <si>
    <t>49205873179</t>
  </si>
  <si>
    <t>492.058.731-79</t>
  </si>
  <si>
    <t>LD776234</t>
  </si>
  <si>
    <t>Lorena da Cunha</t>
  </si>
  <si>
    <t>904.657.812-76</t>
  </si>
  <si>
    <t>LD144618</t>
  </si>
  <si>
    <t>Luiz Fernando Cardoso</t>
  </si>
  <si>
    <t>49287560374</t>
  </si>
  <si>
    <t>492.875.603-74</t>
  </si>
  <si>
    <t>LD598598</t>
  </si>
  <si>
    <t>Nicolas da Costa</t>
  </si>
  <si>
    <t>75298130640</t>
  </si>
  <si>
    <t>752.981.306-40</t>
  </si>
  <si>
    <t>LD669408</t>
  </si>
  <si>
    <t>Danilo da Costa</t>
  </si>
  <si>
    <t>768.153.904-20</t>
  </si>
  <si>
    <t>LD317221</t>
  </si>
  <si>
    <t>Emanuella Correia</t>
  </si>
  <si>
    <t>027.368.549-00</t>
  </si>
  <si>
    <t>LD180674</t>
  </si>
  <si>
    <t>Rafaela Nogueira</t>
  </si>
  <si>
    <t>74283091588</t>
  </si>
  <si>
    <t>742.830.915-88</t>
  </si>
  <si>
    <t>LD990704</t>
  </si>
  <si>
    <t>Sr. Caio Teixeira</t>
  </si>
  <si>
    <t>56428901749</t>
  </si>
  <si>
    <t>564.289.017-49</t>
  </si>
  <si>
    <t>LD892313</t>
  </si>
  <si>
    <t>Sofia Duarte</t>
  </si>
  <si>
    <t>935.761.280-77</t>
  </si>
  <si>
    <t>LD625119</t>
  </si>
  <si>
    <t>Bernardo Alves</t>
  </si>
  <si>
    <t>618.532.749-09</t>
  </si>
  <si>
    <t>LD343420</t>
  </si>
  <si>
    <t>Arthur Araújo</t>
  </si>
  <si>
    <t>910.458.723-50</t>
  </si>
  <si>
    <t>LD515973</t>
  </si>
  <si>
    <t>921.578.460-85</t>
  </si>
  <si>
    <t>LD921609</t>
  </si>
  <si>
    <t>Emilly Pereira</t>
  </si>
  <si>
    <t>542.607.918-85</t>
  </si>
  <si>
    <t>LD493663</t>
  </si>
  <si>
    <t>Francisco Ferreira</t>
  </si>
  <si>
    <t>27138460562</t>
  </si>
  <si>
    <t>271.384.605-62</t>
  </si>
  <si>
    <t>LD189856</t>
  </si>
  <si>
    <t>Marcelo Pinto</t>
  </si>
  <si>
    <t>317.520.496-16</t>
  </si>
  <si>
    <t>LD186023</t>
  </si>
  <si>
    <t>Sra. Stephany Porto</t>
  </si>
  <si>
    <t>07256948158</t>
  </si>
  <si>
    <t>072.569.481-58</t>
  </si>
  <si>
    <t>LD875584</t>
  </si>
  <si>
    <t>Samuel Melo</t>
  </si>
  <si>
    <t>60739582429</t>
  </si>
  <si>
    <t>607.395.824-29</t>
  </si>
  <si>
    <t>LD423241</t>
  </si>
  <si>
    <t>Olivia Rocha</t>
  </si>
  <si>
    <t>18527630435</t>
  </si>
  <si>
    <t>185.276.304-35</t>
  </si>
  <si>
    <t>LD191537</t>
  </si>
  <si>
    <t>Heloísa Cardoso</t>
  </si>
  <si>
    <t>74318092550</t>
  </si>
  <si>
    <t>743.180.925-50</t>
  </si>
  <si>
    <t>LD527865</t>
  </si>
  <si>
    <t>Sra. Ana Lívia Moraes</t>
  </si>
  <si>
    <t>71958603295</t>
  </si>
  <si>
    <t>719.586.032-95</t>
  </si>
  <si>
    <t>LD725920</t>
  </si>
  <si>
    <t>Eduarda Rodrigues</t>
  </si>
  <si>
    <t>614.379.058-20</t>
  </si>
  <si>
    <t>LD406024</t>
  </si>
  <si>
    <t>Sr. João Costa</t>
  </si>
  <si>
    <t>38754160235</t>
  </si>
  <si>
    <t>387.541.602-35</t>
  </si>
  <si>
    <t>LD354533</t>
  </si>
  <si>
    <t>Luigi Aragão</t>
  </si>
  <si>
    <t>703.561.892-95</t>
  </si>
  <si>
    <t>LD245584</t>
  </si>
  <si>
    <t>Caio Ramos</t>
  </si>
  <si>
    <t>92160538442</t>
  </si>
  <si>
    <t>921.605.384-42</t>
  </si>
  <si>
    <t>LD275329</t>
  </si>
  <si>
    <t>Kevin Mendes</t>
  </si>
  <si>
    <t>65184973001</t>
  </si>
  <si>
    <t>651.849.730-01</t>
  </si>
  <si>
    <t>LD478666</t>
  </si>
  <si>
    <t>Nicolas da Luz</t>
  </si>
  <si>
    <t>51827396482</t>
  </si>
  <si>
    <t>518.273.964-82</t>
  </si>
  <si>
    <t>LD722651</t>
  </si>
  <si>
    <t>Leonardo Farias</t>
  </si>
  <si>
    <t>902.854.367-83</t>
  </si>
  <si>
    <t>LD107096</t>
  </si>
  <si>
    <t>Ana Júlia Almeida</t>
  </si>
  <si>
    <t>021.564.873-08</t>
  </si>
  <si>
    <t>LD943135</t>
  </si>
  <si>
    <t>Emanuel da Conceição</t>
  </si>
  <si>
    <t>487.315.026-44</t>
  </si>
  <si>
    <t>LD242736</t>
  </si>
  <si>
    <t>Mariana Carvalho</t>
  </si>
  <si>
    <t>45609187249</t>
  </si>
  <si>
    <t>456.091.872-49</t>
  </si>
  <si>
    <t>LD602278</t>
  </si>
  <si>
    <t>Sr. Lucas Gabriel da Rocha</t>
  </si>
  <si>
    <t>40381796213</t>
  </si>
  <si>
    <t>403.817.962-13</t>
  </si>
  <si>
    <t>LD870571</t>
  </si>
  <si>
    <t>Benjamin Moreira</t>
  </si>
  <si>
    <t>436.279.805-65</t>
  </si>
  <si>
    <t>LD354200</t>
  </si>
  <si>
    <t>Luiz Otávio da Luz</t>
  </si>
  <si>
    <t>20748519360</t>
  </si>
  <si>
    <t>207.485.193-60</t>
  </si>
  <si>
    <t>LD219420</t>
  </si>
  <si>
    <t>Giovanna Peixoto</t>
  </si>
  <si>
    <t>359.602.184-70</t>
  </si>
  <si>
    <t>LD814827</t>
  </si>
  <si>
    <t>Catarina Nascimento</t>
  </si>
  <si>
    <t>317.490.562-16</t>
  </si>
  <si>
    <t>LD842776</t>
  </si>
  <si>
    <t>Camila Nogueira</t>
  </si>
  <si>
    <t>52791840630</t>
  </si>
  <si>
    <t>527.918.406-30</t>
  </si>
  <si>
    <t>LD958747</t>
  </si>
  <si>
    <t>Ryan Caldeira</t>
  </si>
  <si>
    <t>421.635.907-80</t>
  </si>
  <si>
    <t>LD245939</t>
  </si>
  <si>
    <t>Otávio da Cruz</t>
  </si>
  <si>
    <t>923.074.561-80</t>
  </si>
  <si>
    <t>LD849979</t>
  </si>
  <si>
    <t>Emilly Alves</t>
  </si>
  <si>
    <t>63827419069</t>
  </si>
  <si>
    <t>638.274.190-69</t>
  </si>
  <si>
    <t>LD602514</t>
  </si>
  <si>
    <t>Agatha Peixoto</t>
  </si>
  <si>
    <t>097.548.321-88</t>
  </si>
  <si>
    <t>LD670053</t>
  </si>
  <si>
    <t>Srta. Lavínia Sales</t>
  </si>
  <si>
    <t>31056987448</t>
  </si>
  <si>
    <t>310.569.874-48</t>
  </si>
  <si>
    <t>LD722665</t>
  </si>
  <si>
    <t>Pedro Carvalho</t>
  </si>
  <si>
    <t>074.153.962-43</t>
  </si>
  <si>
    <t>LD274418</t>
  </si>
  <si>
    <t>Thales Nunes</t>
  </si>
  <si>
    <t>257.860.419-30</t>
  </si>
  <si>
    <t>LD889245</t>
  </si>
  <si>
    <t>Gustavo Pereira</t>
  </si>
  <si>
    <t>48365027992</t>
  </si>
  <si>
    <t>483.650.279-92</t>
  </si>
  <si>
    <t>LD203396</t>
  </si>
  <si>
    <t>Isabelly Barros</t>
  </si>
  <si>
    <t>16534029707</t>
  </si>
  <si>
    <t>165.340.297-07</t>
  </si>
  <si>
    <t>LD708717</t>
  </si>
  <si>
    <t>Rafaela Campos</t>
  </si>
  <si>
    <t>832.714.065-53</t>
  </si>
  <si>
    <t>LD585556</t>
  </si>
  <si>
    <t>Pietra da Rocha</t>
  </si>
  <si>
    <t>358.249.607-47</t>
  </si>
  <si>
    <t>LD461724</t>
  </si>
  <si>
    <t>Dr. Luigi Santos</t>
  </si>
  <si>
    <t>817.546.293-00</t>
  </si>
  <si>
    <t>LD190025</t>
  </si>
  <si>
    <t>Olivia Campos</t>
  </si>
  <si>
    <t>37109826503</t>
  </si>
  <si>
    <t>371.098.265-03</t>
  </si>
  <si>
    <t>LD427040</t>
  </si>
  <si>
    <t>Carlos Eduardo da Conceição</t>
  </si>
  <si>
    <t>72345081635</t>
  </si>
  <si>
    <t>723.450.816-35</t>
  </si>
  <si>
    <t>LD465219</t>
  </si>
  <si>
    <t>Dr. Leonardo Aragão</t>
  </si>
  <si>
    <t>43107925888</t>
  </si>
  <si>
    <t>431.079.258-88</t>
  </si>
  <si>
    <t>LD434400</t>
  </si>
  <si>
    <t>Valentina Martins</t>
  </si>
  <si>
    <t>78932416087</t>
  </si>
  <si>
    <t>789.324.160-87</t>
  </si>
  <si>
    <t>LD123682</t>
  </si>
  <si>
    <t>Enzo Rocha</t>
  </si>
  <si>
    <t>540.129.378-04</t>
  </si>
  <si>
    <t>LD876459</t>
  </si>
  <si>
    <t>Esther da Mata</t>
  </si>
  <si>
    <t>29810573405</t>
  </si>
  <si>
    <t>298.105.734-05</t>
  </si>
  <si>
    <t>LD687044</t>
  </si>
  <si>
    <t>João Lucas da Mata</t>
  </si>
  <si>
    <t>38052619424</t>
  </si>
  <si>
    <t>380.526.194-24</t>
  </si>
  <si>
    <t>LD295440</t>
  </si>
  <si>
    <t>Luiz Otávio Jesus</t>
  </si>
  <si>
    <t>106.397.284-13</t>
  </si>
  <si>
    <t>LD743937</t>
  </si>
  <si>
    <t>Lívia Melo</t>
  </si>
  <si>
    <t>479.681.350-01</t>
  </si>
  <si>
    <t>LD104666</t>
  </si>
  <si>
    <t>Amanda Cunha</t>
  </si>
  <si>
    <t>814.037.952-23</t>
  </si>
  <si>
    <t>LD705393</t>
  </si>
  <si>
    <t>Sr. Otávio da Mota</t>
  </si>
  <si>
    <t>98362107413</t>
  </si>
  <si>
    <t>983.621.074-13</t>
  </si>
  <si>
    <t>LD441819</t>
  </si>
  <si>
    <t>Ana Laura Silva</t>
  </si>
  <si>
    <t>63724509170</t>
  </si>
  <si>
    <t>637.245.091-70</t>
  </si>
  <si>
    <t>LD653349</t>
  </si>
  <si>
    <t>Theo Pereira</t>
  </si>
  <si>
    <t>569.027.413-52</t>
  </si>
  <si>
    <t>LD511612</t>
  </si>
  <si>
    <t>Ana Laura da Rosa</t>
  </si>
  <si>
    <t>769.213.408-13</t>
  </si>
  <si>
    <t>LD280908</t>
  </si>
  <si>
    <t>Heitor Ribeiro</t>
  </si>
  <si>
    <t>851.430.672-35</t>
  </si>
  <si>
    <t>LD718836</t>
  </si>
  <si>
    <t>Matheus Rezende</t>
  </si>
  <si>
    <t>92317850603</t>
  </si>
  <si>
    <t>923.178.506-03</t>
  </si>
  <si>
    <t>LD222629</t>
  </si>
  <si>
    <t>Fernanda Sales</t>
  </si>
  <si>
    <t>87306124978</t>
  </si>
  <si>
    <t>873.061.249-78</t>
  </si>
  <si>
    <t>LD538555</t>
  </si>
  <si>
    <t>Natália Gomes</t>
  </si>
  <si>
    <t>627.591.034-80</t>
  </si>
  <si>
    <t>LD610310</t>
  </si>
  <si>
    <t>Noah Moreira</t>
  </si>
  <si>
    <t>976.823.014-22</t>
  </si>
  <si>
    <t>LD681868</t>
  </si>
  <si>
    <t>Davi Lucca Caldeira</t>
  </si>
  <si>
    <t>25781960368</t>
  </si>
  <si>
    <t>257.819.603-68</t>
  </si>
  <si>
    <t>LD982885</t>
  </si>
  <si>
    <t>Maysa Moraes</t>
  </si>
  <si>
    <t>04875912676</t>
  </si>
  <si>
    <t>048.759.126-76</t>
  </si>
  <si>
    <t>LD608149</t>
  </si>
  <si>
    <t>Noah da Cunha</t>
  </si>
  <si>
    <t>85967243119</t>
  </si>
  <si>
    <t>859.672.431-19</t>
  </si>
  <si>
    <t>LD784793</t>
  </si>
  <si>
    <t>Maria Luiza Moraes</t>
  </si>
  <si>
    <t>20947531661</t>
  </si>
  <si>
    <t>209.475.316-61</t>
  </si>
  <si>
    <t>LD612438</t>
  </si>
  <si>
    <t>Calebe da Rosa</t>
  </si>
  <si>
    <t>28361405933</t>
  </si>
  <si>
    <t>283.614.059-33</t>
  </si>
  <si>
    <t>LD134283</t>
  </si>
  <si>
    <t>Carlos Eduardo Costela</t>
  </si>
  <si>
    <t>07528613444</t>
  </si>
  <si>
    <t>075.286.134-44</t>
  </si>
  <si>
    <t>LD693127</t>
  </si>
  <si>
    <t>Sra. Alice Costa</t>
  </si>
  <si>
    <t>328.517.604-08</t>
  </si>
  <si>
    <t>LD218710</t>
  </si>
  <si>
    <t>Olivia Correia</t>
  </si>
  <si>
    <t>107.638.942-22</t>
  </si>
  <si>
    <t>LD668373</t>
  </si>
  <si>
    <t>Maitê Caldeira</t>
  </si>
  <si>
    <t>714.062.539-52</t>
  </si>
  <si>
    <t>LD672892</t>
  </si>
  <si>
    <t>Nicolas da Paz</t>
  </si>
  <si>
    <t>25071948630</t>
  </si>
  <si>
    <t>250.719.486-30</t>
  </si>
  <si>
    <t>LD412170</t>
  </si>
  <si>
    <t>Stephany Duarte</t>
  </si>
  <si>
    <t>819.640.725-49</t>
  </si>
  <si>
    <t>LD956401</t>
  </si>
  <si>
    <t>Vitor Gabriel Teixeira</t>
  </si>
  <si>
    <t>01345726961</t>
  </si>
  <si>
    <t>013.457.269-61</t>
  </si>
  <si>
    <t>LD320073</t>
  </si>
  <si>
    <t>Ana Lívia da Mata</t>
  </si>
  <si>
    <t>568.147.309-01</t>
  </si>
  <si>
    <t>LD845279</t>
  </si>
  <si>
    <t>Ana Sophia Silveira</t>
  </si>
  <si>
    <t>275.894.031-05</t>
  </si>
  <si>
    <t>LD922974</t>
  </si>
  <si>
    <t>João Pedro Gomes</t>
  </si>
  <si>
    <t>74918326013</t>
  </si>
  <si>
    <t>749.183.260-13</t>
  </si>
  <si>
    <t>LD467856</t>
  </si>
  <si>
    <t>Lucas Moura</t>
  </si>
  <si>
    <t>207.583.496-29</t>
  </si>
  <si>
    <t>LD838253</t>
  </si>
  <si>
    <t>João Vitor Nunes</t>
  </si>
  <si>
    <t>91207856401</t>
  </si>
  <si>
    <t>912.078.564-01</t>
  </si>
  <si>
    <t>LD242175</t>
  </si>
  <si>
    <t>Kevin Sales</t>
  </si>
  <si>
    <t>496.238.517-82</t>
  </si>
  <si>
    <t>LD787757</t>
  </si>
  <si>
    <t>Ana Lívia Costa</t>
  </si>
  <si>
    <t>47815603262</t>
  </si>
  <si>
    <t>478.156.032-62</t>
  </si>
  <si>
    <t>LD845951</t>
  </si>
  <si>
    <t>Luiz Felipe Araújo</t>
  </si>
  <si>
    <t>26519403806</t>
  </si>
  <si>
    <t>265.194.038-06</t>
  </si>
  <si>
    <t>LD613234</t>
  </si>
  <si>
    <t>Catarina Gonçalves</t>
  </si>
  <si>
    <t>79482603150</t>
  </si>
  <si>
    <t>794.826.031-50</t>
  </si>
  <si>
    <t>LD493396</t>
  </si>
  <si>
    <t>João Pedro Porto</t>
  </si>
  <si>
    <t>56730912812</t>
  </si>
  <si>
    <t>567.309.128-12</t>
  </si>
  <si>
    <t>LD640659</t>
  </si>
  <si>
    <t>Srta. Luiza Pinto</t>
  </si>
  <si>
    <t>246.308.791-96</t>
  </si>
  <si>
    <t>LD611751</t>
  </si>
  <si>
    <t>06437821507</t>
  </si>
  <si>
    <t>064.378.215-07</t>
  </si>
  <si>
    <t>LD866437</t>
  </si>
  <si>
    <t>Nicolas Barbosa</t>
  </si>
  <si>
    <t>258.674.091-20</t>
  </si>
  <si>
    <t>LD991401</t>
  </si>
  <si>
    <t>Kevin Monteiro</t>
  </si>
  <si>
    <t>56907148366</t>
  </si>
  <si>
    <t>569.071.483-66</t>
  </si>
  <si>
    <t>LD964915</t>
  </si>
  <si>
    <t>41580927602</t>
  </si>
  <si>
    <t>415.809.276-02</t>
  </si>
  <si>
    <t>LD673896</t>
  </si>
  <si>
    <t>Maria Fernanda Silva</t>
  </si>
  <si>
    <t>640.538.712-71</t>
  </si>
  <si>
    <t>LD815707</t>
  </si>
  <si>
    <t>Giovanna Castro</t>
  </si>
  <si>
    <t>713.294.608-04</t>
  </si>
  <si>
    <t>LD117072</t>
  </si>
  <si>
    <t>Catarina Sales</t>
  </si>
  <si>
    <t>18326057959</t>
  </si>
  <si>
    <t>183.260.579-59</t>
  </si>
  <si>
    <t>LD100708</t>
  </si>
  <si>
    <t>Pedro Henrique Carvalho</t>
  </si>
  <si>
    <t>915.204.387-88</t>
  </si>
  <si>
    <t>LD781571</t>
  </si>
  <si>
    <t>Pietro Jesus</t>
  </si>
  <si>
    <t>84659213773</t>
  </si>
  <si>
    <t>846.592.137-73</t>
  </si>
  <si>
    <t>LD786385</t>
  </si>
  <si>
    <t>Maitê Ramos</t>
  </si>
  <si>
    <t>82056419351</t>
  </si>
  <si>
    <t>820.564.193-51</t>
  </si>
  <si>
    <t>LD154302</t>
  </si>
  <si>
    <t>Sofia Rezende</t>
  </si>
  <si>
    <t>48695013251</t>
  </si>
  <si>
    <t>486.950.132-51</t>
  </si>
  <si>
    <t>LD550081</t>
  </si>
  <si>
    <t>Davi Lucas Jesus</t>
  </si>
  <si>
    <t>695.801.342-51</t>
  </si>
  <si>
    <t>LD599968</t>
  </si>
  <si>
    <t>Fernando Duarte</t>
  </si>
  <si>
    <t>63179058277</t>
  </si>
  <si>
    <t>631.790.582-77</t>
  </si>
  <si>
    <t>LD109738</t>
  </si>
  <si>
    <t>Larissa Pereira</t>
  </si>
  <si>
    <t>03271965480</t>
  </si>
  <si>
    <t>032.719.654-80</t>
  </si>
  <si>
    <t>LD827744</t>
  </si>
  <si>
    <t>Thiago Rodrigues</t>
  </si>
  <si>
    <t>09124687502</t>
  </si>
  <si>
    <t>091.246.875-02</t>
  </si>
  <si>
    <t>LD866260</t>
  </si>
  <si>
    <t>Ana Laura Novaes</t>
  </si>
  <si>
    <t>231.456.097-34</t>
  </si>
  <si>
    <t>LD243790</t>
  </si>
  <si>
    <t>Erick Costa</t>
  </si>
  <si>
    <t>59678130203</t>
  </si>
  <si>
    <t>596.781.302-03</t>
  </si>
  <si>
    <t>LD171734</t>
  </si>
  <si>
    <t>Enrico Freitas</t>
  </si>
  <si>
    <t>764.890.321-04</t>
  </si>
  <si>
    <t>LD561477</t>
  </si>
  <si>
    <t>Ian Viana</t>
  </si>
  <si>
    <t>67321984591</t>
  </si>
  <si>
    <t>673.219.845-91</t>
  </si>
  <si>
    <t>LD531709</t>
  </si>
  <si>
    <t>Anthony Azevedo</t>
  </si>
  <si>
    <t>034.782.659-83</t>
  </si>
  <si>
    <t>LD205345</t>
  </si>
  <si>
    <t>Leonardo Nogueira</t>
  </si>
  <si>
    <t>06429185389</t>
  </si>
  <si>
    <t>064.291.853-89</t>
  </si>
  <si>
    <t>LD468611</t>
  </si>
  <si>
    <t>Marina Lopes</t>
  </si>
  <si>
    <t>604.983.721-03</t>
  </si>
  <si>
    <t>LD390421</t>
  </si>
  <si>
    <t>Dr. Caio da Cruz</t>
  </si>
  <si>
    <t>481.239.670-04</t>
  </si>
  <si>
    <t>LD856211</t>
  </si>
  <si>
    <t>Pedro da Mata</t>
  </si>
  <si>
    <t>720.318.469-22</t>
  </si>
  <si>
    <t>LD989079</t>
  </si>
  <si>
    <t>Felipe Silveira</t>
  </si>
  <si>
    <t>265.381.904-05</t>
  </si>
  <si>
    <t>LD884170</t>
  </si>
  <si>
    <t>Eduardo Cardoso</t>
  </si>
  <si>
    <t>65239410780</t>
  </si>
  <si>
    <t>652.394.107-80</t>
  </si>
  <si>
    <t>LD504630</t>
  </si>
  <si>
    <t>Mariana Dias</t>
  </si>
  <si>
    <t>17325904606</t>
  </si>
  <si>
    <t>173.259.046-06</t>
  </si>
  <si>
    <t>LD653948</t>
  </si>
  <si>
    <t>Davi Lucas Carvalho</t>
  </si>
  <si>
    <t>521.094.378-04</t>
  </si>
  <si>
    <t>LD238394</t>
  </si>
  <si>
    <t>Theo da Rocha</t>
  </si>
  <si>
    <t>34859617010</t>
  </si>
  <si>
    <t>348.596.170-10</t>
  </si>
  <si>
    <t>LD672896</t>
  </si>
  <si>
    <t>Gustavo Henrique da Mota</t>
  </si>
  <si>
    <t>629.710.854-49</t>
  </si>
  <si>
    <t>LD715895</t>
  </si>
  <si>
    <t>Elisa Moura</t>
  </si>
  <si>
    <t>97103825432</t>
  </si>
  <si>
    <t>971.038.254-32</t>
  </si>
  <si>
    <t>LD927630</t>
  </si>
  <si>
    <t>Theo Nogueira</t>
  </si>
  <si>
    <t>64108957393</t>
  </si>
  <si>
    <t>641.089.573-93</t>
  </si>
  <si>
    <t>LD904373</t>
  </si>
  <si>
    <t>Sr. Alexandre Fernandes</t>
  </si>
  <si>
    <t>86435217017</t>
  </si>
  <si>
    <t>864.352.170-17</t>
  </si>
  <si>
    <t>LD663772</t>
  </si>
  <si>
    <t>Francisco da Cunha</t>
  </si>
  <si>
    <t>875.310.269-02</t>
  </si>
  <si>
    <t>LD636141</t>
  </si>
  <si>
    <t>Carlos Eduardo Lopes</t>
  </si>
  <si>
    <t>027.685.314-80</t>
  </si>
  <si>
    <t>LD442622</t>
  </si>
  <si>
    <t>Luiz Henrique Lopes</t>
  </si>
  <si>
    <t>62573190803</t>
  </si>
  <si>
    <t>625.731.908-03</t>
  </si>
  <si>
    <t>LD425236</t>
  </si>
  <si>
    <t>Enzo da Mata</t>
  </si>
  <si>
    <t>074.153.896-20</t>
  </si>
  <si>
    <t>LD356355</t>
  </si>
  <si>
    <t>Isabella Rodrigues</t>
  </si>
  <si>
    <t>79165804384</t>
  </si>
  <si>
    <t>791.658.043-84</t>
  </si>
  <si>
    <t>LD738407</t>
  </si>
  <si>
    <t>Diego da Cunha</t>
  </si>
  <si>
    <t>84390617575</t>
  </si>
  <si>
    <t>843.906.175-75</t>
  </si>
  <si>
    <t>LD225245</t>
  </si>
  <si>
    <t>Nicole Castro</t>
  </si>
  <si>
    <t>50496831739</t>
  </si>
  <si>
    <t>504.968.317-39</t>
  </si>
  <si>
    <t>LD620526</t>
  </si>
  <si>
    <t>Sr. Antônio Cardoso</t>
  </si>
  <si>
    <t>798.524.013-60</t>
  </si>
  <si>
    <t>LD275073</t>
  </si>
  <si>
    <t>Lavínia Martins</t>
  </si>
  <si>
    <t>92360845756</t>
  </si>
  <si>
    <t>923.608.457-56</t>
  </si>
  <si>
    <t>LD223791</t>
  </si>
  <si>
    <t>Isis Carvalho</t>
  </si>
  <si>
    <t>642.130.857-08</t>
  </si>
  <si>
    <t>LD649300</t>
  </si>
  <si>
    <t>Esther da Costa</t>
  </si>
  <si>
    <t>14763295080</t>
  </si>
  <si>
    <t>147.632.950-80</t>
  </si>
  <si>
    <t>LD180813</t>
  </si>
  <si>
    <t>Sr. Luigi Porto</t>
  </si>
  <si>
    <t>67489301203</t>
  </si>
  <si>
    <t>674.893.012-03</t>
  </si>
  <si>
    <t>LD694423</t>
  </si>
  <si>
    <t>Leandro Pereira</t>
  </si>
  <si>
    <t>10537946810</t>
  </si>
  <si>
    <t>105.379.468-10</t>
  </si>
  <si>
    <t>LD806866</t>
  </si>
  <si>
    <t>Larissa Cardoso</t>
  </si>
  <si>
    <t>742.159.683-64</t>
  </si>
  <si>
    <t>LD146177</t>
  </si>
  <si>
    <t>Ana Beatriz Vieira</t>
  </si>
  <si>
    <t>109.435.872-04</t>
  </si>
  <si>
    <t>LD481657</t>
  </si>
  <si>
    <t>Nathan Cardoso</t>
  </si>
  <si>
    <t>80156379457</t>
  </si>
  <si>
    <t>801.563.794-57</t>
  </si>
  <si>
    <t>LD942127</t>
  </si>
  <si>
    <t>Kaique Jesus</t>
  </si>
  <si>
    <t>578.429.106-85</t>
  </si>
  <si>
    <t>LD437433</t>
  </si>
  <si>
    <t>Dra. Emanuella Cavalcanti</t>
  </si>
  <si>
    <t>68073945193</t>
  </si>
  <si>
    <t>680.739.451-93</t>
  </si>
  <si>
    <t>LD966120</t>
  </si>
  <si>
    <t>Sra. Mirella Rodrigues</t>
  </si>
  <si>
    <t>45672019811</t>
  </si>
  <si>
    <t>456.720.198-11</t>
  </si>
  <si>
    <t>LD288056</t>
  </si>
  <si>
    <t>Anthony da Mota</t>
  </si>
  <si>
    <t>03751682902</t>
  </si>
  <si>
    <t>037.516.829-02</t>
  </si>
  <si>
    <t>LD172274</t>
  </si>
  <si>
    <t>Vitor Rezende</t>
  </si>
  <si>
    <t>276.081.493-96</t>
  </si>
  <si>
    <t>LD190581</t>
  </si>
  <si>
    <t>Alexia Porto</t>
  </si>
  <si>
    <t>938.247.015-88</t>
  </si>
  <si>
    <t>LD691194</t>
  </si>
  <si>
    <t>Raquel Pinto</t>
  </si>
  <si>
    <t>674.035.821-44</t>
  </si>
  <si>
    <t>LD486162</t>
  </si>
  <si>
    <t>Srta. Marcela Aragão</t>
  </si>
  <si>
    <t>651.283.407-08</t>
  </si>
  <si>
    <t>LD257880</t>
  </si>
  <si>
    <t>60275134970</t>
  </si>
  <si>
    <t>602.751.349-70</t>
  </si>
  <si>
    <t>LD766833</t>
  </si>
  <si>
    <t>Clarice Mendes</t>
  </si>
  <si>
    <t>972.853.461-28</t>
  </si>
  <si>
    <t>LD895794</t>
  </si>
  <si>
    <t>Yasmin da Cruz</t>
  </si>
  <si>
    <t>934.560.872-92</t>
  </si>
  <si>
    <t>LD208998</t>
  </si>
  <si>
    <t>Otávio Rodrigues</t>
  </si>
  <si>
    <t>16729503416</t>
  </si>
  <si>
    <t>167.295.034-16</t>
  </si>
  <si>
    <t>LD162804</t>
  </si>
  <si>
    <t>João Gabriel da Cruz</t>
  </si>
  <si>
    <t>280.679.354-83</t>
  </si>
  <si>
    <t>LD146032</t>
  </si>
  <si>
    <t>Clarice Rodrigues</t>
  </si>
  <si>
    <t>458.609.273-47</t>
  </si>
  <si>
    <t>LD834891</t>
  </si>
  <si>
    <t>Leonardo Ramos</t>
  </si>
  <si>
    <t>198.640.532-05</t>
  </si>
  <si>
    <t>LD708982</t>
  </si>
  <si>
    <t>João Guilherme da Cruz</t>
  </si>
  <si>
    <t>47850129601</t>
  </si>
  <si>
    <t>478.501.296-01</t>
  </si>
  <si>
    <t>LD720647</t>
  </si>
  <si>
    <t>Leonardo Peixoto</t>
  </si>
  <si>
    <t>037.264.198-96</t>
  </si>
  <si>
    <t>LD405844</t>
  </si>
  <si>
    <t>Sra. Isabelly Farias</t>
  </si>
  <si>
    <t>28671534928</t>
  </si>
  <si>
    <t>286.715.349-28</t>
  </si>
  <si>
    <t>LD433507</t>
  </si>
  <si>
    <t>Manuela Moreira</t>
  </si>
  <si>
    <t>07269453152</t>
  </si>
  <si>
    <t>072.694.531-52</t>
  </si>
  <si>
    <t>LD917823</t>
  </si>
  <si>
    <t>Stella da Cunha</t>
  </si>
  <si>
    <t>609.781.524-76</t>
  </si>
  <si>
    <t>LD571404</t>
  </si>
  <si>
    <t>Nina Vieira</t>
  </si>
  <si>
    <t>45802917350</t>
  </si>
  <si>
    <t>458.029.173-50</t>
  </si>
  <si>
    <t>LD907756</t>
  </si>
  <si>
    <t>Cecília Viana</t>
  </si>
  <si>
    <t>97568314057</t>
  </si>
  <si>
    <t>975.683.140-57</t>
  </si>
  <si>
    <t>LD194813</t>
  </si>
  <si>
    <t>Helena Nogueira</t>
  </si>
  <si>
    <t>28410793687</t>
  </si>
  <si>
    <t>284.107.936-87</t>
  </si>
  <si>
    <t>LD142288</t>
  </si>
  <si>
    <t>Bruna Aragão</t>
  </si>
  <si>
    <t>08412395760</t>
  </si>
  <si>
    <t>084.123.957-60</t>
  </si>
  <si>
    <t>LD845702</t>
  </si>
  <si>
    <t>Dr. Pedro Lucas Santos</t>
  </si>
  <si>
    <t>51069738484</t>
  </si>
  <si>
    <t>510.697.384-84</t>
  </si>
  <si>
    <t>LD810078</t>
  </si>
  <si>
    <t>Sr. Vinicius Teixeira</t>
  </si>
  <si>
    <t>93526417873</t>
  </si>
  <si>
    <t>935.264.178-73</t>
  </si>
  <si>
    <t>LD524035</t>
  </si>
  <si>
    <t>Srta. Ana Lívia Martins</t>
  </si>
  <si>
    <t>835.901.647-00</t>
  </si>
  <si>
    <t>LD199326</t>
  </si>
  <si>
    <t>Kevin Costela</t>
  </si>
  <si>
    <t>73902485132</t>
  </si>
  <si>
    <t>739.024.851-32</t>
  </si>
  <si>
    <t>LD112537</t>
  </si>
  <si>
    <t>Nathan Sales</t>
  </si>
  <si>
    <t>67853142080</t>
  </si>
  <si>
    <t>678.531.420-80</t>
  </si>
  <si>
    <t>LD307757</t>
  </si>
  <si>
    <t>Sra. Ana Silva</t>
  </si>
  <si>
    <t>813.760.925-30</t>
  </si>
  <si>
    <t>LD710610</t>
  </si>
  <si>
    <t>Júlia Correia</t>
  </si>
  <si>
    <t>154.079.682-58</t>
  </si>
  <si>
    <t>LD167603</t>
  </si>
  <si>
    <t>Gustavo Rodrigues</t>
  </si>
  <si>
    <t>02864391740</t>
  </si>
  <si>
    <t>028.643.917-40</t>
  </si>
  <si>
    <t>LD988432</t>
  </si>
  <si>
    <t>Vicente Rodrigues</t>
  </si>
  <si>
    <t>015.963.428-89</t>
  </si>
  <si>
    <t>LD153097</t>
  </si>
  <si>
    <t>Heloísa Nascimento</t>
  </si>
  <si>
    <t>72845369182</t>
  </si>
  <si>
    <t>728.453.691-82</t>
  </si>
  <si>
    <t>LD620226</t>
  </si>
  <si>
    <t>Sra. Ana Laura Oliveira</t>
  </si>
  <si>
    <t>63924087113</t>
  </si>
  <si>
    <t>639.240.871-13</t>
  </si>
  <si>
    <t>LD325146</t>
  </si>
  <si>
    <t>Davi Luiz Araújo</t>
  </si>
  <si>
    <t>941.580.726-11</t>
  </si>
  <si>
    <t>LD136332</t>
  </si>
  <si>
    <t>Caroline Ribeiro</t>
  </si>
  <si>
    <t>801.547.963-01</t>
  </si>
  <si>
    <t>LD623125</t>
  </si>
  <si>
    <t>Dra. Laura Cardoso</t>
  </si>
  <si>
    <t>85640391251</t>
  </si>
  <si>
    <t>856.403.912-51</t>
  </si>
  <si>
    <t>LD393366</t>
  </si>
  <si>
    <t>Alice Souza</t>
  </si>
  <si>
    <t>56408913784</t>
  </si>
  <si>
    <t>564.089.137-84</t>
  </si>
  <si>
    <t>LD361250</t>
  </si>
  <si>
    <t>Vitor Carvalho</t>
  </si>
  <si>
    <t>246.510.983-98</t>
  </si>
  <si>
    <t>LD919898</t>
  </si>
  <si>
    <t>Heitor Nogueira</t>
  </si>
  <si>
    <t>152.378.604-35</t>
  </si>
  <si>
    <t>LD693128</t>
  </si>
  <si>
    <t>Vitor Gabriel Duarte</t>
  </si>
  <si>
    <t>786.029.513-02</t>
  </si>
  <si>
    <t>LD434367</t>
  </si>
  <si>
    <t>Alice Oliveira</t>
  </si>
  <si>
    <t>304.768.125-26</t>
  </si>
  <si>
    <t>LD947935</t>
  </si>
  <si>
    <t>Júlia Porto</t>
  </si>
  <si>
    <t>183.692.507-77</t>
  </si>
  <si>
    <t>LD267378</t>
  </si>
  <si>
    <t>Lavínia Barbosa</t>
  </si>
  <si>
    <t>07451986276</t>
  </si>
  <si>
    <t>074.519.862-76</t>
  </si>
  <si>
    <t>LD955937</t>
  </si>
  <si>
    <t>Rodrigo Nascimento</t>
  </si>
  <si>
    <t>534.017.698-39</t>
  </si>
  <si>
    <t>LD472039</t>
  </si>
  <si>
    <t>Srta. Beatriz Freitas</t>
  </si>
  <si>
    <t>635.729.810-77</t>
  </si>
  <si>
    <t>LD348041</t>
  </si>
  <si>
    <t>Dr. Emanuel Ramos</t>
  </si>
  <si>
    <t>950.817.342-41</t>
  </si>
  <si>
    <t>LD720298</t>
  </si>
  <si>
    <t>Juan Rodrigues</t>
  </si>
  <si>
    <t>68195042767</t>
  </si>
  <si>
    <t>681.950.427-67</t>
  </si>
  <si>
    <t>LD249005</t>
  </si>
  <si>
    <t>João Gabriel Nascimento</t>
  </si>
  <si>
    <t>956.180.472-76</t>
  </si>
  <si>
    <t>LD424065</t>
  </si>
  <si>
    <t>Alana das Neves</t>
  </si>
  <si>
    <t>04519823714</t>
  </si>
  <si>
    <t>045.198.237-14</t>
  </si>
  <si>
    <t>LD730889</t>
  </si>
  <si>
    <t>Isabelly Azevedo</t>
  </si>
  <si>
    <t>47301865244</t>
  </si>
  <si>
    <t>473.018.652-44</t>
  </si>
  <si>
    <t>LD743966</t>
  </si>
  <si>
    <t>Caroline da Luz</t>
  </si>
  <si>
    <t>12978465328</t>
  </si>
  <si>
    <t>129.784.653-28</t>
  </si>
  <si>
    <t>LD941403</t>
  </si>
  <si>
    <t>Alexia Teixeira</t>
  </si>
  <si>
    <t>947.036.215-25</t>
  </si>
  <si>
    <t>LD715104</t>
  </si>
  <si>
    <t>Rodrigo Silveira</t>
  </si>
  <si>
    <t>795.401.862-85</t>
  </si>
  <si>
    <t>LD482614</t>
  </si>
  <si>
    <t>Gabrielly Almeida</t>
  </si>
  <si>
    <t>635.049.128-98</t>
  </si>
  <si>
    <t>LD714483</t>
  </si>
  <si>
    <t>Eduardo da Cunha</t>
  </si>
  <si>
    <t>54196087230</t>
  </si>
  <si>
    <t>541.960.872-30</t>
  </si>
  <si>
    <t>LD867926</t>
  </si>
  <si>
    <t>Nicolas Melo</t>
  </si>
  <si>
    <t>431.872.056-07</t>
  </si>
  <si>
    <t>LD432695</t>
  </si>
  <si>
    <t>Mariane Pires</t>
  </si>
  <si>
    <t>17906538439</t>
  </si>
  <si>
    <t>179.065.384-39</t>
  </si>
  <si>
    <t>LD925220</t>
  </si>
  <si>
    <t>Benício Pires</t>
  </si>
  <si>
    <t>04697581202</t>
  </si>
  <si>
    <t>046.975.812-02</t>
  </si>
  <si>
    <t>LD421727</t>
  </si>
  <si>
    <t>Pedro Henrique Oliveira</t>
  </si>
  <si>
    <t>307.965.814-01</t>
  </si>
  <si>
    <t>LD836109</t>
  </si>
  <si>
    <t>Helena da Mota</t>
  </si>
  <si>
    <t>190.457.826-85</t>
  </si>
  <si>
    <t>LD290926</t>
  </si>
  <si>
    <t>Eloah Moraes</t>
  </si>
  <si>
    <t>678.195.032-03</t>
  </si>
  <si>
    <t>LD770718</t>
  </si>
  <si>
    <t>Larissa Silva</t>
  </si>
  <si>
    <t>542.137.869-19</t>
  </si>
  <si>
    <t>LD881549</t>
  </si>
  <si>
    <t>Maria Sophia da Conceição</t>
  </si>
  <si>
    <t>03982145732</t>
  </si>
  <si>
    <t>039.821.457-32</t>
  </si>
  <si>
    <t>LD767090</t>
  </si>
  <si>
    <t>Joaquim da Mota</t>
  </si>
  <si>
    <t>795.648.231-37</t>
  </si>
  <si>
    <t>LD568325</t>
  </si>
  <si>
    <t>Sr. Calebe Ramos</t>
  </si>
  <si>
    <t>07395148657</t>
  </si>
  <si>
    <t>073.951.486-57</t>
  </si>
  <si>
    <t>LD467506</t>
  </si>
  <si>
    <t>63910258786</t>
  </si>
  <si>
    <t>639.102.587-86</t>
  </si>
  <si>
    <t>LD504684</t>
  </si>
  <si>
    <t>Ana Sophia da Conceição</t>
  </si>
  <si>
    <t>47359208629</t>
  </si>
  <si>
    <t>473.592.086-29</t>
  </si>
  <si>
    <t>LD617033</t>
  </si>
  <si>
    <t>Davi das Neves</t>
  </si>
  <si>
    <t>425.691.708-01</t>
  </si>
  <si>
    <t>LD969067</t>
  </si>
  <si>
    <t>Caio Aragão</t>
  </si>
  <si>
    <t>26197830540</t>
  </si>
  <si>
    <t>261.978.305-40</t>
  </si>
  <si>
    <t>LD270557</t>
  </si>
  <si>
    <t>Sr. Luiz Miguel Pinto</t>
  </si>
  <si>
    <t>19286537409</t>
  </si>
  <si>
    <t>192.865.374-09</t>
  </si>
  <si>
    <t>LD121053</t>
  </si>
  <si>
    <t>Lara Farias</t>
  </si>
  <si>
    <t>03461259870</t>
  </si>
  <si>
    <t>034.612.598-70</t>
  </si>
  <si>
    <t>LD278368</t>
  </si>
  <si>
    <t>Luiz Gustavo Rodrigues</t>
  </si>
  <si>
    <t>317.654.098-10</t>
  </si>
  <si>
    <t>LD197627</t>
  </si>
  <si>
    <t>Sophia Silva</t>
  </si>
  <si>
    <t>57812934691</t>
  </si>
  <si>
    <t>578.129.346-91</t>
  </si>
  <si>
    <t>LD132498</t>
  </si>
  <si>
    <t>Nathan Nunes</t>
  </si>
  <si>
    <t>90316754820</t>
  </si>
  <si>
    <t>903.167.548-20</t>
  </si>
  <si>
    <t>LD264735</t>
  </si>
  <si>
    <t>Isis da Cruz</t>
  </si>
  <si>
    <t>54170238680</t>
  </si>
  <si>
    <t>541.702.386-80</t>
  </si>
  <si>
    <t>LD831063</t>
  </si>
  <si>
    <t>Amanda Rezende</t>
  </si>
  <si>
    <t>856.379.412-46</t>
  </si>
  <si>
    <t>LD792687</t>
  </si>
  <si>
    <t>João Miguel Araújo</t>
  </si>
  <si>
    <t>27395064143</t>
  </si>
  <si>
    <t>273.950.641-43</t>
  </si>
  <si>
    <t>LD699544</t>
  </si>
  <si>
    <t>Maitê Viana</t>
  </si>
  <si>
    <t>143.065.287-07</t>
  </si>
  <si>
    <t>LD104000</t>
  </si>
  <si>
    <t>Renan Melo</t>
  </si>
  <si>
    <t>49815762346</t>
  </si>
  <si>
    <t>498.157.623-46</t>
  </si>
  <si>
    <t>LD603660</t>
  </si>
  <si>
    <t>69035418700</t>
  </si>
  <si>
    <t>690.354.187-00</t>
  </si>
  <si>
    <t>LD185916</t>
  </si>
  <si>
    <t>Dra. Cecília Ribeiro</t>
  </si>
  <si>
    <t>38759201630</t>
  </si>
  <si>
    <t>387.592.016-30</t>
  </si>
  <si>
    <t>LD612855</t>
  </si>
  <si>
    <t>Sra. Cecília Pires</t>
  </si>
  <si>
    <t>780.214.539-23</t>
  </si>
  <si>
    <t>LD506351</t>
  </si>
  <si>
    <t>Isabella Mendes</t>
  </si>
  <si>
    <t>36859421070</t>
  </si>
  <si>
    <t>368.594.210-70</t>
  </si>
  <si>
    <t>LD567429</t>
  </si>
  <si>
    <t>Daniel da Costa</t>
  </si>
  <si>
    <t>56813094793</t>
  </si>
  <si>
    <t>568.130.947-93</t>
  </si>
  <si>
    <t>LD977740</t>
  </si>
  <si>
    <t>Dr. Pedro Miguel Jesus</t>
  </si>
  <si>
    <t>12954708611</t>
  </si>
  <si>
    <t>129.547.086-11</t>
  </si>
  <si>
    <t>LD189870</t>
  </si>
  <si>
    <t>Eduardo Campos</t>
  </si>
  <si>
    <t>643.128.097-04</t>
  </si>
  <si>
    <t>LD338564</t>
  </si>
  <si>
    <t>Alana da Cunha</t>
  </si>
  <si>
    <t>568.107.349-10</t>
  </si>
  <si>
    <t>LD661527</t>
  </si>
  <si>
    <t>Cauê da Rocha</t>
  </si>
  <si>
    <t>467.195.230-07</t>
  </si>
  <si>
    <t>LD599397</t>
  </si>
  <si>
    <t>Dra. Laís Freitas</t>
  </si>
  <si>
    <t>30298617404</t>
  </si>
  <si>
    <t>302.986.174-04</t>
  </si>
  <si>
    <t>LD626491</t>
  </si>
  <si>
    <t>Luiza Ramos</t>
  </si>
  <si>
    <t>701.253.649-70</t>
  </si>
  <si>
    <t>LD750403</t>
  </si>
  <si>
    <t>Camila Peixoto</t>
  </si>
  <si>
    <t>32697104534</t>
  </si>
  <si>
    <t>326.971.045-34</t>
  </si>
  <si>
    <t>LD275284</t>
  </si>
  <si>
    <t>Guilherme Teixeira</t>
  </si>
  <si>
    <t>413.769.085-57</t>
  </si>
  <si>
    <t>LD543940</t>
  </si>
  <si>
    <t>Luiz Fernando Martins</t>
  </si>
  <si>
    <t>67281405308</t>
  </si>
  <si>
    <t>672.814.053-08</t>
  </si>
  <si>
    <t>LD974625</t>
  </si>
  <si>
    <t>Olivia Rezende</t>
  </si>
  <si>
    <t>659.713.048-01</t>
  </si>
  <si>
    <t>LD191254</t>
  </si>
  <si>
    <t>Srta. Giovanna Rezende</t>
  </si>
  <si>
    <t>79104836510</t>
  </si>
  <si>
    <t>791.048.365-10</t>
  </si>
  <si>
    <t>LD389617</t>
  </si>
  <si>
    <t>Davi Lucca da Cunha</t>
  </si>
  <si>
    <t>012.794.356-07</t>
  </si>
  <si>
    <t>LD753323</t>
  </si>
  <si>
    <t>Renan Fogaça</t>
  </si>
  <si>
    <t>275.160.834-53</t>
  </si>
  <si>
    <t>LD256911</t>
  </si>
  <si>
    <t>Manuela Cavalcanti</t>
  </si>
  <si>
    <t>64708951310</t>
  </si>
  <si>
    <t>647.089.513-10</t>
  </si>
  <si>
    <t>LD690016</t>
  </si>
  <si>
    <t>Sr. Eduardo Carvalho</t>
  </si>
  <si>
    <t>069.721.835-02</t>
  </si>
  <si>
    <t>LD530849</t>
  </si>
  <si>
    <t>Bárbara da Cunha</t>
  </si>
  <si>
    <t>06182574976</t>
  </si>
  <si>
    <t>061.825.749-76</t>
  </si>
  <si>
    <t>LD596025</t>
  </si>
  <si>
    <t>Lara Costa</t>
  </si>
  <si>
    <t>39126704552</t>
  </si>
  <si>
    <t>391.267.045-52</t>
  </si>
  <si>
    <t>LD738221</t>
  </si>
  <si>
    <t>314.572.096-16</t>
  </si>
  <si>
    <t>LD824056</t>
  </si>
  <si>
    <t>Vitor Sales</t>
  </si>
  <si>
    <t>18270463922</t>
  </si>
  <si>
    <t>182.704.639-22</t>
  </si>
  <si>
    <t>LD121215</t>
  </si>
  <si>
    <t>Srta. Helena da Luz</t>
  </si>
  <si>
    <t>57120438905</t>
  </si>
  <si>
    <t>571.204.389-05</t>
  </si>
  <si>
    <t>LD983788</t>
  </si>
  <si>
    <t>Rafaela Alves</t>
  </si>
  <si>
    <t>30127956859</t>
  </si>
  <si>
    <t>301.279.568-59</t>
  </si>
  <si>
    <t>LD240913</t>
  </si>
  <si>
    <t>João Lucas Sales</t>
  </si>
  <si>
    <t>43281057608</t>
  </si>
  <si>
    <t>432.810.576-08</t>
  </si>
  <si>
    <t>LD864201</t>
  </si>
  <si>
    <t>Sr. Guilherme Lopes</t>
  </si>
  <si>
    <t>08652917302</t>
  </si>
  <si>
    <t>086.529.173-02</t>
  </si>
  <si>
    <t>LD321659</t>
  </si>
  <si>
    <t>Emanuel Viana</t>
  </si>
  <si>
    <t>038.476.291-31</t>
  </si>
  <si>
    <t>LD492073</t>
  </si>
  <si>
    <t>Bernardo Rodrigues</t>
  </si>
  <si>
    <t>130.596.472-16</t>
  </si>
  <si>
    <t>LD426236</t>
  </si>
  <si>
    <t>Vitória da Rocha</t>
  </si>
  <si>
    <t>381.956.204-42</t>
  </si>
  <si>
    <t>LD130354</t>
  </si>
  <si>
    <t>Camila Farias</t>
  </si>
  <si>
    <t>49751230616</t>
  </si>
  <si>
    <t>497.512.306-16</t>
  </si>
  <si>
    <t>LD361609</t>
  </si>
  <si>
    <t>Bárbara Ribeiro</t>
  </si>
  <si>
    <t>76891305268</t>
  </si>
  <si>
    <t>768.913.052-68</t>
  </si>
  <si>
    <t>LD308781</t>
  </si>
  <si>
    <t>Vitor Hugo Jesus</t>
  </si>
  <si>
    <t>98245176346</t>
  </si>
  <si>
    <t>982.451.763-46</t>
  </si>
  <si>
    <t>LD766275</t>
  </si>
  <si>
    <t>Esther Nascimento</t>
  </si>
  <si>
    <t>871.293.506-95</t>
  </si>
  <si>
    <t>LD612530</t>
  </si>
  <si>
    <t>Luiz Fernando Moura</t>
  </si>
  <si>
    <t>768.352.914-19</t>
  </si>
  <si>
    <t>LD678115</t>
  </si>
  <si>
    <t>Ana Julia Oliveira</t>
  </si>
  <si>
    <t>01648537235</t>
  </si>
  <si>
    <t>016.485.372-35</t>
  </si>
  <si>
    <t>LD971230</t>
  </si>
  <si>
    <t>Sra. Maysa Moura</t>
  </si>
  <si>
    <t>068.517.394-10</t>
  </si>
  <si>
    <t>LD270820</t>
  </si>
  <si>
    <t>Dra. Alice da Conceição</t>
  </si>
  <si>
    <t>472.819.506-67</t>
  </si>
  <si>
    <t>LD778827</t>
  </si>
  <si>
    <t>Pedro Nogueira</t>
  </si>
  <si>
    <t>61378924509</t>
  </si>
  <si>
    <t>613.789.245-09</t>
  </si>
  <si>
    <t>LD638214</t>
  </si>
  <si>
    <t>Mirella Nascimento</t>
  </si>
  <si>
    <t>94675082149</t>
  </si>
  <si>
    <t>946.750.821-49</t>
  </si>
  <si>
    <t>LD597126</t>
  </si>
  <si>
    <t>Gabriel da Rocha</t>
  </si>
  <si>
    <t>640.137.859-00</t>
  </si>
  <si>
    <t>LD108874</t>
  </si>
  <si>
    <t>Milena Gomes</t>
  </si>
  <si>
    <t>62871543062</t>
  </si>
  <si>
    <t>628.715.430-62</t>
  </si>
  <si>
    <t>LD843826</t>
  </si>
  <si>
    <t>Levi da Rosa</t>
  </si>
  <si>
    <t>230.516.948-51</t>
  </si>
  <si>
    <t>LD581294</t>
  </si>
  <si>
    <t>Ana Lívia da Cunha</t>
  </si>
  <si>
    <t>14930257670</t>
  </si>
  <si>
    <t>149.302.576-70</t>
  </si>
  <si>
    <t>LD964352</t>
  </si>
  <si>
    <t>Lucca Rodrigues</t>
  </si>
  <si>
    <t>108.274.536-71</t>
  </si>
  <si>
    <t>LD794530</t>
  </si>
  <si>
    <t>João Miguel Silveira</t>
  </si>
  <si>
    <t>478.629.315-64</t>
  </si>
  <si>
    <t>LD738635</t>
  </si>
  <si>
    <t>Dr. Erick Moreira</t>
  </si>
  <si>
    <t>69028741585</t>
  </si>
  <si>
    <t>690.287.415-85</t>
  </si>
  <si>
    <t>LD452618</t>
  </si>
  <si>
    <t>Antônio Costa</t>
  </si>
  <si>
    <t>843.279.561-55</t>
  </si>
  <si>
    <t>LD787991</t>
  </si>
  <si>
    <t>Alexandre Martins</t>
  </si>
  <si>
    <t>059.682.371-12</t>
  </si>
  <si>
    <t>LD257212</t>
  </si>
  <si>
    <t>Dra. Vitória Cardoso</t>
  </si>
  <si>
    <t>567.980.314-39</t>
  </si>
  <si>
    <t>LD523727</t>
  </si>
  <si>
    <t>Luiz Henrique Santos</t>
  </si>
  <si>
    <t>027.698.351-30</t>
  </si>
  <si>
    <t>LD787237</t>
  </si>
  <si>
    <t>Mirella Viana</t>
  </si>
  <si>
    <t>39815046748</t>
  </si>
  <si>
    <t>398.150.467-48</t>
  </si>
  <si>
    <t>LD507135</t>
  </si>
  <si>
    <t>Dr. Vitor Freitas</t>
  </si>
  <si>
    <t>347.501.968-00</t>
  </si>
  <si>
    <t>LD299140</t>
  </si>
  <si>
    <t>Murilo Campos</t>
  </si>
  <si>
    <t>56897430200</t>
  </si>
  <si>
    <t>568.974.302-00</t>
  </si>
  <si>
    <t>LD769320</t>
  </si>
  <si>
    <t>Gustavo Carvalho</t>
  </si>
  <si>
    <t>195.748.026-20</t>
  </si>
  <si>
    <t>LD631958</t>
  </si>
  <si>
    <t>Dr. Murilo Almeida</t>
  </si>
  <si>
    <t>40367521890</t>
  </si>
  <si>
    <t>403.675.218-90</t>
  </si>
  <si>
    <t>LD289934</t>
  </si>
  <si>
    <t>16043295725</t>
  </si>
  <si>
    <t>160.432.957-25</t>
  </si>
  <si>
    <t>LD860413</t>
  </si>
  <si>
    <t>Laís da Conceição</t>
  </si>
  <si>
    <t>942.560.718-49</t>
  </si>
  <si>
    <t>LD786224</t>
  </si>
  <si>
    <t>Dra. Luana da Rosa</t>
  </si>
  <si>
    <t>74602185967</t>
  </si>
  <si>
    <t>746.021.859-67</t>
  </si>
  <si>
    <t>LD540897</t>
  </si>
  <si>
    <t>Srta. Stephany da Luz</t>
  </si>
  <si>
    <t>764.851.029-49</t>
  </si>
  <si>
    <t>LD408334</t>
  </si>
  <si>
    <t>Nicole Ribeiro</t>
  </si>
  <si>
    <t>56804293738</t>
  </si>
  <si>
    <t>568.042.937-38</t>
  </si>
  <si>
    <t>LD711922</t>
  </si>
  <si>
    <t>Julia Castro</t>
  </si>
  <si>
    <t>250.689.347-47</t>
  </si>
  <si>
    <t>LD624788</t>
  </si>
  <si>
    <t>Leonardo Rocha</t>
  </si>
  <si>
    <t>42315609780</t>
  </si>
  <si>
    <t>423.156.097-80</t>
  </si>
  <si>
    <t>LD533174</t>
  </si>
  <si>
    <t>João Miguel Pereira</t>
  </si>
  <si>
    <t>20193785404</t>
  </si>
  <si>
    <t>201.937.854-04</t>
  </si>
  <si>
    <t>LD459315</t>
  </si>
  <si>
    <t>Brenda Nunes</t>
  </si>
  <si>
    <t>30179524879</t>
  </si>
  <si>
    <t>301.795.248-79</t>
  </si>
  <si>
    <t>LD431752</t>
  </si>
  <si>
    <t>Sra. Stephany Carvalho</t>
  </si>
  <si>
    <t>764.583.209-65</t>
  </si>
  <si>
    <t>LD448787</t>
  </si>
  <si>
    <t>Cauã Rodrigues</t>
  </si>
  <si>
    <t>830.465.917-48</t>
  </si>
  <si>
    <t>LD104942</t>
  </si>
  <si>
    <t>Carolina Nogueira</t>
  </si>
  <si>
    <t>76491028313</t>
  </si>
  <si>
    <t>764.910.283-13</t>
  </si>
  <si>
    <t>LD901619</t>
  </si>
  <si>
    <t>Srta. Julia Teixeira</t>
  </si>
  <si>
    <t>87146503208</t>
  </si>
  <si>
    <t>871.465.032-08</t>
  </si>
  <si>
    <t>LD744328</t>
  </si>
  <si>
    <t>Olivia da Mata</t>
  </si>
  <si>
    <t>08762943529</t>
  </si>
  <si>
    <t>087.629.435-29</t>
  </si>
  <si>
    <t>LD501936</t>
  </si>
  <si>
    <t>Bryan Fernandes</t>
  </si>
  <si>
    <t>01842573950</t>
  </si>
  <si>
    <t>018.425.739-50</t>
  </si>
  <si>
    <t>LD114760</t>
  </si>
  <si>
    <t>Augusto Silveira</t>
  </si>
  <si>
    <t>487.193.256-73</t>
  </si>
  <si>
    <t>LD118786</t>
  </si>
  <si>
    <t>Maitê da Rocha</t>
  </si>
  <si>
    <t>103.895.267-03</t>
  </si>
  <si>
    <t>LD827213</t>
  </si>
  <si>
    <t>Clara Moraes</t>
  </si>
  <si>
    <t>426.098.517-58</t>
  </si>
  <si>
    <t>LD627786</t>
  </si>
  <si>
    <t>Ana Júlia Fernandes</t>
  </si>
  <si>
    <t>623.058.147-71</t>
  </si>
  <si>
    <t>LD404955</t>
  </si>
  <si>
    <t>Melissa Silva</t>
  </si>
  <si>
    <t>92671835086</t>
  </si>
  <si>
    <t>926.718.350-86</t>
  </si>
  <si>
    <t>LD554730</t>
  </si>
  <si>
    <t>Breno Fogaça</t>
  </si>
  <si>
    <t>189.543.076-39</t>
  </si>
  <si>
    <t>LD476701</t>
  </si>
  <si>
    <t>Dr. Danilo das Neves</t>
  </si>
  <si>
    <t>401.376.892-50</t>
  </si>
  <si>
    <t>LD339513</t>
  </si>
  <si>
    <t>Sra. Maria Sophia Rodrigues</t>
  </si>
  <si>
    <t>18574263044</t>
  </si>
  <si>
    <t>185.742.630-44</t>
  </si>
  <si>
    <t>LD718337</t>
  </si>
  <si>
    <t>Davi Luiz Lopes</t>
  </si>
  <si>
    <t>625.974.310-61</t>
  </si>
  <si>
    <t>LD493417</t>
  </si>
  <si>
    <t>Rodrigo Silva</t>
  </si>
  <si>
    <t>298.347.051-23</t>
  </si>
  <si>
    <t>LD150947</t>
  </si>
  <si>
    <t>Renan Peixoto</t>
  </si>
  <si>
    <t>729.834.615-64</t>
  </si>
  <si>
    <t>LD150578</t>
  </si>
  <si>
    <t>Srta. Gabriela Carvalho</t>
  </si>
  <si>
    <t>465.807.923-29</t>
  </si>
  <si>
    <t>LD673867</t>
  </si>
  <si>
    <t>Murilo Caldeira</t>
  </si>
  <si>
    <t>14760398287</t>
  </si>
  <si>
    <t>147.603.982-87</t>
  </si>
  <si>
    <t>LD415743</t>
  </si>
  <si>
    <t>Nicole Teixeira</t>
  </si>
  <si>
    <t>16049732507</t>
  </si>
  <si>
    <t>160.497.325-07</t>
  </si>
  <si>
    <t>LD753050</t>
  </si>
  <si>
    <t>Dra. Marcela Barbosa</t>
  </si>
  <si>
    <t>972.541.603-16</t>
  </si>
  <si>
    <t>LD853681</t>
  </si>
  <si>
    <t>Luiz Gustavo Moraes</t>
  </si>
  <si>
    <t>067.312.958-68</t>
  </si>
  <si>
    <t>LD308296</t>
  </si>
  <si>
    <t>Stella Costa</t>
  </si>
  <si>
    <t>497.261.058-11</t>
  </si>
  <si>
    <t>LD475308</t>
  </si>
  <si>
    <t>Pedro Silva</t>
  </si>
  <si>
    <t>078.926.315-77</t>
  </si>
  <si>
    <t>LD620465</t>
  </si>
  <si>
    <t>Alexandre Monteiro</t>
  </si>
  <si>
    <t>265.083.479-00</t>
  </si>
  <si>
    <t>LD345896</t>
  </si>
  <si>
    <t>Brenda Oliveira</t>
  </si>
  <si>
    <t>17095263434</t>
  </si>
  <si>
    <t>170.952.634-34</t>
  </si>
  <si>
    <t>LD801520</t>
  </si>
  <si>
    <t>João Guilherme Pereira</t>
  </si>
  <si>
    <t>28403516762</t>
  </si>
  <si>
    <t>284.035.167-62</t>
  </si>
  <si>
    <t>LD858711</t>
  </si>
  <si>
    <t>319.208.746-31</t>
  </si>
  <si>
    <t>LD578938</t>
  </si>
  <si>
    <t>Davi Lucca da Paz</t>
  </si>
  <si>
    <t>741.368.520-53</t>
  </si>
  <si>
    <t>LD204657</t>
  </si>
  <si>
    <t>Lívia Nogueira</t>
  </si>
  <si>
    <t>218.607.435-44</t>
  </si>
  <si>
    <t>LD940534</t>
  </si>
  <si>
    <t>Eduarda Barros</t>
  </si>
  <si>
    <t>560.382.417-44</t>
  </si>
  <si>
    <t>LD992596</t>
  </si>
  <si>
    <t>Elisa da Costa</t>
  </si>
  <si>
    <t>823.906.147-87</t>
  </si>
  <si>
    <t>LD444625</t>
  </si>
  <si>
    <t>Rafaela Cavalcanti</t>
  </si>
  <si>
    <t>82364150906</t>
  </si>
  <si>
    <t>823.641.509-06</t>
  </si>
  <si>
    <t>LD868677</t>
  </si>
  <si>
    <t>Guilherme da Mota</t>
  </si>
  <si>
    <t>26041785911</t>
  </si>
  <si>
    <t>260.417.859-11</t>
  </si>
  <si>
    <t>LD520245</t>
  </si>
  <si>
    <t>Samuel Dias</t>
  </si>
  <si>
    <t>35690472883</t>
  </si>
  <si>
    <t>356.904.728-83</t>
  </si>
  <si>
    <t>LD938754</t>
  </si>
  <si>
    <t>Gabriel Moreira</t>
  </si>
  <si>
    <t>45612079885</t>
  </si>
  <si>
    <t>456.120.798-85</t>
  </si>
  <si>
    <t>LD238948</t>
  </si>
  <si>
    <t>Sofia Martins</t>
  </si>
  <si>
    <t>347.280.951-50</t>
  </si>
  <si>
    <t>LD536236</t>
  </si>
  <si>
    <t>Dr. Heitor Correia</t>
  </si>
  <si>
    <t>102.765.489-49</t>
  </si>
  <si>
    <t>LD559447</t>
  </si>
  <si>
    <t>Joana Carvalho</t>
  </si>
  <si>
    <t>12904758305</t>
  </si>
  <si>
    <t>129.047.583-05</t>
  </si>
  <si>
    <t>LD130216</t>
  </si>
  <si>
    <t>Marcelo Mendes</t>
  </si>
  <si>
    <t>473.951.082-05</t>
  </si>
  <si>
    <t>LD606545</t>
  </si>
  <si>
    <t>Raquel Fernandes</t>
  </si>
  <si>
    <t>859.370.641-00</t>
  </si>
  <si>
    <t>LD148205</t>
  </si>
  <si>
    <t>Lívia Aragão</t>
  </si>
  <si>
    <t>24970856338</t>
  </si>
  <si>
    <t>249.708.563-38</t>
  </si>
  <si>
    <t>LD810859</t>
  </si>
  <si>
    <t>Luna Teixeira</t>
  </si>
  <si>
    <t>812.346.597-19</t>
  </si>
  <si>
    <t>LD334865</t>
  </si>
  <si>
    <t>930.648.217-50</t>
  </si>
  <si>
    <t>LD648513</t>
  </si>
  <si>
    <t>Sra. Maria Clara Costa</t>
  </si>
  <si>
    <t>230.419.768-03</t>
  </si>
  <si>
    <t>LD605339</t>
  </si>
  <si>
    <t>Daniel Fogaça</t>
  </si>
  <si>
    <t>03849527123</t>
  </si>
  <si>
    <t>038.495.271-23</t>
  </si>
  <si>
    <t>LD979789</t>
  </si>
  <si>
    <t>Thales Vieira</t>
  </si>
  <si>
    <t>426.985.073-65</t>
  </si>
  <si>
    <t>LD112210</t>
  </si>
  <si>
    <t>Sr. Thomas Freitas</t>
  </si>
  <si>
    <t>240.856.791-20</t>
  </si>
  <si>
    <t>LD273438</t>
  </si>
  <si>
    <t>Pedro Lucas Vieira</t>
  </si>
  <si>
    <t>37926180440</t>
  </si>
  <si>
    <t>379.261.804-40</t>
  </si>
  <si>
    <t>LD391668</t>
  </si>
  <si>
    <t>Dra. Larissa Moura</t>
  </si>
  <si>
    <t>27138650930</t>
  </si>
  <si>
    <t>271.386.509-30</t>
  </si>
  <si>
    <t>LD522866</t>
  </si>
  <si>
    <t>Sabrina da Mata</t>
  </si>
  <si>
    <t>409.163.582-24</t>
  </si>
  <si>
    <t>LD569865</t>
  </si>
  <si>
    <t>Elisa Ramos</t>
  </si>
  <si>
    <t>61250498767</t>
  </si>
  <si>
    <t>612.504.987-67</t>
  </si>
  <si>
    <t>LD621533</t>
  </si>
  <si>
    <t>André Barbosa</t>
  </si>
  <si>
    <t>231.974.086-40</t>
  </si>
  <si>
    <t>LD137572</t>
  </si>
  <si>
    <t>Sra. Rafaela Cardoso</t>
  </si>
  <si>
    <t>327.649.158-37</t>
  </si>
  <si>
    <t>LD749137</t>
  </si>
  <si>
    <t>Felipe Caldeira</t>
  </si>
  <si>
    <t>841.065.297-85</t>
  </si>
  <si>
    <t>LD786393</t>
  </si>
  <si>
    <t>Enzo Gabriel Araújo</t>
  </si>
  <si>
    <t>368.125.749-37</t>
  </si>
  <si>
    <t>LD156911</t>
  </si>
  <si>
    <t>Srta. Luiza da Cunha</t>
  </si>
  <si>
    <t>139.260.547-43</t>
  </si>
  <si>
    <t>LD904694</t>
  </si>
  <si>
    <t>Otávio da Costa</t>
  </si>
  <si>
    <t>265.413.798-82</t>
  </si>
  <si>
    <t>LD850689</t>
  </si>
  <si>
    <t>João Felipe Cavalcanti</t>
  </si>
  <si>
    <t>47528093629</t>
  </si>
  <si>
    <t>475.280.936-29</t>
  </si>
  <si>
    <t>LD102303</t>
  </si>
  <si>
    <t>71843290588</t>
  </si>
  <si>
    <t>718.432.905-88</t>
  </si>
  <si>
    <t>LD647341</t>
  </si>
  <si>
    <t>Vitor Nogueira</t>
  </si>
  <si>
    <t>59736820483</t>
  </si>
  <si>
    <t>597.368.204-83</t>
  </si>
  <si>
    <t>LD247271</t>
  </si>
  <si>
    <t>Maria Clara Sales</t>
  </si>
  <si>
    <t>897.461.305-01</t>
  </si>
  <si>
    <t>LD366641</t>
  </si>
  <si>
    <t>Stephany das Neves</t>
  </si>
  <si>
    <t>135.096.287-21</t>
  </si>
  <si>
    <t>LD579247</t>
  </si>
  <si>
    <t>Benício Monteiro</t>
  </si>
  <si>
    <t>524.317.608-71</t>
  </si>
  <si>
    <t>LD893928</t>
  </si>
  <si>
    <t>Benício Cunha</t>
  </si>
  <si>
    <t>12650387408</t>
  </si>
  <si>
    <t>126.503.874-08</t>
  </si>
  <si>
    <t>LD229204</t>
  </si>
  <si>
    <t>Ana Julia Rocha</t>
  </si>
  <si>
    <t>920.186.735-21</t>
  </si>
  <si>
    <t>LD628689</t>
  </si>
  <si>
    <t>Kamilly da Costa</t>
  </si>
  <si>
    <t>27954831655</t>
  </si>
  <si>
    <t>279.548.316-55</t>
  </si>
  <si>
    <t>LD680099</t>
  </si>
  <si>
    <t>Olivia Alves</t>
  </si>
  <si>
    <t>412.056.879-20</t>
  </si>
  <si>
    <t>LD919023</t>
  </si>
  <si>
    <t>Lara Ramos</t>
  </si>
  <si>
    <t>849.513.670-84</t>
  </si>
  <si>
    <t>LD865979</t>
  </si>
  <si>
    <t>Ana da Rosa</t>
  </si>
  <si>
    <t>603.714.825-26</t>
  </si>
  <si>
    <t>LD735605</t>
  </si>
  <si>
    <t>Dr. João Miguel da Cunha</t>
  </si>
  <si>
    <t>056.129.437-25</t>
  </si>
  <si>
    <t>LD738576</t>
  </si>
  <si>
    <t>Sr. Erick Gomes</t>
  </si>
  <si>
    <t>281.074.653-26</t>
  </si>
  <si>
    <t>LD459513</t>
  </si>
  <si>
    <t>Pedro Miguel Azevedo</t>
  </si>
  <si>
    <t>341.860.952-05</t>
  </si>
  <si>
    <t>LD532794</t>
  </si>
  <si>
    <t>Henrique Alves</t>
  </si>
  <si>
    <t>546.812.379-73</t>
  </si>
  <si>
    <t>LD984027</t>
  </si>
  <si>
    <t>Dra. Ana Luiza Melo</t>
  </si>
  <si>
    <t>681.470.359-93</t>
  </si>
  <si>
    <t>LD763311</t>
  </si>
  <si>
    <t>Davi Lucas Rezende</t>
  </si>
  <si>
    <t>19385642782</t>
  </si>
  <si>
    <t>193.856.427-82</t>
  </si>
  <si>
    <t>LD819964</t>
  </si>
  <si>
    <t>Joaquim Gonçalves</t>
  </si>
  <si>
    <t>56098317259</t>
  </si>
  <si>
    <t>560.983.172-59</t>
  </si>
  <si>
    <t>LD628370</t>
  </si>
  <si>
    <t>Marina Sales</t>
  </si>
  <si>
    <t>102.674.893-31</t>
  </si>
  <si>
    <t>LD897730</t>
  </si>
  <si>
    <t>Sr. Gustavo da Cruz</t>
  </si>
  <si>
    <t>14520796334</t>
  </si>
  <si>
    <t>145.207.963-34</t>
  </si>
  <si>
    <t>LD844618</t>
  </si>
  <si>
    <t>Eloah Pires</t>
  </si>
  <si>
    <t>21709538686</t>
  </si>
  <si>
    <t>217.095.386-86</t>
  </si>
  <si>
    <t>LD988459</t>
  </si>
  <si>
    <t>Dr. João Lucas Cardoso</t>
  </si>
  <si>
    <t>68725049356</t>
  </si>
  <si>
    <t>687.250.493-56</t>
  </si>
  <si>
    <t>LD499371</t>
  </si>
  <si>
    <t>Alana da Costa</t>
  </si>
  <si>
    <t>14698305748</t>
  </si>
  <si>
    <t>146.983.057-48</t>
  </si>
  <si>
    <t>LD886626</t>
  </si>
  <si>
    <t>Natália Carvalho</t>
  </si>
  <si>
    <t>578.943.062-74</t>
  </si>
  <si>
    <t>LD253541</t>
  </si>
  <si>
    <t>João Vitor Pinto</t>
  </si>
  <si>
    <t>365.027.981-95</t>
  </si>
  <si>
    <t>LD890200</t>
  </si>
  <si>
    <t>Lorenzo Azevedo</t>
  </si>
  <si>
    <t>827.156.930-95</t>
  </si>
  <si>
    <t>LD746036</t>
  </si>
  <si>
    <t>Ana Carolina Moreira</t>
  </si>
  <si>
    <t>673.019.852-40</t>
  </si>
  <si>
    <t>LD349136</t>
  </si>
  <si>
    <t>Bruno da Conceição</t>
  </si>
  <si>
    <t>146.023.857-53</t>
  </si>
  <si>
    <t>LD826596</t>
  </si>
  <si>
    <t>Diego Barros</t>
  </si>
  <si>
    <t>165.829.437-82</t>
  </si>
  <si>
    <t>LD926394</t>
  </si>
  <si>
    <t>Maria Alice da Cruz</t>
  </si>
  <si>
    <t>659.704.182-85</t>
  </si>
  <si>
    <t>LD113595</t>
  </si>
  <si>
    <t>Sabrina Lopes</t>
  </si>
  <si>
    <t>027.138.946-03</t>
  </si>
  <si>
    <t>LD764575</t>
  </si>
  <si>
    <t>Rebeca Almeida</t>
  </si>
  <si>
    <t>729.540.638-74</t>
  </si>
  <si>
    <t>LD874320</t>
  </si>
  <si>
    <t>Dra. Stephany da Cunha</t>
  </si>
  <si>
    <t>963.215.048-15</t>
  </si>
  <si>
    <t>LD570616</t>
  </si>
  <si>
    <t>Henrique Santos</t>
  </si>
  <si>
    <t>17836245900</t>
  </si>
  <si>
    <t>178.362.459-00</t>
  </si>
  <si>
    <t>LD870786</t>
  </si>
  <si>
    <t>Sr. Davi Ramos</t>
  </si>
  <si>
    <t>652.491.387-64</t>
  </si>
  <si>
    <t>LD683635</t>
  </si>
  <si>
    <t>Olivia Pinto</t>
  </si>
  <si>
    <t>41860592767</t>
  </si>
  <si>
    <t>418.605.927-67</t>
  </si>
  <si>
    <t>LD446620</t>
  </si>
  <si>
    <t>Sofia Viana</t>
  </si>
  <si>
    <t>17052398460</t>
  </si>
  <si>
    <t>170.523.984-60</t>
  </si>
  <si>
    <t>LD438302</t>
  </si>
  <si>
    <t>Ana Sophia da Paz</t>
  </si>
  <si>
    <t>715.639.408-84</t>
  </si>
  <si>
    <t>LD984096</t>
  </si>
  <si>
    <t>Luiz Fernando Gomes</t>
  </si>
  <si>
    <t>498.631.075-57</t>
  </si>
  <si>
    <t>LD475479</t>
  </si>
  <si>
    <t>Davi Lucas Moura</t>
  </si>
  <si>
    <t>85914362709</t>
  </si>
  <si>
    <t>859.143.627-09</t>
  </si>
  <si>
    <t>LD292800</t>
  </si>
  <si>
    <t>Melissa Novaes</t>
  </si>
  <si>
    <t>062.531.849-89</t>
  </si>
  <si>
    <t>LD669460</t>
  </si>
  <si>
    <t>Caio Costela</t>
  </si>
  <si>
    <t>816.752.930-40</t>
  </si>
  <si>
    <t>LD795556</t>
  </si>
  <si>
    <t>Antônio Pinto</t>
  </si>
  <si>
    <t>02945678101</t>
  </si>
  <si>
    <t>029.456.781-01</t>
  </si>
  <si>
    <t>LD688602</t>
  </si>
  <si>
    <t>Dra. Ana Ramos</t>
  </si>
  <si>
    <t>523.918.640-51</t>
  </si>
  <si>
    <t>LD801432</t>
  </si>
  <si>
    <t>Stella Ferreira</t>
  </si>
  <si>
    <t>04175983600</t>
  </si>
  <si>
    <t>041.759.836-00</t>
  </si>
  <si>
    <t>LD751303</t>
  </si>
  <si>
    <t>Calebe da Conceição</t>
  </si>
  <si>
    <t>49206375199</t>
  </si>
  <si>
    <t>492.063.751-99</t>
  </si>
  <si>
    <t>LD934883</t>
  </si>
  <si>
    <t>Vitória Aragão</t>
  </si>
  <si>
    <t>617.508.342-35</t>
  </si>
  <si>
    <t>LD125905</t>
  </si>
  <si>
    <t>Bruna da Mata</t>
  </si>
  <si>
    <t>402.596.831-24</t>
  </si>
  <si>
    <t>LD941814</t>
  </si>
  <si>
    <t>Mariana Viana</t>
  </si>
  <si>
    <t>024.917.683-13</t>
  </si>
  <si>
    <t>LD301863</t>
  </si>
  <si>
    <t>Sophie da Costa</t>
  </si>
  <si>
    <t>35170268408</t>
  </si>
  <si>
    <t>351.702.684-08</t>
  </si>
  <si>
    <t>LD910883</t>
  </si>
  <si>
    <t>Srta. Emanuelly Freitas</t>
  </si>
  <si>
    <t>731.254.698-64</t>
  </si>
  <si>
    <t>LD802897</t>
  </si>
  <si>
    <t>Juliana da Mota</t>
  </si>
  <si>
    <t>423.568.701-80</t>
  </si>
  <si>
    <t>LD976258</t>
  </si>
  <si>
    <t>67945283047</t>
  </si>
  <si>
    <t>679.452.830-47</t>
  </si>
  <si>
    <t>LD777968</t>
  </si>
  <si>
    <t>Lara da Paz</t>
  </si>
  <si>
    <t>958.703.164-48</t>
  </si>
  <si>
    <t>LD124906</t>
  </si>
  <si>
    <t>Evelyn Souza</t>
  </si>
  <si>
    <t>56071238986</t>
  </si>
  <si>
    <t>560.712.389-86</t>
  </si>
  <si>
    <t>LD156904</t>
  </si>
  <si>
    <t>Enrico Moura</t>
  </si>
  <si>
    <t>52906874167</t>
  </si>
  <si>
    <t>529.068.741-67</t>
  </si>
  <si>
    <t>LD961530</t>
  </si>
  <si>
    <t>Maria Fernanda Martins</t>
  </si>
  <si>
    <t>38192475050</t>
  </si>
  <si>
    <t>381.924.750-50</t>
  </si>
  <si>
    <t>LD760830</t>
  </si>
  <si>
    <t>Emilly Cardoso</t>
  </si>
  <si>
    <t>96827140369</t>
  </si>
  <si>
    <t>968.271.403-69</t>
  </si>
  <si>
    <t>LD660814</t>
  </si>
  <si>
    <t>Guilherme Peixoto</t>
  </si>
  <si>
    <t>19784230550</t>
  </si>
  <si>
    <t>197.842.305-50</t>
  </si>
  <si>
    <t>LD147727</t>
  </si>
  <si>
    <t>Pedro Almeida</t>
  </si>
  <si>
    <t>742.630.815-44</t>
  </si>
  <si>
    <t>LD403915</t>
  </si>
  <si>
    <t>Ana Luiza Peixoto</t>
  </si>
  <si>
    <t>495.623.071-07</t>
  </si>
  <si>
    <t>LD902448</t>
  </si>
  <si>
    <t>Ana Beatriz Novaes</t>
  </si>
  <si>
    <t>478.650.239-10</t>
  </si>
  <si>
    <t>LD597012</t>
  </si>
  <si>
    <t>Benjamin Alves</t>
  </si>
  <si>
    <t>21567380921</t>
  </si>
  <si>
    <t>215.673.809-21</t>
  </si>
  <si>
    <t>LD935474</t>
  </si>
  <si>
    <t>Sra. Maria Alice Almeida</t>
  </si>
  <si>
    <t>049.762.518-02</t>
  </si>
  <si>
    <t>LD412534</t>
  </si>
  <si>
    <t>Vitória Nascimento</t>
  </si>
  <si>
    <t>428.930.156-89</t>
  </si>
  <si>
    <t>LD111691</t>
  </si>
  <si>
    <t>183.475.296-55</t>
  </si>
  <si>
    <t>LD105274</t>
  </si>
  <si>
    <t>Francisco Gonçalves</t>
  </si>
  <si>
    <t>153.869.074-84</t>
  </si>
  <si>
    <t>LD419491</t>
  </si>
  <si>
    <t>André da Rosa</t>
  </si>
  <si>
    <t>76390214804</t>
  </si>
  <si>
    <t>763.902.148-04</t>
  </si>
  <si>
    <t>LD322022</t>
  </si>
  <si>
    <t>Thales Ramos</t>
  </si>
  <si>
    <t>28176935077</t>
  </si>
  <si>
    <t>281.769.350-77</t>
  </si>
  <si>
    <t>LD268772</t>
  </si>
  <si>
    <t>Caroline Campos</t>
  </si>
  <si>
    <t>46257903106</t>
  </si>
  <si>
    <t>462.579.031-06</t>
  </si>
  <si>
    <t>LD220190</t>
  </si>
  <si>
    <t>Vinicius Correia</t>
  </si>
  <si>
    <t>30712895612</t>
  </si>
  <si>
    <t>307.128.956-12</t>
  </si>
  <si>
    <t>LD583671</t>
  </si>
  <si>
    <t>Cauã Vieira</t>
  </si>
  <si>
    <t>156.973.428-37</t>
  </si>
  <si>
    <t>LD362865</t>
  </si>
  <si>
    <t>Emanuelly Moura</t>
  </si>
  <si>
    <t>10653928424</t>
  </si>
  <si>
    <t>106.539.284-24</t>
  </si>
  <si>
    <t>LD474486</t>
  </si>
  <si>
    <t>97605814267</t>
  </si>
  <si>
    <t>976.058.142-67</t>
  </si>
  <si>
    <t>LD749609</t>
  </si>
  <si>
    <t>Arthur Fogaça</t>
  </si>
  <si>
    <t>31827495600</t>
  </si>
  <si>
    <t>318.274.956-00</t>
  </si>
  <si>
    <t>LD444295</t>
  </si>
  <si>
    <t>Thomas Fogaça</t>
  </si>
  <si>
    <t>732.619.485-82</t>
  </si>
  <si>
    <t>LD693024</t>
  </si>
  <si>
    <t>Caio da Mata</t>
  </si>
  <si>
    <t>874.651.930-01</t>
  </si>
  <si>
    <t>LD105066</t>
  </si>
  <si>
    <t>Isaac Ramos</t>
  </si>
  <si>
    <t>20739816403</t>
  </si>
  <si>
    <t>207.398.164-03</t>
  </si>
  <si>
    <t>LD390119</t>
  </si>
  <si>
    <t>957.403.168-39</t>
  </si>
  <si>
    <t>LD603268</t>
  </si>
  <si>
    <t>Miguel Gonçalves</t>
  </si>
  <si>
    <t>38261045790</t>
  </si>
  <si>
    <t>382.610.457-90</t>
  </si>
  <si>
    <t>LD678469</t>
  </si>
  <si>
    <t>Sarah Monteiro</t>
  </si>
  <si>
    <t>84726301535</t>
  </si>
  <si>
    <t>847.263.015-35</t>
  </si>
  <si>
    <t>LD966589</t>
  </si>
  <si>
    <t>Dr. Carlos Eduardo Fogaça</t>
  </si>
  <si>
    <t>80231574932</t>
  </si>
  <si>
    <t>802.315.749-32</t>
  </si>
  <si>
    <t>LD757057</t>
  </si>
  <si>
    <t>Sarah Pinto</t>
  </si>
  <si>
    <t>53178029621</t>
  </si>
  <si>
    <t>531.780.296-21</t>
  </si>
  <si>
    <t>LD762308</t>
  </si>
  <si>
    <t>Camila Ferreira</t>
  </si>
  <si>
    <t>59643270874</t>
  </si>
  <si>
    <t>596.432.708-74</t>
  </si>
  <si>
    <t>LD323095</t>
  </si>
  <si>
    <t>Pietra Mendes</t>
  </si>
  <si>
    <t>916.734.280-96</t>
  </si>
  <si>
    <t>LD595036</t>
  </si>
  <si>
    <t>Nina da Conceição</t>
  </si>
  <si>
    <t>724.961.853-91</t>
  </si>
  <si>
    <t>LD909652</t>
  </si>
  <si>
    <t>034.679.512-52</t>
  </si>
  <si>
    <t>LD625465</t>
  </si>
  <si>
    <t>Isabella Almeida</t>
  </si>
  <si>
    <t>042.768.193-69</t>
  </si>
  <si>
    <t>LD794868</t>
  </si>
  <si>
    <t>Srta. Larissa Cardoso</t>
  </si>
  <si>
    <t>43082169589</t>
  </si>
  <si>
    <t>430.821.695-89</t>
  </si>
  <si>
    <t>LD273899</t>
  </si>
  <si>
    <t>Francisco Jesus</t>
  </si>
  <si>
    <t>942.837.160-22</t>
  </si>
  <si>
    <t>LD693868</t>
  </si>
  <si>
    <t>Kaique Vieira</t>
  </si>
  <si>
    <t>348.027.956-29</t>
  </si>
  <si>
    <t>LD476224</t>
  </si>
  <si>
    <t>Ana Luiza Cunha</t>
  </si>
  <si>
    <t>87549231664</t>
  </si>
  <si>
    <t>875.492.316-64</t>
  </si>
  <si>
    <t>LD377198</t>
  </si>
  <si>
    <t>Júlia Rezende</t>
  </si>
  <si>
    <t>08963712559</t>
  </si>
  <si>
    <t>089.637.125-59</t>
  </si>
  <si>
    <t>LD506945</t>
  </si>
  <si>
    <t>Nathan Silva</t>
  </si>
  <si>
    <t>52403198633</t>
  </si>
  <si>
    <t>524.031.986-33</t>
  </si>
  <si>
    <t>LD780027</t>
  </si>
  <si>
    <t>Laís Barros</t>
  </si>
  <si>
    <t>10465823726</t>
  </si>
  <si>
    <t>104.658.237-26</t>
  </si>
  <si>
    <t>LD975427</t>
  </si>
  <si>
    <t>Miguel Rocha</t>
  </si>
  <si>
    <t>501.946.823-15</t>
  </si>
  <si>
    <t>LD494956</t>
  </si>
  <si>
    <t>Matheus Sales</t>
  </si>
  <si>
    <t>239.756.018-68</t>
  </si>
  <si>
    <t>LD641760</t>
  </si>
  <si>
    <t>Alexandre da Costa</t>
  </si>
  <si>
    <t>91876034548</t>
  </si>
  <si>
    <t>918.760.345-48</t>
  </si>
  <si>
    <t>LD470040</t>
  </si>
  <si>
    <t>Cauã Jesus</t>
  </si>
  <si>
    <t>672.914.835-73</t>
  </si>
  <si>
    <t>LD106918</t>
  </si>
  <si>
    <t>Mariana Costa</t>
  </si>
  <si>
    <t>620.195.487-20</t>
  </si>
  <si>
    <t>LD180832</t>
  </si>
  <si>
    <t>Evelyn Gonçalves</t>
  </si>
  <si>
    <t>175.823.460-17</t>
  </si>
  <si>
    <t>LD265001</t>
  </si>
  <si>
    <t>Lara da Conceição</t>
  </si>
  <si>
    <t>04798362131</t>
  </si>
  <si>
    <t>047.983.621-31</t>
  </si>
  <si>
    <t>LD534753</t>
  </si>
  <si>
    <t>Milena Pires</t>
  </si>
  <si>
    <t>052.386.794-83</t>
  </si>
  <si>
    <t>LD602073</t>
  </si>
  <si>
    <t>Lívia da Rocha</t>
  </si>
  <si>
    <t>58640173290</t>
  </si>
  <si>
    <t>586.401.732-90</t>
  </si>
  <si>
    <t>LD123536</t>
  </si>
  <si>
    <t>Srta. Emilly Jesus</t>
  </si>
  <si>
    <t>61739482573</t>
  </si>
  <si>
    <t>617.394.825-73</t>
  </si>
  <si>
    <t>LD241268</t>
  </si>
  <si>
    <t>Sra. Maria Sophia Monteiro</t>
  </si>
  <si>
    <t>961.087.452-58</t>
  </si>
  <si>
    <t>LD158627</t>
  </si>
  <si>
    <t>Lorena Martins</t>
  </si>
  <si>
    <t>39175840260</t>
  </si>
  <si>
    <t>391.758.402-60</t>
  </si>
  <si>
    <t>LD728471</t>
  </si>
  <si>
    <t>Carlos Eduardo Azevedo</t>
  </si>
  <si>
    <t>175.480.936-75</t>
  </si>
  <si>
    <t>LD189913</t>
  </si>
  <si>
    <t>Isis Cunha</t>
  </si>
  <si>
    <t>98312745637</t>
  </si>
  <si>
    <t>983.127.456-37</t>
  </si>
  <si>
    <t>LD278852</t>
  </si>
  <si>
    <t>Vicente da Cruz</t>
  </si>
  <si>
    <t>68304957256</t>
  </si>
  <si>
    <t>683.049.572-56</t>
  </si>
  <si>
    <t>LD960307</t>
  </si>
  <si>
    <t>Alexandre Moreira</t>
  </si>
  <si>
    <t>681.274.309-78</t>
  </si>
  <si>
    <t>LD275868</t>
  </si>
  <si>
    <t>Lívia Moraes</t>
  </si>
  <si>
    <t>582.603.471-80</t>
  </si>
  <si>
    <t>LD719284</t>
  </si>
  <si>
    <t>Miguel Cardoso</t>
  </si>
  <si>
    <t>28406315717</t>
  </si>
  <si>
    <t>284.063.157-17</t>
  </si>
  <si>
    <t>LD117367</t>
  </si>
  <si>
    <t>Gustavo Fernandes</t>
  </si>
  <si>
    <t>65197204370</t>
  </si>
  <si>
    <t>651.972.043-70</t>
  </si>
  <si>
    <t>LD966662</t>
  </si>
  <si>
    <t>46095731801</t>
  </si>
  <si>
    <t>460.957.318-01</t>
  </si>
  <si>
    <t>LD728950</t>
  </si>
  <si>
    <t>Dr. Francisco da Paz</t>
  </si>
  <si>
    <t>50214783626</t>
  </si>
  <si>
    <t>502.147.836-26</t>
  </si>
  <si>
    <t>LD197716</t>
  </si>
  <si>
    <t>51649702876</t>
  </si>
  <si>
    <t>516.497.028-76</t>
  </si>
  <si>
    <t>LD967719</t>
  </si>
  <si>
    <t>10749235616</t>
  </si>
  <si>
    <t>107.492.356-16</t>
  </si>
  <si>
    <t>LD647403</t>
  </si>
  <si>
    <t>Anthony Caldeira</t>
  </si>
  <si>
    <t>03657984100</t>
  </si>
  <si>
    <t>036.579.841-00</t>
  </si>
  <si>
    <t>LD549793</t>
  </si>
  <si>
    <t>Pietra Costela</t>
  </si>
  <si>
    <t>69203871403</t>
  </si>
  <si>
    <t>692.038.714-03</t>
  </si>
  <si>
    <t>LD717661</t>
  </si>
  <si>
    <t>Ana Carolina Duarte</t>
  </si>
  <si>
    <t>310.894.752-41</t>
  </si>
  <si>
    <t>LD202463</t>
  </si>
  <si>
    <t>Breno Caldeira</t>
  </si>
  <si>
    <t>27980643500</t>
  </si>
  <si>
    <t>279.806.435-00</t>
  </si>
  <si>
    <t>LD397026</t>
  </si>
  <si>
    <t>Otávio Novaes</t>
  </si>
  <si>
    <t>718.024.935-14</t>
  </si>
  <si>
    <t>LD105735</t>
  </si>
  <si>
    <t>Leonardo Jesus</t>
  </si>
  <si>
    <t>584.691.270-20</t>
  </si>
  <si>
    <t>LD223552</t>
  </si>
  <si>
    <t>Dr. Thales Rodrigues</t>
  </si>
  <si>
    <t>413.896.270-04</t>
  </si>
  <si>
    <t>LD528705</t>
  </si>
  <si>
    <t>Sr. Arthur Duarte</t>
  </si>
  <si>
    <t>79103628540</t>
  </si>
  <si>
    <t>791.036.285-40</t>
  </si>
  <si>
    <t>LD365953</t>
  </si>
  <si>
    <t>Benício Freitas</t>
  </si>
  <si>
    <t>96703548200</t>
  </si>
  <si>
    <t>967.035.482-00</t>
  </si>
  <si>
    <t>LD741603</t>
  </si>
  <si>
    <t>Carolina Pinto</t>
  </si>
  <si>
    <t>80497265176</t>
  </si>
  <si>
    <t>804.972.651-76</t>
  </si>
  <si>
    <t>LD678923</t>
  </si>
  <si>
    <t>Vitor Gabriel da Rosa</t>
  </si>
  <si>
    <t>056.739.421-25</t>
  </si>
  <si>
    <t>LD681866</t>
  </si>
  <si>
    <t>Esther Teixeira</t>
  </si>
  <si>
    <t>76413580208</t>
  </si>
  <si>
    <t>764.135.802-08</t>
  </si>
  <si>
    <t>LD911801</t>
  </si>
  <si>
    <t>384.279.061-96</t>
  </si>
  <si>
    <t>LD884140</t>
  </si>
  <si>
    <t>Rafael Fernandes</t>
  </si>
  <si>
    <t>90124658776</t>
  </si>
  <si>
    <t>901.246.587-76</t>
  </si>
  <si>
    <t>LD324875</t>
  </si>
  <si>
    <t>Leonardo Alves</t>
  </si>
  <si>
    <t>705.394.168-00</t>
  </si>
  <si>
    <t>LD830917</t>
  </si>
  <si>
    <t>Guilherme Vieira</t>
  </si>
  <si>
    <t>517.829.460-20</t>
  </si>
  <si>
    <t>LD943442</t>
  </si>
  <si>
    <t>Camila da Conceição</t>
  </si>
  <si>
    <t>90385612702</t>
  </si>
  <si>
    <t>903.856.127-02</t>
  </si>
  <si>
    <t>LD192422</t>
  </si>
  <si>
    <t>Sr. Marcos Vinicius Dias</t>
  </si>
  <si>
    <t>04895267300</t>
  </si>
  <si>
    <t>048.952.673-00</t>
  </si>
  <si>
    <t>LD139589</t>
  </si>
  <si>
    <t>Breno Santos</t>
  </si>
  <si>
    <t>718.962.435-09</t>
  </si>
  <si>
    <t>LD788049</t>
  </si>
  <si>
    <t>Lara Gomes</t>
  </si>
  <si>
    <t>205.497.361-07</t>
  </si>
  <si>
    <t>LD911187</t>
  </si>
  <si>
    <t>Pedro Henrique Araújo</t>
  </si>
  <si>
    <t>250.914.736-61</t>
  </si>
  <si>
    <t>LD311505</t>
  </si>
  <si>
    <t>Dr. Enrico Nascimento</t>
  </si>
  <si>
    <t>902.358.461-98</t>
  </si>
  <si>
    <t>LD304206</t>
  </si>
  <si>
    <t>Srta. Marcela Barros</t>
  </si>
  <si>
    <t>97826150485</t>
  </si>
  <si>
    <t>978.261.504-85</t>
  </si>
  <si>
    <t>LD745073</t>
  </si>
  <si>
    <t>Sr. Lorenzo Lopes</t>
  </si>
  <si>
    <t>13758209668</t>
  </si>
  <si>
    <t>137.582.096-68</t>
  </si>
  <si>
    <t>LD265092</t>
  </si>
  <si>
    <t>Dr. Otávio Dias</t>
  </si>
  <si>
    <t>76341859066</t>
  </si>
  <si>
    <t>763.418.590-66</t>
  </si>
  <si>
    <t>LD802191</t>
  </si>
  <si>
    <t>Gustavo Henrique Mendes</t>
  </si>
  <si>
    <t>51836472919</t>
  </si>
  <si>
    <t>518.364.729-19</t>
  </si>
  <si>
    <t>LD872722</t>
  </si>
  <si>
    <t>Diego Ramos</t>
  </si>
  <si>
    <t>021.384.659-42</t>
  </si>
  <si>
    <t>LD861411</t>
  </si>
  <si>
    <t>Leandro Araújo</t>
  </si>
  <si>
    <t>219.463.580-70</t>
  </si>
  <si>
    <t>LD955129</t>
  </si>
  <si>
    <t>Dra. Eduarda Gonçalves</t>
  </si>
  <si>
    <t>15846702317</t>
  </si>
  <si>
    <t>158.467.023-17</t>
  </si>
  <si>
    <t>LD523579</t>
  </si>
  <si>
    <t>Sra. Lavínia Oliveira</t>
  </si>
  <si>
    <t>764.831.920-96</t>
  </si>
  <si>
    <t>LD211636</t>
  </si>
  <si>
    <t>Nicolas Moura</t>
  </si>
  <si>
    <t>765.314.208-71</t>
  </si>
  <si>
    <t>LD941945</t>
  </si>
  <si>
    <t>Heloísa Barros</t>
  </si>
  <si>
    <t>986.273.504-00</t>
  </si>
  <si>
    <t>LD362292</t>
  </si>
  <si>
    <t>Dra. Cecília Pinto</t>
  </si>
  <si>
    <t>845.027.163-08</t>
  </si>
  <si>
    <t>LD907369</t>
  </si>
  <si>
    <t>Laura das Neves</t>
  </si>
  <si>
    <t>24870195305</t>
  </si>
  <si>
    <t>248.701.953-05</t>
  </si>
  <si>
    <t>LD583100</t>
  </si>
  <si>
    <t>Maitê da Cunha</t>
  </si>
  <si>
    <t>093.876.241-96</t>
  </si>
  <si>
    <t>LD370343</t>
  </si>
  <si>
    <t>Sabrina Pires</t>
  </si>
  <si>
    <t>82790531668</t>
  </si>
  <si>
    <t>827.905.316-68</t>
  </si>
  <si>
    <t>LD939030</t>
  </si>
  <si>
    <t>Daniel Freitas</t>
  </si>
  <si>
    <t>15987024676</t>
  </si>
  <si>
    <t>159.870.246-76</t>
  </si>
  <si>
    <t>LD110195</t>
  </si>
  <si>
    <t>Marina Silva</t>
  </si>
  <si>
    <t>150.374.286-53</t>
  </si>
  <si>
    <t>LD518309</t>
  </si>
  <si>
    <t>Alana Farias</t>
  </si>
  <si>
    <t>263.519.708-30</t>
  </si>
  <si>
    <t>LD287155</t>
  </si>
  <si>
    <t>Thomas Sales</t>
  </si>
  <si>
    <t>42350916707</t>
  </si>
  <si>
    <t>423.509.167-07</t>
  </si>
  <si>
    <t>LD291663</t>
  </si>
  <si>
    <t>206.594.378-56</t>
  </si>
  <si>
    <t>LD872918</t>
  </si>
  <si>
    <t>Dr. Luiz Miguel da Mata</t>
  </si>
  <si>
    <t>43958672191</t>
  </si>
  <si>
    <t>439.586.721-91</t>
  </si>
  <si>
    <t>LD340341</t>
  </si>
  <si>
    <t>Evelyn Castro</t>
  </si>
  <si>
    <t>31496287509</t>
  </si>
  <si>
    <t>314.962.875-09</t>
  </si>
  <si>
    <t>LD263573</t>
  </si>
  <si>
    <t>Lucas Gabriel Lopes</t>
  </si>
  <si>
    <t>156.893.427-00</t>
  </si>
  <si>
    <t>LD743644</t>
  </si>
  <si>
    <t>Antônio Gonçalves</t>
  </si>
  <si>
    <t>48367021517</t>
  </si>
  <si>
    <t>483.670.215-17</t>
  </si>
  <si>
    <t>LD489227</t>
  </si>
  <si>
    <t>Laura Pereira</t>
  </si>
  <si>
    <t>640.231.957-07</t>
  </si>
  <si>
    <t>LD388078</t>
  </si>
  <si>
    <t>Júlia das Neves</t>
  </si>
  <si>
    <t>92365084729</t>
  </si>
  <si>
    <t>923.650.847-29</t>
  </si>
  <si>
    <t>LD517206</t>
  </si>
  <si>
    <t>João Miguel Carvalho</t>
  </si>
  <si>
    <t>59180473601</t>
  </si>
  <si>
    <t>591.804.736-01</t>
  </si>
  <si>
    <t>LD938095</t>
  </si>
  <si>
    <t>Julia Dias</t>
  </si>
  <si>
    <t>42583190660</t>
  </si>
  <si>
    <t>425.831.906-60</t>
  </si>
  <si>
    <t>LD464158</t>
  </si>
  <si>
    <t>Vitor Gabriel Souza</t>
  </si>
  <si>
    <t>18673095212</t>
  </si>
  <si>
    <t>186.730.952-12</t>
  </si>
  <si>
    <t>LD226215</t>
  </si>
  <si>
    <t>Pedro Lucas Farias</t>
  </si>
  <si>
    <t>041.635.728-80</t>
  </si>
  <si>
    <t>LD112394</t>
  </si>
  <si>
    <t>Breno Cardoso</t>
  </si>
  <si>
    <t>860.754.193-57</t>
  </si>
  <si>
    <t>LD479167</t>
  </si>
  <si>
    <t>Gabriela Martins</t>
  </si>
  <si>
    <t>680.293.174-50</t>
  </si>
  <si>
    <t>LD348658</t>
  </si>
  <si>
    <t>Lorena Nascimento</t>
  </si>
  <si>
    <t>46173928582</t>
  </si>
  <si>
    <t>461.739.285-82</t>
  </si>
  <si>
    <t>LD292847</t>
  </si>
  <si>
    <t>Dra. Lívia Farias</t>
  </si>
  <si>
    <t>60753281902</t>
  </si>
  <si>
    <t>607.532.819-02</t>
  </si>
  <si>
    <t>LD482812</t>
  </si>
  <si>
    <t>João Vitor Dias</t>
  </si>
  <si>
    <t>759.402.683-74</t>
  </si>
  <si>
    <t>LD237509</t>
  </si>
  <si>
    <t>Bárbara da Rocha</t>
  </si>
  <si>
    <t>731.984.520-23</t>
  </si>
  <si>
    <t>LD943146</t>
  </si>
  <si>
    <t>Eloah Oliveira</t>
  </si>
  <si>
    <t>45207936107</t>
  </si>
  <si>
    <t>452.079.361-07</t>
  </si>
  <si>
    <t>LD252928</t>
  </si>
  <si>
    <t>Vitor Gabriel Rodrigues</t>
  </si>
  <si>
    <t>875.912.346-09</t>
  </si>
  <si>
    <t>LD285186</t>
  </si>
  <si>
    <t>Sarah Cardoso</t>
  </si>
  <si>
    <t>16937052499</t>
  </si>
  <si>
    <t>169.370.524-99</t>
  </si>
  <si>
    <t>LD659921</t>
  </si>
  <si>
    <t>Leonardo Correia</t>
  </si>
  <si>
    <t>067.154.398-93</t>
  </si>
  <si>
    <t>LD689444</t>
  </si>
  <si>
    <t>Gustavo Costa</t>
  </si>
  <si>
    <t>648.729.530-29</t>
  </si>
  <si>
    <t>LD162952</t>
  </si>
  <si>
    <t>95436128033</t>
  </si>
  <si>
    <t>954.361.280-33</t>
  </si>
  <si>
    <t>LD571706</t>
  </si>
  <si>
    <t>Raquel Ribeiro</t>
  </si>
  <si>
    <t>056.173.948-00</t>
  </si>
  <si>
    <t>LD684572</t>
  </si>
  <si>
    <t>Eduardo Castro</t>
  </si>
  <si>
    <t>875.064.329-00</t>
  </si>
  <si>
    <t>LD227126</t>
  </si>
  <si>
    <t>Sr. João Felipe Alves</t>
  </si>
  <si>
    <t>34869721546</t>
  </si>
  <si>
    <t>348.697.215-46</t>
  </si>
  <si>
    <t>LD704875</t>
  </si>
  <si>
    <t>Maria Cecília da Paz</t>
  </si>
  <si>
    <t>129.578.630-30</t>
  </si>
  <si>
    <t>LD472358</t>
  </si>
  <si>
    <t>Maria Sophia Nogueira</t>
  </si>
  <si>
    <t>54716098249</t>
  </si>
  <si>
    <t>547.160.982-49</t>
  </si>
  <si>
    <t>LD182216</t>
  </si>
  <si>
    <t>Bianca da Conceição</t>
  </si>
  <si>
    <t>27098516368</t>
  </si>
  <si>
    <t>270.985.163-68</t>
  </si>
  <si>
    <t>LD275715</t>
  </si>
  <si>
    <t>481.793.562-64</t>
  </si>
  <si>
    <t>LD699405</t>
  </si>
  <si>
    <t>81395267464</t>
  </si>
  <si>
    <t>813.952.674-64</t>
  </si>
  <si>
    <t>LD460317</t>
  </si>
  <si>
    <t>Sra. Nina Costa</t>
  </si>
  <si>
    <t>86510234998</t>
  </si>
  <si>
    <t>865.102.349-98</t>
  </si>
  <si>
    <t>LD380465</t>
  </si>
  <si>
    <t>Clara da Mota</t>
  </si>
  <si>
    <t>652.801.349-70</t>
  </si>
  <si>
    <t>LD884225</t>
  </si>
  <si>
    <t>Gabriela Melo</t>
  </si>
  <si>
    <t>154.706.289-49</t>
  </si>
  <si>
    <t>LD292818</t>
  </si>
  <si>
    <t>Julia Barbosa</t>
  </si>
  <si>
    <t>490.873.615-48</t>
  </si>
  <si>
    <t>LD880009</t>
  </si>
  <si>
    <t>Dra. Sophia Viana</t>
  </si>
  <si>
    <t>105.849.762-67</t>
  </si>
  <si>
    <t>LD208013</t>
  </si>
  <si>
    <t>05164278901</t>
  </si>
  <si>
    <t>051.642.789-01</t>
  </si>
  <si>
    <t>LD156440</t>
  </si>
  <si>
    <t>Gabrielly da Cunha</t>
  </si>
  <si>
    <t>95083674238</t>
  </si>
  <si>
    <t>950.836.742-38</t>
  </si>
  <si>
    <t>LD375201</t>
  </si>
  <si>
    <t>Bianca Fogaça</t>
  </si>
  <si>
    <t>127.084.953-05</t>
  </si>
  <si>
    <t>LD340497</t>
  </si>
  <si>
    <t>Sofia Almeida</t>
  </si>
  <si>
    <t>49502367170</t>
  </si>
  <si>
    <t>495.023.671-70</t>
  </si>
  <si>
    <t>LD237654</t>
  </si>
  <si>
    <t>Bryan da Mata</t>
  </si>
  <si>
    <t>125.470.968-11</t>
  </si>
  <si>
    <t>LD474175</t>
  </si>
  <si>
    <t>Dr. Bruno Farias</t>
  </si>
  <si>
    <t>432.708.651-71</t>
  </si>
  <si>
    <t>LD666843</t>
  </si>
  <si>
    <t>Gabrielly Oliveira</t>
  </si>
  <si>
    <t>394.162.785-64</t>
  </si>
  <si>
    <t>LD285636</t>
  </si>
  <si>
    <t>Luigi Moraes</t>
  </si>
  <si>
    <t>958.674.320-92</t>
  </si>
  <si>
    <t>LD556106</t>
  </si>
  <si>
    <t>Joana da Costa</t>
  </si>
  <si>
    <t>836.257.194-28</t>
  </si>
  <si>
    <t>LD605048</t>
  </si>
  <si>
    <t>Stella da Rocha</t>
  </si>
  <si>
    <t>437.205.189-14</t>
  </si>
  <si>
    <t>LD483551</t>
  </si>
  <si>
    <t>Giovanna Moura</t>
  </si>
  <si>
    <t>96025784329</t>
  </si>
  <si>
    <t>960.257.843-29</t>
  </si>
  <si>
    <t>LD648736</t>
  </si>
  <si>
    <t>Helena Mendes</t>
  </si>
  <si>
    <t>125.893.704-23</t>
  </si>
  <si>
    <t>LD591989</t>
  </si>
  <si>
    <t>Laís Pinto</t>
  </si>
  <si>
    <t>673.259.418-46</t>
  </si>
  <si>
    <t>LD414164</t>
  </si>
  <si>
    <t>Enzo Santos</t>
  </si>
  <si>
    <t>16872435062</t>
  </si>
  <si>
    <t>168.724.350-62</t>
  </si>
  <si>
    <t>LD342446</t>
  </si>
  <si>
    <t>Bárbara Jesus</t>
  </si>
  <si>
    <t>983.415.207-88</t>
  </si>
  <si>
    <t>LD687783</t>
  </si>
  <si>
    <t>João Felipe Ramos</t>
  </si>
  <si>
    <t>62705149325</t>
  </si>
  <si>
    <t>627.051.493-25</t>
  </si>
  <si>
    <t>LD968668</t>
  </si>
  <si>
    <t>Diego Duarte</t>
  </si>
  <si>
    <t>36157820462</t>
  </si>
  <si>
    <t>361.578.204-62</t>
  </si>
  <si>
    <t>LD641704</t>
  </si>
  <si>
    <t>Sr. Lucas Vieira</t>
  </si>
  <si>
    <t>637.589.104-39</t>
  </si>
  <si>
    <t>LD398505</t>
  </si>
  <si>
    <t>Sr. João Martins</t>
  </si>
  <si>
    <t>468.902.375-10</t>
  </si>
  <si>
    <t>LD297132</t>
  </si>
  <si>
    <t>Camila Duarte</t>
  </si>
  <si>
    <t>598.406.372-74</t>
  </si>
  <si>
    <t>LD767830</t>
  </si>
  <si>
    <t>Caroline Barbosa</t>
  </si>
  <si>
    <t>34602918778</t>
  </si>
  <si>
    <t>346.029.187-78</t>
  </si>
  <si>
    <t>LD615895</t>
  </si>
  <si>
    <t>João Pedro Rocha</t>
  </si>
  <si>
    <t>04617395857</t>
  </si>
  <si>
    <t>046.173.958-57</t>
  </si>
  <si>
    <t>LD123205</t>
  </si>
  <si>
    <t>60271439599</t>
  </si>
  <si>
    <t>602.714.395-99</t>
  </si>
  <si>
    <t>LD849937</t>
  </si>
  <si>
    <t>Milena Nunes</t>
  </si>
  <si>
    <t>60432895124</t>
  </si>
  <si>
    <t>604.328.951-24</t>
  </si>
  <si>
    <t>LD115440</t>
  </si>
  <si>
    <t>Raquel Melo</t>
  </si>
  <si>
    <t>85167342007</t>
  </si>
  <si>
    <t>851.673.420-07</t>
  </si>
  <si>
    <t>LD489438</t>
  </si>
  <si>
    <t>Joaquim Ferreira</t>
  </si>
  <si>
    <t>38790625447</t>
  </si>
  <si>
    <t>387.906.254-47</t>
  </si>
  <si>
    <t>LD984522</t>
  </si>
  <si>
    <t>Laís Moreira</t>
  </si>
  <si>
    <t>054.328.971-05</t>
  </si>
  <si>
    <t>LD174852</t>
  </si>
  <si>
    <t>João Gabriel Peixoto</t>
  </si>
  <si>
    <t>075.289.413-79</t>
  </si>
  <si>
    <t>LD968485</t>
  </si>
  <si>
    <t>Sra. Elisa da Luz</t>
  </si>
  <si>
    <t>18975634264</t>
  </si>
  <si>
    <t>189.756.342-64</t>
  </si>
  <si>
    <t>LD503489</t>
  </si>
  <si>
    <t>870.925.634-29</t>
  </si>
  <si>
    <t>LD308855</t>
  </si>
  <si>
    <t>Rebeca Cardoso</t>
  </si>
  <si>
    <t>54630127925</t>
  </si>
  <si>
    <t>546.301.279-25</t>
  </si>
  <si>
    <t>LD595793</t>
  </si>
  <si>
    <t>Ana Sophia da Mota</t>
  </si>
  <si>
    <t>94876512094</t>
  </si>
  <si>
    <t>948.765.120-94</t>
  </si>
  <si>
    <t>LD759726</t>
  </si>
  <si>
    <t>Lorena da Rosa</t>
  </si>
  <si>
    <t>642.780.351-44</t>
  </si>
  <si>
    <t>LD228074</t>
  </si>
  <si>
    <t>Juan da Rocha</t>
  </si>
  <si>
    <t>06278359456</t>
  </si>
  <si>
    <t>062.783.594-56</t>
  </si>
  <si>
    <t>LD154617</t>
  </si>
  <si>
    <t>Thales Martins</t>
  </si>
  <si>
    <t>314.567.928-73</t>
  </si>
  <si>
    <t>LD763653</t>
  </si>
  <si>
    <t>Helena Viana</t>
  </si>
  <si>
    <t>67029541820</t>
  </si>
  <si>
    <t>670.295.418-20</t>
  </si>
  <si>
    <t>LD225461</t>
  </si>
  <si>
    <t>Sra. Cecília Teixeira</t>
  </si>
  <si>
    <t>26430759199</t>
  </si>
  <si>
    <t>264.307.591-99</t>
  </si>
  <si>
    <t>LD921533</t>
  </si>
  <si>
    <t>Sr. Emanuel Souza</t>
  </si>
  <si>
    <t>548.623.709-00</t>
  </si>
  <si>
    <t>LD908239</t>
  </si>
  <si>
    <t>Bárbara Moraes</t>
  </si>
  <si>
    <t>96870235112</t>
  </si>
  <si>
    <t>968.702.351-12</t>
  </si>
  <si>
    <t>LD454861</t>
  </si>
  <si>
    <t>João Miguel Costa</t>
  </si>
  <si>
    <t>163.904.257-16</t>
  </si>
  <si>
    <t>LD162678</t>
  </si>
  <si>
    <t>Sra. Maria Clara Oliveira</t>
  </si>
  <si>
    <t>53642978029</t>
  </si>
  <si>
    <t>536.429.780-29</t>
  </si>
  <si>
    <t>LD231939</t>
  </si>
  <si>
    <t>Maysa Lopes</t>
  </si>
  <si>
    <t>89613547282</t>
  </si>
  <si>
    <t>896.135.472-82</t>
  </si>
  <si>
    <t>LD944654</t>
  </si>
  <si>
    <t>João Gomes</t>
  </si>
  <si>
    <t>085.631.942-24</t>
  </si>
  <si>
    <t>LD496119</t>
  </si>
  <si>
    <t>Caroline Araújo</t>
  </si>
  <si>
    <t>93246507180</t>
  </si>
  <si>
    <t>932.465.071-80</t>
  </si>
  <si>
    <t>LD840951</t>
  </si>
  <si>
    <t>Sr. Davi Luiz Ribeiro</t>
  </si>
  <si>
    <t>15084397610</t>
  </si>
  <si>
    <t>150.843.976-10</t>
  </si>
  <si>
    <t>LD298994</t>
  </si>
  <si>
    <t>Srta. Camila Ribeiro</t>
  </si>
  <si>
    <t>352.708.169-03</t>
  </si>
  <si>
    <t>LD591147</t>
  </si>
  <si>
    <t>Rodrigo Pires</t>
  </si>
  <si>
    <t>32745086910</t>
  </si>
  <si>
    <t>327.450.869-10</t>
  </si>
  <si>
    <t>LD172222</t>
  </si>
  <si>
    <t>Srta. Agatha Azevedo</t>
  </si>
  <si>
    <t>687.930.514-84</t>
  </si>
  <si>
    <t>LD484945</t>
  </si>
  <si>
    <t>Melissa Teixeira</t>
  </si>
  <si>
    <t>07865921411</t>
  </si>
  <si>
    <t>078.659.214-11</t>
  </si>
  <si>
    <t>LD869295</t>
  </si>
  <si>
    <t>Raquel Silva</t>
  </si>
  <si>
    <t>76109284378</t>
  </si>
  <si>
    <t>761.092.843-78</t>
  </si>
  <si>
    <t>LD750324</t>
  </si>
  <si>
    <t>Mirella Mendes</t>
  </si>
  <si>
    <t>23719058441</t>
  </si>
  <si>
    <t>237.190.584-41</t>
  </si>
  <si>
    <t>LD958835</t>
  </si>
  <si>
    <t>Sra. Sophia Farias</t>
  </si>
  <si>
    <t>45983267191</t>
  </si>
  <si>
    <t>459.832.671-91</t>
  </si>
  <si>
    <t>LD261618</t>
  </si>
  <si>
    <t>Noah Azevedo</t>
  </si>
  <si>
    <t>294.018.735-50</t>
  </si>
  <si>
    <t>LD215830</t>
  </si>
  <si>
    <t>Srta. Maria Fernanda Lima</t>
  </si>
  <si>
    <t>79415682337</t>
  </si>
  <si>
    <t>794.156.823-37</t>
  </si>
  <si>
    <t>LD287316</t>
  </si>
  <si>
    <t>Eloah Dias</t>
  </si>
  <si>
    <t>034.179.268-31</t>
  </si>
  <si>
    <t>LD203550</t>
  </si>
  <si>
    <t>Bárbara Monteiro</t>
  </si>
  <si>
    <t>28549367010</t>
  </si>
  <si>
    <t>285.493.670-10</t>
  </si>
  <si>
    <t>LD651363</t>
  </si>
  <si>
    <t>Luana da Luz</t>
  </si>
  <si>
    <t>760.592.138-12</t>
  </si>
  <si>
    <t>LD331444</t>
  </si>
  <si>
    <t>Guilherme Costa</t>
  </si>
  <si>
    <t>357.940.128-97</t>
  </si>
  <si>
    <t>LD972496</t>
  </si>
  <si>
    <t>Alícia Nunes</t>
  </si>
  <si>
    <t>15924803732</t>
  </si>
  <si>
    <t>159.248.037-32</t>
  </si>
  <si>
    <t>LD685126</t>
  </si>
  <si>
    <t>Elisa Farias</t>
  </si>
  <si>
    <t>423.157.609-25</t>
  </si>
  <si>
    <t>LD842846</t>
  </si>
  <si>
    <t>Bryan da Mota</t>
  </si>
  <si>
    <t>12409578314</t>
  </si>
  <si>
    <t>124.095.783-14</t>
  </si>
  <si>
    <t>LD869969</t>
  </si>
  <si>
    <t>Luiz Otávio Barros</t>
  </si>
  <si>
    <t>51370698410</t>
  </si>
  <si>
    <t>513.706.984-10</t>
  </si>
  <si>
    <t>LD206142</t>
  </si>
  <si>
    <t>Maria Sophia da Rosa</t>
  </si>
  <si>
    <t>974.806.351-84</t>
  </si>
  <si>
    <t>LD651752</t>
  </si>
  <si>
    <t>046.823.175-71</t>
  </si>
  <si>
    <t>LD885587</t>
  </si>
  <si>
    <t>Pedro Jesus</t>
  </si>
  <si>
    <t>483.269.571-19</t>
  </si>
  <si>
    <t>LD475351</t>
  </si>
  <si>
    <t>Luigi Almeida</t>
  </si>
  <si>
    <t>587.319.042-97</t>
  </si>
  <si>
    <t>LD274912</t>
  </si>
  <si>
    <t>Heloísa Teixeira</t>
  </si>
  <si>
    <t>231.675.984-09</t>
  </si>
  <si>
    <t>LD789472</t>
  </si>
  <si>
    <t>Lorena Cavalcanti</t>
  </si>
  <si>
    <t>43271580626</t>
  </si>
  <si>
    <t>432.715.806-26</t>
  </si>
  <si>
    <t>LD430463</t>
  </si>
  <si>
    <t>Bruna Martins</t>
  </si>
  <si>
    <t>876.952.134-46</t>
  </si>
  <si>
    <t>LD901305</t>
  </si>
  <si>
    <t>João Lucas da Conceição</t>
  </si>
  <si>
    <t>458.672.319-09</t>
  </si>
  <si>
    <t>LD352415</t>
  </si>
  <si>
    <t>Sophie Peixoto</t>
  </si>
  <si>
    <t>069.321.847-96</t>
  </si>
  <si>
    <t>LD477496</t>
  </si>
  <si>
    <t>Srta. Cecília Fernandes</t>
  </si>
  <si>
    <t>450.238.697-92</t>
  </si>
  <si>
    <t>LD861594</t>
  </si>
  <si>
    <t>Pedro Henrique Santos</t>
  </si>
  <si>
    <t>74109523850</t>
  </si>
  <si>
    <t>741.095.238-50</t>
  </si>
  <si>
    <t>LD241647</t>
  </si>
  <si>
    <t>Lorena Barbosa</t>
  </si>
  <si>
    <t>673.245.809-47</t>
  </si>
  <si>
    <t>LD325258</t>
  </si>
  <si>
    <t>Heloísa Freitas</t>
  </si>
  <si>
    <t>857.203.169-30</t>
  </si>
  <si>
    <t>LD680557</t>
  </si>
  <si>
    <t>Sra. Brenda da Costa</t>
  </si>
  <si>
    <t>943.807.162-87</t>
  </si>
  <si>
    <t>LD198867</t>
  </si>
  <si>
    <t>Evelyn Aragão</t>
  </si>
  <si>
    <t>21569380406</t>
  </si>
  <si>
    <t>215.693.804-06</t>
  </si>
  <si>
    <t>LD484914</t>
  </si>
  <si>
    <t>Lorenzo Moreira</t>
  </si>
  <si>
    <t>534.270.198-88</t>
  </si>
  <si>
    <t>LD196369</t>
  </si>
  <si>
    <t>Luiza Barros</t>
  </si>
  <si>
    <t>805.943.621-05</t>
  </si>
  <si>
    <t>LD858729</t>
  </si>
  <si>
    <t>Luiza Gomes</t>
  </si>
  <si>
    <t>95180462398</t>
  </si>
  <si>
    <t>951.804.623-98</t>
  </si>
  <si>
    <t>LD836989</t>
  </si>
  <si>
    <t>Luiz Gustavo Carvalho</t>
  </si>
  <si>
    <t>973.608.214-87</t>
  </si>
  <si>
    <t>LD414985</t>
  </si>
  <si>
    <t>Srta. Milena Melo</t>
  </si>
  <si>
    <t>12534609815</t>
  </si>
  <si>
    <t>125.346.098-15</t>
  </si>
  <si>
    <t>LD918017</t>
  </si>
  <si>
    <t>03581274671</t>
  </si>
  <si>
    <t>035.812.746-71</t>
  </si>
  <si>
    <t>LD555401</t>
  </si>
  <si>
    <t>Milena da Paz</t>
  </si>
  <si>
    <t>95216870377</t>
  </si>
  <si>
    <t>952.168.703-77</t>
  </si>
  <si>
    <t>LD764678</t>
  </si>
  <si>
    <t>285.097.146-49</t>
  </si>
  <si>
    <t>LD143182</t>
  </si>
  <si>
    <t>Davi Lucca Pereira</t>
  </si>
  <si>
    <t>43862017931</t>
  </si>
  <si>
    <t>438.620.179-31</t>
  </si>
  <si>
    <t>LD831663</t>
  </si>
  <si>
    <t>Alice Pires</t>
  </si>
  <si>
    <t>36098517401</t>
  </si>
  <si>
    <t>360.985.174-01</t>
  </si>
  <si>
    <t>LD567262</t>
  </si>
  <si>
    <t>Bryan da Luz</t>
  </si>
  <si>
    <t>891.760.325-40</t>
  </si>
  <si>
    <t>LD552917</t>
  </si>
  <si>
    <t>Dr. Diogo da Rocha</t>
  </si>
  <si>
    <t>18532409660</t>
  </si>
  <si>
    <t>185.324.096-60</t>
  </si>
  <si>
    <t>LD186554</t>
  </si>
  <si>
    <t>61529037859</t>
  </si>
  <si>
    <t>615.290.378-59</t>
  </si>
  <si>
    <t>LD375311</t>
  </si>
  <si>
    <t>Srta. Milena Nogueira</t>
  </si>
  <si>
    <t>70456283900</t>
  </si>
  <si>
    <t>704.562.839-00</t>
  </si>
  <si>
    <t>LD899049</t>
  </si>
  <si>
    <t>Alana Costela</t>
  </si>
  <si>
    <t>82953047638</t>
  </si>
  <si>
    <t>829.530.476-38</t>
  </si>
  <si>
    <t>LD783932</t>
  </si>
  <si>
    <t>Dra. Evelyn Moura</t>
  </si>
  <si>
    <t>962.315.470-43</t>
  </si>
  <si>
    <t>LD358207</t>
  </si>
  <si>
    <t>Yuri da Cruz</t>
  </si>
  <si>
    <t>07328645180</t>
  </si>
  <si>
    <t>073.286.451-80</t>
  </si>
  <si>
    <t>LD817999</t>
  </si>
  <si>
    <t>Isaac Araújo</t>
  </si>
  <si>
    <t>702.384.695-65</t>
  </si>
  <si>
    <t>LD544114</t>
  </si>
  <si>
    <t>André Monteiro</t>
  </si>
  <si>
    <t>31607948222</t>
  </si>
  <si>
    <t>316.079.482-22</t>
  </si>
  <si>
    <t>LD787247</t>
  </si>
  <si>
    <t>Maysa Almeida</t>
  </si>
  <si>
    <t>47821693022</t>
  </si>
  <si>
    <t>478.216.930-22</t>
  </si>
  <si>
    <t>LD961493</t>
  </si>
  <si>
    <t>Sofia da Paz</t>
  </si>
  <si>
    <t>239.615.078-21</t>
  </si>
  <si>
    <t>LD147057</t>
  </si>
  <si>
    <t>Esther Cavalcanti</t>
  </si>
  <si>
    <t>394.152.786-09</t>
  </si>
  <si>
    <t>LD263568</t>
  </si>
  <si>
    <t>Manuela Silveira</t>
  </si>
  <si>
    <t>942.736.180-87</t>
  </si>
  <si>
    <t>LD354854</t>
  </si>
  <si>
    <t>Marina Barros</t>
  </si>
  <si>
    <t>320.157.649-25</t>
  </si>
  <si>
    <t>LD459946</t>
  </si>
  <si>
    <t>Murilo Rocha</t>
  </si>
  <si>
    <t>753.849.601-75</t>
  </si>
  <si>
    <t>LD123853</t>
  </si>
  <si>
    <t>Marcelo Pires</t>
  </si>
  <si>
    <t>14529687309</t>
  </si>
  <si>
    <t>145.296.873-09</t>
  </si>
  <si>
    <t>LD672967</t>
  </si>
  <si>
    <t>Raul Mendes</t>
  </si>
  <si>
    <t>841.623.059-51</t>
  </si>
  <si>
    <t>LD865380</t>
  </si>
  <si>
    <t>Lorenzo Correia</t>
  </si>
  <si>
    <t>184.925.360-98</t>
  </si>
  <si>
    <t>LD494900</t>
  </si>
  <si>
    <t>Carolina Novaes</t>
  </si>
  <si>
    <t>832.651.094-70</t>
  </si>
  <si>
    <t>LD278593</t>
  </si>
  <si>
    <t>Stephany da Costa</t>
  </si>
  <si>
    <t>98064215749</t>
  </si>
  <si>
    <t>980.642.157-49</t>
  </si>
  <si>
    <t>LD384459</t>
  </si>
  <si>
    <t>Caio da Cunha</t>
  </si>
  <si>
    <t>93246815089</t>
  </si>
  <si>
    <t>932.468.150-89</t>
  </si>
  <si>
    <t>LD507523</t>
  </si>
  <si>
    <t>João Pedro Silveira</t>
  </si>
  <si>
    <t>678.219.035-40</t>
  </si>
  <si>
    <t>LD213132</t>
  </si>
  <si>
    <t>Natália Lima</t>
  </si>
  <si>
    <t>31069845701</t>
  </si>
  <si>
    <t>310.698.457-01</t>
  </si>
  <si>
    <t>LD342397</t>
  </si>
  <si>
    <t>João Vitor da Cruz</t>
  </si>
  <si>
    <t>693.120.874-87</t>
  </si>
  <si>
    <t>LD430779</t>
  </si>
  <si>
    <t>Ana Vitória da Costa</t>
  </si>
  <si>
    <t>37258604910</t>
  </si>
  <si>
    <t>372.586.049-10</t>
  </si>
  <si>
    <t>LD308535</t>
  </si>
  <si>
    <t>Luiz Miguel Cavalcanti</t>
  </si>
  <si>
    <t>973.582.041-23</t>
  </si>
  <si>
    <t>LD141683</t>
  </si>
  <si>
    <t>Vitor Gabriel Mendes</t>
  </si>
  <si>
    <t>40672831996</t>
  </si>
  <si>
    <t>406.728.319-96</t>
  </si>
  <si>
    <t>LD512509</t>
  </si>
  <si>
    <t>Dra. Vitória Rodrigues</t>
  </si>
  <si>
    <t>431.059.267-80</t>
  </si>
  <si>
    <t>LD472640</t>
  </si>
  <si>
    <t>Sra. Kamilly Caldeira</t>
  </si>
  <si>
    <t>148.257.693-73</t>
  </si>
  <si>
    <t>LD951331</t>
  </si>
  <si>
    <t>André Castro</t>
  </si>
  <si>
    <t>73914820640</t>
  </si>
  <si>
    <t>739.148.206-40</t>
  </si>
  <si>
    <t>LD681896</t>
  </si>
  <si>
    <t>Maria Fernanda Nascimento</t>
  </si>
  <si>
    <t>986.047.523-74</t>
  </si>
  <si>
    <t>LD788842</t>
  </si>
  <si>
    <t>João Guilherme Peixoto</t>
  </si>
  <si>
    <t>60573981221</t>
  </si>
  <si>
    <t>605.739.812-21</t>
  </si>
  <si>
    <t>LD755910</t>
  </si>
  <si>
    <t>Enrico da Mata</t>
  </si>
  <si>
    <t>051.239.876-30</t>
  </si>
  <si>
    <t>LD547180</t>
  </si>
  <si>
    <t>Isabel Moraes</t>
  </si>
  <si>
    <t>347.602.981-69</t>
  </si>
  <si>
    <t>LD668573</t>
  </si>
  <si>
    <t>Emanuel Vieira</t>
  </si>
  <si>
    <t>56981307286</t>
  </si>
  <si>
    <t>569.813.072-86</t>
  </si>
  <si>
    <t>LD817276</t>
  </si>
  <si>
    <t>Sarah Dias</t>
  </si>
  <si>
    <t>541.903.287-23</t>
  </si>
  <si>
    <t>LD839389</t>
  </si>
  <si>
    <t>Vitor Gabriel Nascimento</t>
  </si>
  <si>
    <t>347.269.508-00</t>
  </si>
  <si>
    <t>LD788108</t>
  </si>
  <si>
    <t>Carlos Eduardo da Mota</t>
  </si>
  <si>
    <t>948.675.130-75</t>
  </si>
  <si>
    <t>LD684413</t>
  </si>
  <si>
    <t>Bryan Nunes</t>
  </si>
  <si>
    <t>425.983.160-70</t>
  </si>
  <si>
    <t>LD980303</t>
  </si>
  <si>
    <t>Sra. Mariana Cardoso</t>
  </si>
  <si>
    <t>537.601.428-26</t>
  </si>
  <si>
    <t>LD531228</t>
  </si>
  <si>
    <t>Clarice das Neves</t>
  </si>
  <si>
    <t>39751604893</t>
  </si>
  <si>
    <t>397.516.048-93</t>
  </si>
  <si>
    <t>LD259338</t>
  </si>
  <si>
    <t>683.714.925-37</t>
  </si>
  <si>
    <t>LD899484</t>
  </si>
  <si>
    <t>Thales Moreira</t>
  </si>
  <si>
    <t>465.218.903-60</t>
  </si>
  <si>
    <t>LD742108</t>
  </si>
  <si>
    <t>Srta. Vitória Teixeira</t>
  </si>
  <si>
    <t>92164380533</t>
  </si>
  <si>
    <t>921.643.805-33</t>
  </si>
  <si>
    <t>LD476712</t>
  </si>
  <si>
    <t>Sr. Lucas Gabriel Fogaça</t>
  </si>
  <si>
    <t>90743568265</t>
  </si>
  <si>
    <t>907.435.682-65</t>
  </si>
  <si>
    <t>LD987240</t>
  </si>
  <si>
    <t>Lavínia Caldeira</t>
  </si>
  <si>
    <t>572.098.641-30</t>
  </si>
  <si>
    <t>LD993522</t>
  </si>
  <si>
    <t>Thomas Araújo</t>
  </si>
  <si>
    <t>97651382455</t>
  </si>
  <si>
    <t>976.513.824-55</t>
  </si>
  <si>
    <t>LD337264</t>
  </si>
  <si>
    <t>Pietra Jesus</t>
  </si>
  <si>
    <t>53614920860</t>
  </si>
  <si>
    <t>536.149.208-60</t>
  </si>
  <si>
    <t>LD533108</t>
  </si>
  <si>
    <t>Sr. Yago Cardoso</t>
  </si>
  <si>
    <t>91658742001</t>
  </si>
  <si>
    <t>916.587.420-01</t>
  </si>
  <si>
    <t>LD169348</t>
  </si>
  <si>
    <t>Antônio Sales</t>
  </si>
  <si>
    <t>15903487297</t>
  </si>
  <si>
    <t>159.034.872-97</t>
  </si>
  <si>
    <t>LD613742</t>
  </si>
  <si>
    <t>214.983.650-51</t>
  </si>
  <si>
    <t>LD524533</t>
  </si>
  <si>
    <t>João da Paz</t>
  </si>
  <si>
    <t>351.290.648-60</t>
  </si>
  <si>
    <t>LD513296</t>
  </si>
  <si>
    <t>Rodrigo Moura</t>
  </si>
  <si>
    <t>120.475.893-04</t>
  </si>
  <si>
    <t>LD650744</t>
  </si>
  <si>
    <t>Maria Fernanda Moura</t>
  </si>
  <si>
    <t>123.547.980-32</t>
  </si>
  <si>
    <t>LD214626</t>
  </si>
  <si>
    <t>Rodrigo da Costa</t>
  </si>
  <si>
    <t>95238146051</t>
  </si>
  <si>
    <t>952.381.460-51</t>
  </si>
  <si>
    <t>LD643899</t>
  </si>
  <si>
    <t>491.257.803-79</t>
  </si>
  <si>
    <t>LD506216</t>
  </si>
  <si>
    <t>Brenda Mendes</t>
  </si>
  <si>
    <t>786.930.415-84</t>
  </si>
  <si>
    <t>LD405323</t>
  </si>
  <si>
    <t>Erick Rodrigues</t>
  </si>
  <si>
    <t>36027958456</t>
  </si>
  <si>
    <t>360.279.584-56</t>
  </si>
  <si>
    <t>LD274573</t>
  </si>
  <si>
    <t>Giovanna Souza</t>
  </si>
  <si>
    <t>98674125085</t>
  </si>
  <si>
    <t>986.741.250-85</t>
  </si>
  <si>
    <t>LD642081</t>
  </si>
  <si>
    <t>698.037.541-57</t>
  </si>
  <si>
    <t>LD194834</t>
  </si>
  <si>
    <t>Mariana Nogueira</t>
  </si>
  <si>
    <t>479.650.832-56</t>
  </si>
  <si>
    <t>LD672949</t>
  </si>
  <si>
    <t>25047891658</t>
  </si>
  <si>
    <t>250.478.916-58</t>
  </si>
  <si>
    <t>LD287567</t>
  </si>
  <si>
    <t>Ana Beatriz Pinto</t>
  </si>
  <si>
    <t>89247016304</t>
  </si>
  <si>
    <t>892.470.163-04</t>
  </si>
  <si>
    <t>LD194560</t>
  </si>
  <si>
    <t>Theo Lopes</t>
  </si>
  <si>
    <t>13794508610</t>
  </si>
  <si>
    <t>137.945.086-10</t>
  </si>
  <si>
    <t>LD853270</t>
  </si>
  <si>
    <t>Srta. Evelyn Almeida</t>
  </si>
  <si>
    <t>352.917.604-43</t>
  </si>
  <si>
    <t>LD764873</t>
  </si>
  <si>
    <t>Elisa Ferreira</t>
  </si>
  <si>
    <t>64359278047</t>
  </si>
  <si>
    <t>643.592.780-47</t>
  </si>
  <si>
    <t>LD741804</t>
  </si>
  <si>
    <t>Isis Freitas</t>
  </si>
  <si>
    <t>374.809.521-04</t>
  </si>
  <si>
    <t>LD905579</t>
  </si>
  <si>
    <t>Olivia das Neves</t>
  </si>
  <si>
    <t>19873062521</t>
  </si>
  <si>
    <t>198.730.625-21</t>
  </si>
  <si>
    <t>LD269999</t>
  </si>
  <si>
    <t>Sra. Nina Novaes</t>
  </si>
  <si>
    <t>489.276.031-50</t>
  </si>
  <si>
    <t>LD539963</t>
  </si>
  <si>
    <t>Bryan Sales</t>
  </si>
  <si>
    <t>32096745829</t>
  </si>
  <si>
    <t>320.967.458-29</t>
  </si>
  <si>
    <t>LD756883</t>
  </si>
  <si>
    <t>Carolina Cardoso</t>
  </si>
  <si>
    <t>13642897096</t>
  </si>
  <si>
    <t>136.428.970-96</t>
  </si>
  <si>
    <t>LD752801</t>
  </si>
  <si>
    <t>Stella da Mota</t>
  </si>
  <si>
    <t>350.471.268-62</t>
  </si>
  <si>
    <t>LD669902</t>
  </si>
  <si>
    <t>Catarina Caldeira</t>
  </si>
  <si>
    <t>692.740.158-01</t>
  </si>
  <si>
    <t>LD327408</t>
  </si>
  <si>
    <t>Rebeca Pires</t>
  </si>
  <si>
    <t>071.684.239-40</t>
  </si>
  <si>
    <t>LD183262</t>
  </si>
  <si>
    <t>Gabrielly Caldeira</t>
  </si>
  <si>
    <t>196.470.823-04</t>
  </si>
  <si>
    <t>LD749871</t>
  </si>
  <si>
    <t>Danilo Cavalcanti</t>
  </si>
  <si>
    <t>306.847.925-83</t>
  </si>
  <si>
    <t>LD293818</t>
  </si>
  <si>
    <t>Vitor Hugo Azevedo</t>
  </si>
  <si>
    <t>98105347288</t>
  </si>
  <si>
    <t>981.053.472-88</t>
  </si>
  <si>
    <t>LD995304</t>
  </si>
  <si>
    <t>Srta. Nina Rodrigues</t>
  </si>
  <si>
    <t>94573618228</t>
  </si>
  <si>
    <t>945.736.182-28</t>
  </si>
  <si>
    <t>LD447195</t>
  </si>
  <si>
    <t>Gustavo Henrique da Luz</t>
  </si>
  <si>
    <t>642.750.318-90</t>
  </si>
  <si>
    <t>LD269172</t>
  </si>
  <si>
    <t>Júlia Viana</t>
  </si>
  <si>
    <t>362.857.194-46</t>
  </si>
  <si>
    <t>LD700081</t>
  </si>
  <si>
    <t>Laís Porto</t>
  </si>
  <si>
    <t>769.285.304-56</t>
  </si>
  <si>
    <t>LD707090</t>
  </si>
  <si>
    <t>Theo da Mota</t>
  </si>
  <si>
    <t>93584627109</t>
  </si>
  <si>
    <t>935.846.271-09</t>
  </si>
  <si>
    <t>LD486473</t>
  </si>
  <si>
    <t>Bianca Ribeiro</t>
  </si>
  <si>
    <t>187.243.056-26</t>
  </si>
  <si>
    <t>LD168079</t>
  </si>
  <si>
    <t>Bruna Nogueira</t>
  </si>
  <si>
    <t>86230197502</t>
  </si>
  <si>
    <t>862.301.975-02</t>
  </si>
  <si>
    <t>LD445200</t>
  </si>
  <si>
    <t>Dra. Maria Fernanda da Costa</t>
  </si>
  <si>
    <t>632.879.150-02</t>
  </si>
  <si>
    <t>LD741784</t>
  </si>
  <si>
    <t>Gabrielly Souza</t>
  </si>
  <si>
    <t>01896547320</t>
  </si>
  <si>
    <t>018.965.473-20</t>
  </si>
  <si>
    <t>LD191928</t>
  </si>
  <si>
    <t>Sr. Vinicius da Costa</t>
  </si>
  <si>
    <t>34128697591</t>
  </si>
  <si>
    <t>341.286.975-91</t>
  </si>
  <si>
    <t>LD547798</t>
  </si>
  <si>
    <t>Gustavo Jesus</t>
  </si>
  <si>
    <t>182.963.075-02</t>
  </si>
  <si>
    <t>LD753518</t>
  </si>
  <si>
    <t>Maria Clara Ribeiro</t>
  </si>
  <si>
    <t>43157809288</t>
  </si>
  <si>
    <t>431.578.092-88</t>
  </si>
  <si>
    <t>LD644951</t>
  </si>
  <si>
    <t>720.458.369-83</t>
  </si>
  <si>
    <t>LD344026</t>
  </si>
  <si>
    <t>Luigi Monteiro</t>
  </si>
  <si>
    <t>519.087.234-32</t>
  </si>
  <si>
    <t>LD125151</t>
  </si>
  <si>
    <t>Raul da Paz</t>
  </si>
  <si>
    <t>54128306762</t>
  </si>
  <si>
    <t>541.283.067-62</t>
  </si>
  <si>
    <t>LD938403</t>
  </si>
  <si>
    <t>Dr. Diogo Silva</t>
  </si>
  <si>
    <t>480.321.756-44</t>
  </si>
  <si>
    <t>LD466634</t>
  </si>
  <si>
    <t>Francisco Porto</t>
  </si>
  <si>
    <t>650.283.714-07</t>
  </si>
  <si>
    <t>LD310960</t>
  </si>
  <si>
    <t>Alana Aragão</t>
  </si>
  <si>
    <t>463.785.021-53</t>
  </si>
  <si>
    <t>LD414870</t>
  </si>
  <si>
    <t>Helena Moreira</t>
  </si>
  <si>
    <t>869.521.734-55</t>
  </si>
  <si>
    <t>LD819150</t>
  </si>
  <si>
    <t>Luigi Gomes</t>
  </si>
  <si>
    <t>41750263980</t>
  </si>
  <si>
    <t>417.502.639-80</t>
  </si>
  <si>
    <t>LD130531</t>
  </si>
  <si>
    <t>251.746.039-61</t>
  </si>
  <si>
    <t>LD602381</t>
  </si>
  <si>
    <t>Vicente Mendes</t>
  </si>
  <si>
    <t>912.453.760-80</t>
  </si>
  <si>
    <t>LD604884</t>
  </si>
  <si>
    <t>31205648933</t>
  </si>
  <si>
    <t>312.056.489-33</t>
  </si>
  <si>
    <t>LD584935</t>
  </si>
  <si>
    <t>Theo Cardoso</t>
  </si>
  <si>
    <t>653.719.842-91</t>
  </si>
  <si>
    <t>LD975671</t>
  </si>
  <si>
    <t>Maria Sophia Caldeira</t>
  </si>
  <si>
    <t>720.915.863-40</t>
  </si>
  <si>
    <t>LD682145</t>
  </si>
  <si>
    <t>Samuel Cardoso</t>
  </si>
  <si>
    <t>325.617.984-37</t>
  </si>
  <si>
    <t>LD938373</t>
  </si>
  <si>
    <t>Lívia Gomes</t>
  </si>
  <si>
    <t>364.821.057-26</t>
  </si>
  <si>
    <t>LD394083</t>
  </si>
  <si>
    <t>Bernardo Caldeira</t>
  </si>
  <si>
    <t>175.804.369-57</t>
  </si>
  <si>
    <t>LD983326</t>
  </si>
  <si>
    <t>Dra. Ana Laura Lopes</t>
  </si>
  <si>
    <t>95142837673</t>
  </si>
  <si>
    <t>951.428.376-73</t>
  </si>
  <si>
    <t>LD222520</t>
  </si>
  <si>
    <t>Fernanda Rodrigues</t>
  </si>
  <si>
    <t>583.146.029-06</t>
  </si>
  <si>
    <t>LD844321</t>
  </si>
  <si>
    <t>Letícia Martins</t>
  </si>
  <si>
    <t>67831594000</t>
  </si>
  <si>
    <t>678.315.940-00</t>
  </si>
  <si>
    <t>LD489633</t>
  </si>
  <si>
    <t>Yuri Lopes</t>
  </si>
  <si>
    <t>62980315702</t>
  </si>
  <si>
    <t>629.803.157-02</t>
  </si>
  <si>
    <t>LD283514</t>
  </si>
  <si>
    <t>Anthony Novaes</t>
  </si>
  <si>
    <t>72481035941</t>
  </si>
  <si>
    <t>724.810.359-41</t>
  </si>
  <si>
    <t>LD565330</t>
  </si>
  <si>
    <t>Emilly Dias</t>
  </si>
  <si>
    <t>378.961.520-02</t>
  </si>
  <si>
    <t>LD299451</t>
  </si>
  <si>
    <t>Bernardo Martins</t>
  </si>
  <si>
    <t>74218365946</t>
  </si>
  <si>
    <t>742.183.659-46</t>
  </si>
  <si>
    <t>LD913205</t>
  </si>
  <si>
    <t>Pedro Lucas da Cruz</t>
  </si>
  <si>
    <t>54680712317</t>
  </si>
  <si>
    <t>546.807.123-17</t>
  </si>
  <si>
    <t>LD809589</t>
  </si>
  <si>
    <t>Sra. Olivia Costela</t>
  </si>
  <si>
    <t>571.032.964-99</t>
  </si>
  <si>
    <t>LD506415</t>
  </si>
  <si>
    <t>Srta. Gabrielly Ribeiro</t>
  </si>
  <si>
    <t>485.921.630-05</t>
  </si>
  <si>
    <t>LD146168</t>
  </si>
  <si>
    <t>Mariana Duarte</t>
  </si>
  <si>
    <t>378.024.619-87</t>
  </si>
  <si>
    <t>LD589554</t>
  </si>
  <si>
    <t>Sr. Luiz Miguel Rodrigues</t>
  </si>
  <si>
    <t>741.369.250-34</t>
  </si>
  <si>
    <t>LD123572</t>
  </si>
  <si>
    <t>Lucas Farias</t>
  </si>
  <si>
    <t>305.249.176-80</t>
  </si>
  <si>
    <t>LD310297</t>
  </si>
  <si>
    <t>Sr. Pedro da Mota</t>
  </si>
  <si>
    <t>91450826776</t>
  </si>
  <si>
    <t>914.508.267-76</t>
  </si>
  <si>
    <t>LD562543</t>
  </si>
  <si>
    <t>Srta. Fernanda Ferreira</t>
  </si>
  <si>
    <t>324.069.518-98</t>
  </si>
  <si>
    <t>LD220020</t>
  </si>
  <si>
    <t>Levi Nascimento</t>
  </si>
  <si>
    <t>82769051377</t>
  </si>
  <si>
    <t>827.690.513-77</t>
  </si>
  <si>
    <t>LD316612</t>
  </si>
  <si>
    <t>Dra. Laís Gomes</t>
  </si>
  <si>
    <t>295.067.831-95</t>
  </si>
  <si>
    <t>LD838568</t>
  </si>
  <si>
    <t>Ian Nascimento</t>
  </si>
  <si>
    <t>806.523.149-70</t>
  </si>
  <si>
    <t>LD426503</t>
  </si>
  <si>
    <t>Igor Barbosa</t>
  </si>
  <si>
    <t>802.395.147-50</t>
  </si>
  <si>
    <t>LD236392</t>
  </si>
  <si>
    <t>Theo Duarte</t>
  </si>
  <si>
    <t>15820367995</t>
  </si>
  <si>
    <t>158.203.679-95</t>
  </si>
  <si>
    <t>LD502233</t>
  </si>
  <si>
    <t>Ana Carolina Souza</t>
  </si>
  <si>
    <t>69240135707</t>
  </si>
  <si>
    <t>692.401.357-07</t>
  </si>
  <si>
    <t>LD721549</t>
  </si>
  <si>
    <t>Enzo Duarte</t>
  </si>
  <si>
    <t>089.751.362-21</t>
  </si>
  <si>
    <t>LD472899</t>
  </si>
  <si>
    <t>85937602102</t>
  </si>
  <si>
    <t>859.376.021-02</t>
  </si>
  <si>
    <t>LD182361</t>
  </si>
  <si>
    <t>Raul Peixoto</t>
  </si>
  <si>
    <t>810.947.653-84</t>
  </si>
  <si>
    <t>LD238197</t>
  </si>
  <si>
    <t>Sr. Nathan Moura</t>
  </si>
  <si>
    <t>82617409511</t>
  </si>
  <si>
    <t>826.174.095-11</t>
  </si>
  <si>
    <t>LD201987</t>
  </si>
  <si>
    <t>Isadora Silva</t>
  </si>
  <si>
    <t>62394850124</t>
  </si>
  <si>
    <t>623.948.501-24</t>
  </si>
  <si>
    <t>LD593403</t>
  </si>
  <si>
    <t>João Vitor Costa</t>
  </si>
  <si>
    <t>47039568292</t>
  </si>
  <si>
    <t>470.395.682-92</t>
  </si>
  <si>
    <t>LD481104</t>
  </si>
  <si>
    <t>João Pedro Cavalcanti</t>
  </si>
  <si>
    <t>39465127809</t>
  </si>
  <si>
    <t>394.651.278-09</t>
  </si>
  <si>
    <t>LD927094</t>
  </si>
  <si>
    <t>Marina Dias</t>
  </si>
  <si>
    <t>943.802.576-65</t>
  </si>
  <si>
    <t>LD168540</t>
  </si>
  <si>
    <t>Sr. Luiz Felipe Nogueira</t>
  </si>
  <si>
    <t>57641382991</t>
  </si>
  <si>
    <t>576.413.829-91</t>
  </si>
  <si>
    <t>LD395968</t>
  </si>
  <si>
    <t>Elisa Cardoso</t>
  </si>
  <si>
    <t>910.674.538-57</t>
  </si>
  <si>
    <t>LD207932</t>
  </si>
  <si>
    <t>Leonardo Nascimento</t>
  </si>
  <si>
    <t>92108743588</t>
  </si>
  <si>
    <t>921.087.435-88</t>
  </si>
  <si>
    <t>LD683165</t>
  </si>
  <si>
    <t>Kaique Aragão</t>
  </si>
  <si>
    <t>401.276.389-03</t>
  </si>
  <si>
    <t>LD520286</t>
  </si>
  <si>
    <t>Dra. Vitória Araújo</t>
  </si>
  <si>
    <t>720.961.384-69</t>
  </si>
  <si>
    <t>LD605806</t>
  </si>
  <si>
    <t>Samuel Rocha</t>
  </si>
  <si>
    <t>12307564934</t>
  </si>
  <si>
    <t>123.075.649-34</t>
  </si>
  <si>
    <t>LD552091</t>
  </si>
  <si>
    <t>Júlia da Luz</t>
  </si>
  <si>
    <t>091.625.387-21</t>
  </si>
  <si>
    <t>LD827851</t>
  </si>
  <si>
    <t>Emanuelly da Mota</t>
  </si>
  <si>
    <t>37058492123</t>
  </si>
  <si>
    <t>370.584.921-23</t>
  </si>
  <si>
    <t>LD977394</t>
  </si>
  <si>
    <t>Theo Barros</t>
  </si>
  <si>
    <t>45192368006</t>
  </si>
  <si>
    <t>451.923.680-06</t>
  </si>
  <si>
    <t>LD682051</t>
  </si>
  <si>
    <t>Isadora Vieira</t>
  </si>
  <si>
    <t>82576930140</t>
  </si>
  <si>
    <t>825.769.301-40</t>
  </si>
  <si>
    <t>LD172988</t>
  </si>
  <si>
    <t>Isabel Gonçalves</t>
  </si>
  <si>
    <t>276.930.841-69</t>
  </si>
  <si>
    <t>LD959691</t>
  </si>
  <si>
    <t>Letícia Porto</t>
  </si>
  <si>
    <t>82094163750</t>
  </si>
  <si>
    <t>820.941.637-50</t>
  </si>
  <si>
    <t>LD194930</t>
  </si>
  <si>
    <t>Beatriz da Rocha</t>
  </si>
  <si>
    <t>61904572316</t>
  </si>
  <si>
    <t>619.045.723-16</t>
  </si>
  <si>
    <t>LD767033</t>
  </si>
  <si>
    <t>Fernando Vieira</t>
  </si>
  <si>
    <t>235.809.461-70</t>
  </si>
  <si>
    <t>LD574978</t>
  </si>
  <si>
    <t>Julia das Neves</t>
  </si>
  <si>
    <t>956.801.372-59</t>
  </si>
  <si>
    <t>LD305171</t>
  </si>
  <si>
    <t>72158934050</t>
  </si>
  <si>
    <t>721.589.340-50</t>
  </si>
  <si>
    <t>LD932932</t>
  </si>
  <si>
    <t>Ana Luiza da Mota</t>
  </si>
  <si>
    <t>098.271.465-30</t>
  </si>
  <si>
    <t>LD193624</t>
  </si>
  <si>
    <t>Levi Costa</t>
  </si>
  <si>
    <t>659.084.213-24</t>
  </si>
  <si>
    <t>LD988811</t>
  </si>
  <si>
    <t>Heitor Pereira</t>
  </si>
  <si>
    <t>97053861295</t>
  </si>
  <si>
    <t>970.538.612-95</t>
  </si>
  <si>
    <t>LD155708</t>
  </si>
  <si>
    <t>Samuel Ribeiro</t>
  </si>
  <si>
    <t>68135429746</t>
  </si>
  <si>
    <t>681.354.297-46</t>
  </si>
  <si>
    <t>LD395917</t>
  </si>
  <si>
    <t>Alícia Rodrigues</t>
  </si>
  <si>
    <t>174.805.926-20</t>
  </si>
  <si>
    <t>LD513420</t>
  </si>
  <si>
    <t>Sofia Mendes</t>
  </si>
  <si>
    <t>370.264.981-69</t>
  </si>
  <si>
    <t>LD556329</t>
  </si>
  <si>
    <t>Rodrigo Costela</t>
  </si>
  <si>
    <t>907.841.352-23</t>
  </si>
  <si>
    <t>LD297370</t>
  </si>
  <si>
    <t>Milena Barros</t>
  </si>
  <si>
    <t>417.832.605-80</t>
  </si>
  <si>
    <t>LD537503</t>
  </si>
  <si>
    <t>Dr. Carlos Eduardo da Costa</t>
  </si>
  <si>
    <t>13789062413</t>
  </si>
  <si>
    <t>137.890.624-13</t>
  </si>
  <si>
    <t>LD240800</t>
  </si>
  <si>
    <t>Amanda Jesus</t>
  </si>
  <si>
    <t>23567480162</t>
  </si>
  <si>
    <t>235.674.801-62</t>
  </si>
  <si>
    <t>LD789886</t>
  </si>
  <si>
    <t>Srta. Ana Luiza da Cunha</t>
  </si>
  <si>
    <t>29036857112</t>
  </si>
  <si>
    <t>290.368.571-12</t>
  </si>
  <si>
    <t>LD773440</t>
  </si>
  <si>
    <t>Ana Lívia Peixoto</t>
  </si>
  <si>
    <t>704.396.852-65</t>
  </si>
  <si>
    <t>LD546383</t>
  </si>
  <si>
    <t>Isabella Ribeiro</t>
  </si>
  <si>
    <t>683.105.942-24</t>
  </si>
  <si>
    <t>LD959907</t>
  </si>
  <si>
    <t>Levi Viana</t>
  </si>
  <si>
    <t>58430169270</t>
  </si>
  <si>
    <t>584.301.692-70</t>
  </si>
  <si>
    <t>LD733941</t>
  </si>
  <si>
    <t>Danilo Jesus</t>
  </si>
  <si>
    <t>26097453116</t>
  </si>
  <si>
    <t>260.974.531-16</t>
  </si>
  <si>
    <t>LD846722</t>
  </si>
  <si>
    <t>Alana Jesus</t>
  </si>
  <si>
    <t>253.671.498-55</t>
  </si>
  <si>
    <t>LD484795</t>
  </si>
  <si>
    <t>Clara Castro</t>
  </si>
  <si>
    <t>26175840380</t>
  </si>
  <si>
    <t>261.758.403-80</t>
  </si>
  <si>
    <t>LD486482</t>
  </si>
  <si>
    <t>Miguel da Cunha</t>
  </si>
  <si>
    <t>36512908406</t>
  </si>
  <si>
    <t>365.129.084-06</t>
  </si>
  <si>
    <t>LD248989</t>
  </si>
  <si>
    <t>Dr. Antônio da Mota</t>
  </si>
  <si>
    <t>567.419.328-28</t>
  </si>
  <si>
    <t>LD642060</t>
  </si>
  <si>
    <t>Bruna Duarte</t>
  </si>
  <si>
    <t>98430651748</t>
  </si>
  <si>
    <t>984.306.517-48</t>
  </si>
  <si>
    <t>LD595401</t>
  </si>
  <si>
    <t>Thales da Conceição</t>
  </si>
  <si>
    <t>054.326.817-90</t>
  </si>
  <si>
    <t>LD817303</t>
  </si>
  <si>
    <t>Maitê Rodrigues</t>
  </si>
  <si>
    <t>682.370.914-69</t>
  </si>
  <si>
    <t>LD155337</t>
  </si>
  <si>
    <t>483.261.975-64</t>
  </si>
  <si>
    <t>LD576089</t>
  </si>
  <si>
    <t>Dr. Guilherme Ferreira</t>
  </si>
  <si>
    <t>963.841.205-42</t>
  </si>
  <si>
    <t>LD541467</t>
  </si>
  <si>
    <t>Maria Clara Martins</t>
  </si>
  <si>
    <t>37205816912</t>
  </si>
  <si>
    <t>372.058.169-12</t>
  </si>
  <si>
    <t>LD275645</t>
  </si>
  <si>
    <t>Luna Moura</t>
  </si>
  <si>
    <t>36752498164</t>
  </si>
  <si>
    <t>367.524.981-64</t>
  </si>
  <si>
    <t>LD862285</t>
  </si>
  <si>
    <t>Otávio Cardoso</t>
  </si>
  <si>
    <t>416.793.052-80</t>
  </si>
  <si>
    <t>LD706224</t>
  </si>
  <si>
    <t>Luiz Felipe Ramos</t>
  </si>
  <si>
    <t>84612035771</t>
  </si>
  <si>
    <t>846.120.357-71</t>
  </si>
  <si>
    <t>LD754643</t>
  </si>
  <si>
    <t>Lucas Pinto</t>
  </si>
  <si>
    <t>65179024307</t>
  </si>
  <si>
    <t>651.790.243-07</t>
  </si>
  <si>
    <t>LD180595</t>
  </si>
  <si>
    <t>Guilherme Cavalcanti</t>
  </si>
  <si>
    <t>894.103.652-60</t>
  </si>
  <si>
    <t>LD394620</t>
  </si>
  <si>
    <t>Joaquim Freitas</t>
  </si>
  <si>
    <t>46318927573</t>
  </si>
  <si>
    <t>463.189.275-73</t>
  </si>
  <si>
    <t>LD733152</t>
  </si>
  <si>
    <t>Davi Lucas Aragão</t>
  </si>
  <si>
    <t>85317609259</t>
  </si>
  <si>
    <t>853.176.092-59</t>
  </si>
  <si>
    <t>LD487728</t>
  </si>
  <si>
    <t>Dra. Emanuelly Rodrigues</t>
  </si>
  <si>
    <t>193.678.450-57</t>
  </si>
  <si>
    <t>LD608473</t>
  </si>
  <si>
    <t>Enzo Gabriel Freitas</t>
  </si>
  <si>
    <t>10352749814</t>
  </si>
  <si>
    <t>103.527.498-14</t>
  </si>
  <si>
    <t>LD188501</t>
  </si>
  <si>
    <t>Bruno Oliveira</t>
  </si>
  <si>
    <t>792.534.601-99</t>
  </si>
  <si>
    <t>LD889327</t>
  </si>
  <si>
    <t>Luiza Pinto</t>
  </si>
  <si>
    <t>859.034.716-84</t>
  </si>
  <si>
    <t>LD861265</t>
  </si>
  <si>
    <t>Thales Cardoso</t>
  </si>
  <si>
    <t>962.831.457-28</t>
  </si>
  <si>
    <t>LD156964</t>
  </si>
  <si>
    <t>Felipe Gonçalves</t>
  </si>
  <si>
    <t>367.054.128-44</t>
  </si>
  <si>
    <t>LD275741</t>
  </si>
  <si>
    <t>Srta. Joana Monteiro</t>
  </si>
  <si>
    <t>56038947175</t>
  </si>
  <si>
    <t>560.389.471-75</t>
  </si>
  <si>
    <t>LD888977</t>
  </si>
  <si>
    <t>Sr. Gabriel Moreira</t>
  </si>
  <si>
    <t>472.169.503-99</t>
  </si>
  <si>
    <t>LD597643</t>
  </si>
  <si>
    <t>Vitor Hugo Dias</t>
  </si>
  <si>
    <t>12945607352</t>
  </si>
  <si>
    <t>129.456.073-52</t>
  </si>
  <si>
    <t>LD402820</t>
  </si>
  <si>
    <t>Levi da Costa</t>
  </si>
  <si>
    <t>426.815.390-05</t>
  </si>
  <si>
    <t>LD656011</t>
  </si>
  <si>
    <t>Enzo Carvalho</t>
  </si>
  <si>
    <t>902.743.586-38</t>
  </si>
  <si>
    <t>LD985249</t>
  </si>
  <si>
    <t>19468705285</t>
  </si>
  <si>
    <t>194.687.052-85</t>
  </si>
  <si>
    <t>LD383457</t>
  </si>
  <si>
    <t>Davi Lucas Teixeira</t>
  </si>
  <si>
    <t>23091674878</t>
  </si>
  <si>
    <t>230.916.748-78</t>
  </si>
  <si>
    <t>LD510154</t>
  </si>
  <si>
    <t>Davi Luiz Barros</t>
  </si>
  <si>
    <t>72814956094</t>
  </si>
  <si>
    <t>728.149.560-94</t>
  </si>
  <si>
    <t>LD645209</t>
  </si>
  <si>
    <t>Thales Correia</t>
  </si>
  <si>
    <t>32079164813</t>
  </si>
  <si>
    <t>320.791.648-13</t>
  </si>
  <si>
    <t>LD674213</t>
  </si>
  <si>
    <t>Nicole Novaes</t>
  </si>
  <si>
    <t>89643725146</t>
  </si>
  <si>
    <t>896.437.251-46</t>
  </si>
  <si>
    <t>LD531225</t>
  </si>
  <si>
    <t>28710659420</t>
  </si>
  <si>
    <t>287.106.594-20</t>
  </si>
  <si>
    <t>LD330074</t>
  </si>
  <si>
    <t>Carlos Eduardo Oliveira</t>
  </si>
  <si>
    <t>694.208.357-74</t>
  </si>
  <si>
    <t>LD749485</t>
  </si>
  <si>
    <t>Stephany da Conceição</t>
  </si>
  <si>
    <t>72431506916</t>
  </si>
  <si>
    <t>724.315.069-16</t>
  </si>
  <si>
    <t>LD728500</t>
  </si>
  <si>
    <t>Juliana Rezende</t>
  </si>
  <si>
    <t>753.916.042-06</t>
  </si>
  <si>
    <t>LD998043</t>
  </si>
  <si>
    <t>Ana Luiza Gonçalves</t>
  </si>
  <si>
    <t>509.367.821-02</t>
  </si>
  <si>
    <t>LD942216</t>
  </si>
  <si>
    <t>Maria Clara Rocha</t>
  </si>
  <si>
    <t>071.268.539-12</t>
  </si>
  <si>
    <t>LD365641</t>
  </si>
  <si>
    <t>Danilo Fogaça</t>
  </si>
  <si>
    <t>09354281605</t>
  </si>
  <si>
    <t>093.542.816-05</t>
  </si>
  <si>
    <t>LD389809</t>
  </si>
  <si>
    <t>Laís Monteiro</t>
  </si>
  <si>
    <t>954.207.816-11</t>
  </si>
  <si>
    <t>LD369836</t>
  </si>
  <si>
    <t>Alícia Vieira</t>
  </si>
  <si>
    <t>98173254664</t>
  </si>
  <si>
    <t>981.732.546-64</t>
  </si>
  <si>
    <t>LD507466</t>
  </si>
  <si>
    <t>Vitor Hugo da Paz</t>
  </si>
  <si>
    <t>16439075810</t>
  </si>
  <si>
    <t>164.390.758-10</t>
  </si>
  <si>
    <t>LD561976</t>
  </si>
  <si>
    <t>Kaique da Mota</t>
  </si>
  <si>
    <t>62947810511</t>
  </si>
  <si>
    <t>629.478.105-11</t>
  </si>
  <si>
    <t>LD287110</t>
  </si>
  <si>
    <t>Francisco Rocha</t>
  </si>
  <si>
    <t>137.958.046-39</t>
  </si>
  <si>
    <t>LD328994</t>
  </si>
  <si>
    <t>Dr. Lucas Ferreira</t>
  </si>
  <si>
    <t>985.762.143-00</t>
  </si>
  <si>
    <t>LD371577</t>
  </si>
  <si>
    <t>Stephany Farias</t>
  </si>
  <si>
    <t>30692541799</t>
  </si>
  <si>
    <t>306.925.417-99</t>
  </si>
  <si>
    <t>LD362769</t>
  </si>
  <si>
    <t>Fernanda Fernandes</t>
  </si>
  <si>
    <t>123.695.708-30</t>
  </si>
  <si>
    <t>LD784578</t>
  </si>
  <si>
    <t>Lívia Moreira</t>
  </si>
  <si>
    <t>698.425.037-47</t>
  </si>
  <si>
    <t>LD379378</t>
  </si>
  <si>
    <t>Mirella Campos</t>
  </si>
  <si>
    <t>50637194810</t>
  </si>
  <si>
    <t>506.371.948-10</t>
  </si>
  <si>
    <t>LD103883</t>
  </si>
  <si>
    <t>Sr. Henrique Duarte</t>
  </si>
  <si>
    <t>796.413.805-75</t>
  </si>
  <si>
    <t>LD523533</t>
  </si>
  <si>
    <t>Yasmin da Cunha</t>
  </si>
  <si>
    <t>529.430.678-65</t>
  </si>
  <si>
    <t>LD336817</t>
  </si>
  <si>
    <t>Srta. Brenda Viana</t>
  </si>
  <si>
    <t>67195803457</t>
  </si>
  <si>
    <t>671.958.034-57</t>
  </si>
  <si>
    <t>LD694798</t>
  </si>
  <si>
    <t>Daniel Gonçalves</t>
  </si>
  <si>
    <t>591.072.463-07</t>
  </si>
  <si>
    <t>LD417538</t>
  </si>
  <si>
    <t>Augusto Almeida</t>
  </si>
  <si>
    <t>32679085159</t>
  </si>
  <si>
    <t>326.790.851-59</t>
  </si>
  <si>
    <t>LD483102</t>
  </si>
  <si>
    <t>217.498.063-04</t>
  </si>
  <si>
    <t>LD897392</t>
  </si>
  <si>
    <t>Arthur Novaes</t>
  </si>
  <si>
    <t>527.638.419-37</t>
  </si>
  <si>
    <t>LD141241</t>
  </si>
  <si>
    <t>Henrique Martins</t>
  </si>
  <si>
    <t>397.156.082-21</t>
  </si>
  <si>
    <t>LD509054</t>
  </si>
  <si>
    <t>728.509.431-50</t>
  </si>
  <si>
    <t>LD188984</t>
  </si>
  <si>
    <t>Theo Rocha</t>
  </si>
  <si>
    <t>691.584.230-60</t>
  </si>
  <si>
    <t>LD137432</t>
  </si>
  <si>
    <t>Milena Azevedo</t>
  </si>
  <si>
    <t>52618043707</t>
  </si>
  <si>
    <t>526.180.437-07</t>
  </si>
  <si>
    <t>LD612997</t>
  </si>
  <si>
    <t>Luiz Felipe Rezende</t>
  </si>
  <si>
    <t>65712384035</t>
  </si>
  <si>
    <t>657.123.840-35</t>
  </si>
  <si>
    <t>LD623956</t>
  </si>
  <si>
    <t>Fernando Peixoto</t>
  </si>
  <si>
    <t>175.906.423-80</t>
  </si>
  <si>
    <t>LD138842</t>
  </si>
  <si>
    <t>Thiago da Mata</t>
  </si>
  <si>
    <t>60852941749</t>
  </si>
  <si>
    <t>608.529.417-49</t>
  </si>
  <si>
    <t>LD525205</t>
  </si>
  <si>
    <t>Stella Santos</t>
  </si>
  <si>
    <t>39275468109</t>
  </si>
  <si>
    <t>392.754.681-09</t>
  </si>
  <si>
    <t>LD580636</t>
  </si>
  <si>
    <t>607.549.231-34</t>
  </si>
  <si>
    <t>LD877048</t>
  </si>
  <si>
    <t>Isaac Aragão</t>
  </si>
  <si>
    <t>617.935.840-01</t>
  </si>
  <si>
    <t>LD248468</t>
  </si>
  <si>
    <t>Heitor Azevedo</t>
  </si>
  <si>
    <t>34620815780</t>
  </si>
  <si>
    <t>346.208.157-80</t>
  </si>
  <si>
    <t>LD354471</t>
  </si>
  <si>
    <t>Eduarda Novaes</t>
  </si>
  <si>
    <t>069.724.381-87</t>
  </si>
  <si>
    <t>LD422266</t>
  </si>
  <si>
    <t>Mirella Barros</t>
  </si>
  <si>
    <t>734.601.829-03</t>
  </si>
  <si>
    <t>LD975930</t>
  </si>
  <si>
    <t>061.257.398-21</t>
  </si>
  <si>
    <t>LD621292</t>
  </si>
  <si>
    <t>Dra. Emanuella da Cunha</t>
  </si>
  <si>
    <t>496.137.850-00</t>
  </si>
  <si>
    <t>LD546915</t>
  </si>
  <si>
    <t>Henrique Viana</t>
  </si>
  <si>
    <t>81970564393</t>
  </si>
  <si>
    <t>819.705.643-93</t>
  </si>
  <si>
    <t>LD439984</t>
  </si>
  <si>
    <t>Vitor Hugo Porto</t>
  </si>
  <si>
    <t>51740329805</t>
  </si>
  <si>
    <t>517.403.298-05</t>
  </si>
  <si>
    <t>LD437211</t>
  </si>
  <si>
    <t>João Gabriel da Luz</t>
  </si>
  <si>
    <t>634.507.982-00</t>
  </si>
  <si>
    <t>LD281873</t>
  </si>
  <si>
    <t>Sr. Luiz Henrique Teixeira</t>
  </si>
  <si>
    <t>37502946152</t>
  </si>
  <si>
    <t>375.029.461-52</t>
  </si>
  <si>
    <t>LD276214</t>
  </si>
  <si>
    <t>Diogo Rocha</t>
  </si>
  <si>
    <t>913.657.482-19</t>
  </si>
  <si>
    <t>LD710256</t>
  </si>
  <si>
    <t>Sr. Augusto Azevedo</t>
  </si>
  <si>
    <t>73042958132</t>
  </si>
  <si>
    <t>730.429.581-32</t>
  </si>
  <si>
    <t>LD494401</t>
  </si>
  <si>
    <t>Srta. Gabrielly Rezende</t>
  </si>
  <si>
    <t>129.465.083-15</t>
  </si>
  <si>
    <t>LD106658</t>
  </si>
  <si>
    <t>Maria Clara Vieira</t>
  </si>
  <si>
    <t>51069283460</t>
  </si>
  <si>
    <t>510.692.834-60</t>
  </si>
  <si>
    <t>LD397514</t>
  </si>
  <si>
    <t>Calebe Caldeira</t>
  </si>
  <si>
    <t>42963187564</t>
  </si>
  <si>
    <t>429.631.875-64</t>
  </si>
  <si>
    <t>LD233056</t>
  </si>
  <si>
    <t>Isabelly Cardoso</t>
  </si>
  <si>
    <t>74830521988</t>
  </si>
  <si>
    <t>748.305.219-88</t>
  </si>
  <si>
    <t>LD532046</t>
  </si>
  <si>
    <t>Daniel Souza</t>
  </si>
  <si>
    <t>91506248730</t>
  </si>
  <si>
    <t>915.062.487-30</t>
  </si>
  <si>
    <t>LD725236</t>
  </si>
  <si>
    <t>Clara Cardoso</t>
  </si>
  <si>
    <t>30427586135</t>
  </si>
  <si>
    <t>304.275.861-35</t>
  </si>
  <si>
    <t>LD464750</t>
  </si>
  <si>
    <t>Mirella Jesus</t>
  </si>
  <si>
    <t>16023789404</t>
  </si>
  <si>
    <t>160.237.894-04</t>
  </si>
  <si>
    <t>LD655953</t>
  </si>
  <si>
    <t>Caio Almeida</t>
  </si>
  <si>
    <t>170.326.894-69</t>
  </si>
  <si>
    <t>LD329927</t>
  </si>
  <si>
    <t>Vitória Farias</t>
  </si>
  <si>
    <t>15298407323</t>
  </si>
  <si>
    <t>152.984.073-23</t>
  </si>
  <si>
    <t>LD155646</t>
  </si>
  <si>
    <t>Thomas Costela</t>
  </si>
  <si>
    <t>28370496547</t>
  </si>
  <si>
    <t>283.704.965-47</t>
  </si>
  <si>
    <t>LD621682</t>
  </si>
  <si>
    <t>Eduarda Caldeira</t>
  </si>
  <si>
    <t>63914250780</t>
  </si>
  <si>
    <t>639.142.507-80</t>
  </si>
  <si>
    <t>LD776185</t>
  </si>
  <si>
    <t>Maria Luiza Gomes</t>
  </si>
  <si>
    <t>43158260905</t>
  </si>
  <si>
    <t>431.582.609-05</t>
  </si>
  <si>
    <t>LD746781</t>
  </si>
  <si>
    <t>Caroline Fernandes</t>
  </si>
  <si>
    <t>291.576.038-12</t>
  </si>
  <si>
    <t>LD876383</t>
  </si>
  <si>
    <t>Thomas Cardoso</t>
  </si>
  <si>
    <t>62380459738</t>
  </si>
  <si>
    <t>623.804.597-38</t>
  </si>
  <si>
    <t>LD608623</t>
  </si>
  <si>
    <t>Samuel Alves</t>
  </si>
  <si>
    <t>615.839.420-33</t>
  </si>
  <si>
    <t>LD721497</t>
  </si>
  <si>
    <t>Dr. Juan Nascimento</t>
  </si>
  <si>
    <t>847.516.932-55</t>
  </si>
  <si>
    <t>LD341238</t>
  </si>
  <si>
    <t>Mirella Farias</t>
  </si>
  <si>
    <t>794.302.518-05</t>
  </si>
  <si>
    <t>LD873584</t>
  </si>
  <si>
    <t>Yuri Caldeira</t>
  </si>
  <si>
    <t>78413029678</t>
  </si>
  <si>
    <t>784.130.296-78</t>
  </si>
  <si>
    <t>LD593869</t>
  </si>
  <si>
    <t>Kevin Alves</t>
  </si>
  <si>
    <t>781.432.650-80</t>
  </si>
  <si>
    <t>LD326665</t>
  </si>
  <si>
    <t>Ryan Freitas</t>
  </si>
  <si>
    <t>764.138.502-80</t>
  </si>
  <si>
    <t>LD243030</t>
  </si>
  <si>
    <t>Pedro Rodrigues</t>
  </si>
  <si>
    <t>63207548938</t>
  </si>
  <si>
    <t>632.075.489-38</t>
  </si>
  <si>
    <t>LD312033</t>
  </si>
  <si>
    <t>Manuela Lima</t>
  </si>
  <si>
    <t>60148729576</t>
  </si>
  <si>
    <t>601.487.295-76</t>
  </si>
  <si>
    <t>LD394234</t>
  </si>
  <si>
    <t>Maria Eduarda Souza</t>
  </si>
  <si>
    <t>27018934613</t>
  </si>
  <si>
    <t>270.189.346-13</t>
  </si>
  <si>
    <t>LD279517</t>
  </si>
  <si>
    <t>Caroline da Mata</t>
  </si>
  <si>
    <t>146.257.983-37</t>
  </si>
  <si>
    <t>LD264404</t>
  </si>
  <si>
    <t>Maria Fernanda Moraes</t>
  </si>
  <si>
    <t>167.495.208-20</t>
  </si>
  <si>
    <t>LD706204</t>
  </si>
  <si>
    <t>857.134.029-32</t>
  </si>
  <si>
    <t>LD998602</t>
  </si>
  <si>
    <t>Beatriz Dias</t>
  </si>
  <si>
    <t>603.794.851-84</t>
  </si>
  <si>
    <t>LD977646</t>
  </si>
  <si>
    <t>Enzo Gabriel da Rosa</t>
  </si>
  <si>
    <t>35102694707</t>
  </si>
  <si>
    <t>351.026.947-07</t>
  </si>
  <si>
    <t>LD359870</t>
  </si>
  <si>
    <t>Lavínia da Rocha</t>
  </si>
  <si>
    <t>15340827607</t>
  </si>
  <si>
    <t>153.408.276-07</t>
  </si>
  <si>
    <t>LD701568</t>
  </si>
  <si>
    <t>Olivia Freitas</t>
  </si>
  <si>
    <t>820.631.547-08</t>
  </si>
  <si>
    <t>LD593515</t>
  </si>
  <si>
    <t>Maria Luiza Dias</t>
  </si>
  <si>
    <t>940.352.817-60</t>
  </si>
  <si>
    <t>LD513474</t>
  </si>
  <si>
    <t>Srta. Marina Aragão</t>
  </si>
  <si>
    <t>43261507853</t>
  </si>
  <si>
    <t>432.615.078-53</t>
  </si>
  <si>
    <t>LD619344</t>
  </si>
  <si>
    <t>Eduardo Costela</t>
  </si>
  <si>
    <t>47053198260</t>
  </si>
  <si>
    <t>470.531.982-60</t>
  </si>
  <si>
    <t>LD867333</t>
  </si>
  <si>
    <t>Srta. Isabelly Jesus</t>
  </si>
  <si>
    <t>62197340840</t>
  </si>
  <si>
    <t>621.973.408-40</t>
  </si>
  <si>
    <t>LD350675</t>
  </si>
  <si>
    <t>618.975.034-66</t>
  </si>
  <si>
    <t>LD419644</t>
  </si>
  <si>
    <t>Daniela da Cunha</t>
  </si>
  <si>
    <t>48531976219</t>
  </si>
  <si>
    <t>485.319.762-19</t>
  </si>
  <si>
    <t>LD712011</t>
  </si>
  <si>
    <t>Vitória Pires</t>
  </si>
  <si>
    <t>45971083279</t>
  </si>
  <si>
    <t>459.710.832-79</t>
  </si>
  <si>
    <t>LD293929</t>
  </si>
  <si>
    <t>Letícia Carvalho</t>
  </si>
  <si>
    <t>912.084.675-49</t>
  </si>
  <si>
    <t>LD764170</t>
  </si>
  <si>
    <t>Maria Luiza Cunha</t>
  </si>
  <si>
    <t>08241569785</t>
  </si>
  <si>
    <t>082.415.697-85</t>
  </si>
  <si>
    <t>LD656710</t>
  </si>
  <si>
    <t>Maria Clara Cardoso</t>
  </si>
  <si>
    <t>58126970430</t>
  </si>
  <si>
    <t>581.269.704-30</t>
  </si>
  <si>
    <t>LD742254</t>
  </si>
  <si>
    <t>Cecília Cunha</t>
  </si>
  <si>
    <t>312.490.576-80</t>
  </si>
  <si>
    <t>LD750594</t>
  </si>
  <si>
    <t>Dr. Davi Luiz Freitas</t>
  </si>
  <si>
    <t>508.679.423-47</t>
  </si>
  <si>
    <t>LD807424</t>
  </si>
  <si>
    <t>13760825435</t>
  </si>
  <si>
    <t>137.608.254-35</t>
  </si>
  <si>
    <t>LD587957</t>
  </si>
  <si>
    <t>João Gabriel Lopes</t>
  </si>
  <si>
    <t>614.925.807-67</t>
  </si>
  <si>
    <t>LD839113</t>
  </si>
  <si>
    <t>Maria Julia Viana</t>
  </si>
  <si>
    <t>74980163548</t>
  </si>
  <si>
    <t>749.801.635-48</t>
  </si>
  <si>
    <t>LD451199</t>
  </si>
  <si>
    <t>86709453120</t>
  </si>
  <si>
    <t>867.094.531-20</t>
  </si>
  <si>
    <t>LD888819</t>
  </si>
  <si>
    <t>João Miguel Monteiro</t>
  </si>
  <si>
    <t>519.742.836-82</t>
  </si>
  <si>
    <t>LD436030</t>
  </si>
  <si>
    <t>Erick Oliveira</t>
  </si>
  <si>
    <t>24396051824</t>
  </si>
  <si>
    <t>243.960.518-24</t>
  </si>
  <si>
    <t>LD390607</t>
  </si>
  <si>
    <t>Isis Barbosa</t>
  </si>
  <si>
    <t>80793145279</t>
  </si>
  <si>
    <t>807.931.452-79</t>
  </si>
  <si>
    <t>LD625808</t>
  </si>
  <si>
    <t>Sr. Vitor Souza</t>
  </si>
  <si>
    <t>291.086.475-85</t>
  </si>
  <si>
    <t>LD811257</t>
  </si>
  <si>
    <t>Ana Vitória Souza</t>
  </si>
  <si>
    <t>048.651.379-39</t>
  </si>
  <si>
    <t>LD486028</t>
  </si>
  <si>
    <t>João Miguel da Mota</t>
  </si>
  <si>
    <t>816.295.034-60</t>
  </si>
  <si>
    <t>LD580115</t>
  </si>
  <si>
    <t>Evelyn da Cunha</t>
  </si>
  <si>
    <t>84621053906</t>
  </si>
  <si>
    <t>846.210.539-06</t>
  </si>
  <si>
    <t>LD180685</t>
  </si>
  <si>
    <t>Dra. Marcela Pinto</t>
  </si>
  <si>
    <t>31462097804</t>
  </si>
  <si>
    <t>314.620.978-04</t>
  </si>
  <si>
    <t>LD620438</t>
  </si>
  <si>
    <t>Joana da Cruz</t>
  </si>
  <si>
    <t>59460138748</t>
  </si>
  <si>
    <t>594.601.387-48</t>
  </si>
  <si>
    <t>LD407410</t>
  </si>
  <si>
    <t>Nina da Mata</t>
  </si>
  <si>
    <t>43057891241</t>
  </si>
  <si>
    <t>430.578.912-41</t>
  </si>
  <si>
    <t>LD463541</t>
  </si>
  <si>
    <t>Gustavo Silva</t>
  </si>
  <si>
    <t>98061724340</t>
  </si>
  <si>
    <t>980.617.243-40</t>
  </si>
  <si>
    <t>LD298244</t>
  </si>
  <si>
    <t>Isaac Cunha</t>
  </si>
  <si>
    <t>70582694329</t>
  </si>
  <si>
    <t>705.826.943-29</t>
  </si>
  <si>
    <t>LD531690</t>
  </si>
  <si>
    <t>Emanuel Moraes</t>
  </si>
  <si>
    <t>384.720.956-65</t>
  </si>
  <si>
    <t>LD722180</t>
  </si>
  <si>
    <t>Calebe Carvalho</t>
  </si>
  <si>
    <t>178.504.623-35</t>
  </si>
  <si>
    <t>LD580255</t>
  </si>
  <si>
    <t>Ana Laura da Paz</t>
  </si>
  <si>
    <t>73285910640</t>
  </si>
  <si>
    <t>732.859.106-40</t>
  </si>
  <si>
    <t>LD927607</t>
  </si>
  <si>
    <t>Thiago Cardoso</t>
  </si>
  <si>
    <t>18762309595</t>
  </si>
  <si>
    <t>187.623.095-95</t>
  </si>
  <si>
    <t>LD255544</t>
  </si>
  <si>
    <t>Rebeca Souza</t>
  </si>
  <si>
    <t>09218546767</t>
  </si>
  <si>
    <t>092.185.467-67</t>
  </si>
  <si>
    <t>LD268600</t>
  </si>
  <si>
    <t>Ana Souza</t>
  </si>
  <si>
    <t>036.285.741-53</t>
  </si>
  <si>
    <t>LD269087</t>
  </si>
  <si>
    <t>Ana Vitória Peixoto</t>
  </si>
  <si>
    <t>03624719599</t>
  </si>
  <si>
    <t>036.247.195-99</t>
  </si>
  <si>
    <t>LD232617</t>
  </si>
  <si>
    <t>Ana Julia Costa</t>
  </si>
  <si>
    <t>84192763591</t>
  </si>
  <si>
    <t>841.927.635-91</t>
  </si>
  <si>
    <t>LD797883</t>
  </si>
  <si>
    <t>Nicolas Cunha</t>
  </si>
  <si>
    <t>63295147043</t>
  </si>
  <si>
    <t>632.951.470-43</t>
  </si>
  <si>
    <t>LD666091</t>
  </si>
  <si>
    <t>Levi Freitas</t>
  </si>
  <si>
    <t>596.072.841-94</t>
  </si>
  <si>
    <t>LD524214</t>
  </si>
  <si>
    <t>Maria Alice Oliveira</t>
  </si>
  <si>
    <t>059.621.348-42</t>
  </si>
  <si>
    <t>LD263633</t>
  </si>
  <si>
    <t>Srta. Manuela Castro</t>
  </si>
  <si>
    <t>12670594867</t>
  </si>
  <si>
    <t>126.705.948-67</t>
  </si>
  <si>
    <t>LD778684</t>
  </si>
  <si>
    <t>Julia Carvalho</t>
  </si>
  <si>
    <t>062.539.784-38</t>
  </si>
  <si>
    <t>LD799282</t>
  </si>
  <si>
    <t>Vitor da Rosa</t>
  </si>
  <si>
    <t>45803917648</t>
  </si>
  <si>
    <t>458.039.176-48</t>
  </si>
  <si>
    <t>LD822622</t>
  </si>
  <si>
    <t>Luiza Pereira</t>
  </si>
  <si>
    <t>82349507629</t>
  </si>
  <si>
    <t>823.495.076-29</t>
  </si>
  <si>
    <t>LD810943</t>
  </si>
  <si>
    <t>Agatha Souza</t>
  </si>
  <si>
    <t>735.218.940-88</t>
  </si>
  <si>
    <t>LD981723</t>
  </si>
  <si>
    <t>91075234670</t>
  </si>
  <si>
    <t>910.752.346-70</t>
  </si>
  <si>
    <t>LD737692</t>
  </si>
  <si>
    <t>914.278.065-94</t>
  </si>
  <si>
    <t>LD305222</t>
  </si>
  <si>
    <t>Bárbara Nunes</t>
  </si>
  <si>
    <t>96875230186</t>
  </si>
  <si>
    <t>968.752.301-86</t>
  </si>
  <si>
    <t>LD804179</t>
  </si>
  <si>
    <t>Valentina Moreira</t>
  </si>
  <si>
    <t>963.124.087-87</t>
  </si>
  <si>
    <t>LD614290</t>
  </si>
  <si>
    <t>Gabriela da Mota</t>
  </si>
  <si>
    <t>23176958455</t>
  </si>
  <si>
    <t>231.769.584-55</t>
  </si>
  <si>
    <t>LD478603</t>
  </si>
  <si>
    <t>Ana Carolina Oliveira</t>
  </si>
  <si>
    <t>90713856475</t>
  </si>
  <si>
    <t>907.138.564-75</t>
  </si>
  <si>
    <t>LD504868</t>
  </si>
  <si>
    <t>Camila da Rosa</t>
  </si>
  <si>
    <t>48396127573</t>
  </si>
  <si>
    <t>483.961.275-73</t>
  </si>
  <si>
    <t>LD567220</t>
  </si>
  <si>
    <t>Luiz Henrique Cunha</t>
  </si>
  <si>
    <t>804.692.375-38</t>
  </si>
  <si>
    <t>LD877548</t>
  </si>
  <si>
    <t>Dra. Mariana Pinto</t>
  </si>
  <si>
    <t>502.347.169-16</t>
  </si>
  <si>
    <t>LD944809</t>
  </si>
  <si>
    <t>Isis Nascimento</t>
  </si>
  <si>
    <t>561.870.394-75</t>
  </si>
  <si>
    <t>LD246347</t>
  </si>
  <si>
    <t>Bianca da Mota</t>
  </si>
  <si>
    <t>859.602.134-51</t>
  </si>
  <si>
    <t>LD417960</t>
  </si>
  <si>
    <t>Erick Lima</t>
  </si>
  <si>
    <t>84067135262</t>
  </si>
  <si>
    <t>840.671.352-62</t>
  </si>
  <si>
    <t>LD719371</t>
  </si>
  <si>
    <t>Maitê Pinto</t>
  </si>
  <si>
    <t>968.075.324-74</t>
  </si>
  <si>
    <t>LD534649</t>
  </si>
  <si>
    <t>Raul da Mota</t>
  </si>
  <si>
    <t>95076382103</t>
  </si>
  <si>
    <t>950.763.821-03</t>
  </si>
  <si>
    <t>LD243578</t>
  </si>
  <si>
    <t>Pedro Lucas Cardoso</t>
  </si>
  <si>
    <t>50731492625</t>
  </si>
  <si>
    <t>507.314.926-25</t>
  </si>
  <si>
    <t>LD614416</t>
  </si>
  <si>
    <t>Marina da Conceição</t>
  </si>
  <si>
    <t>05382691460</t>
  </si>
  <si>
    <t>053.826.914-60</t>
  </si>
  <si>
    <t>LD618101</t>
  </si>
  <si>
    <t>Esther Novaes</t>
  </si>
  <si>
    <t>207.153.498-05</t>
  </si>
  <si>
    <t>LD261505</t>
  </si>
  <si>
    <t>João Felipe Aragão</t>
  </si>
  <si>
    <t>81756340226</t>
  </si>
  <si>
    <t>817.563.402-26</t>
  </si>
  <si>
    <t>LD230208</t>
  </si>
  <si>
    <t>Dra. Ana Clara Ferreira</t>
  </si>
  <si>
    <t>064.915.738-93</t>
  </si>
  <si>
    <t>LD615780</t>
  </si>
  <si>
    <t>Ian Moraes</t>
  </si>
  <si>
    <t>235.806.714-80</t>
  </si>
  <si>
    <t>LD901865</t>
  </si>
  <si>
    <t>Renan Cavalcanti</t>
  </si>
  <si>
    <t>12037965443</t>
  </si>
  <si>
    <t>120.379.654-43</t>
  </si>
  <si>
    <t>LD881782</t>
  </si>
  <si>
    <t>Luna Viana</t>
  </si>
  <si>
    <t>95601837457</t>
  </si>
  <si>
    <t>956.018.374-57</t>
  </si>
  <si>
    <t>LD758501</t>
  </si>
  <si>
    <t>Nicolas Barros</t>
  </si>
  <si>
    <t>250.139.786-02</t>
  </si>
  <si>
    <t>LD637422</t>
  </si>
  <si>
    <t>Benjamin Duarte</t>
  </si>
  <si>
    <t>734.608.925-10</t>
  </si>
  <si>
    <t>LD709908</t>
  </si>
  <si>
    <t>Sarah Sales</t>
  </si>
  <si>
    <t>82906154342</t>
  </si>
  <si>
    <t>829.061.543-42</t>
  </si>
  <si>
    <t>LD474745</t>
  </si>
  <si>
    <t>Caroline Ferreira</t>
  </si>
  <si>
    <t>86249735119</t>
  </si>
  <si>
    <t>862.497.351-19</t>
  </si>
  <si>
    <t>LD151081</t>
  </si>
  <si>
    <t>31245790897</t>
  </si>
  <si>
    <t>312.457.908-97</t>
  </si>
  <si>
    <t>LD303229</t>
  </si>
  <si>
    <t>Sophia Porto</t>
  </si>
  <si>
    <t>076.359.814-39</t>
  </si>
  <si>
    <t>LD889188</t>
  </si>
  <si>
    <t>Eduarda Nunes</t>
  </si>
  <si>
    <t>82097315640</t>
  </si>
  <si>
    <t>820.973.156-40</t>
  </si>
  <si>
    <t>LD986041</t>
  </si>
  <si>
    <t>Pedro Lucas Monteiro</t>
  </si>
  <si>
    <t>521.398.074-05</t>
  </si>
  <si>
    <t>LD200488</t>
  </si>
  <si>
    <t>Emanuella Nunes</t>
  </si>
  <si>
    <t>921.457.083-32</t>
  </si>
  <si>
    <t>LD243601</t>
  </si>
  <si>
    <t>Julia Ramos</t>
  </si>
  <si>
    <t>904.137.258-04</t>
  </si>
  <si>
    <t>LD456844</t>
  </si>
  <si>
    <t>Arthur Melo</t>
  </si>
  <si>
    <t>036.542.789-65</t>
  </si>
  <si>
    <t>LD627835</t>
  </si>
  <si>
    <t>Heloísa Silva</t>
  </si>
  <si>
    <t>81926340787</t>
  </si>
  <si>
    <t>819.263.407-87</t>
  </si>
  <si>
    <t>LD823153</t>
  </si>
  <si>
    <t>Sr. Erick Viana</t>
  </si>
  <si>
    <t>679.314.508-84</t>
  </si>
  <si>
    <t>LD836378</t>
  </si>
  <si>
    <t>Stephany Cardoso</t>
  </si>
  <si>
    <t>917.345.680-20</t>
  </si>
  <si>
    <t>LD222227</t>
  </si>
  <si>
    <t>Maria Julia Pinto</t>
  </si>
  <si>
    <t>872.619.530-59</t>
  </si>
  <si>
    <t>LD426708</t>
  </si>
  <si>
    <t>Maria Alice Lopes</t>
  </si>
  <si>
    <t>806.517.294-67</t>
  </si>
  <si>
    <t>LD648532</t>
  </si>
  <si>
    <t>Rafael Moreira</t>
  </si>
  <si>
    <t>695.734.082-10</t>
  </si>
  <si>
    <t>LD130156</t>
  </si>
  <si>
    <t>Marcelo da Luz</t>
  </si>
  <si>
    <t>594.217.386-91</t>
  </si>
  <si>
    <t>LD821469</t>
  </si>
  <si>
    <t>João Gabriel Gonçalves</t>
  </si>
  <si>
    <t>23954671034</t>
  </si>
  <si>
    <t>239.546.710-34</t>
  </si>
  <si>
    <t>LD545440</t>
  </si>
  <si>
    <t>Marcelo Cavalcanti</t>
  </si>
  <si>
    <t>562.708.143-08</t>
  </si>
  <si>
    <t>LD912323</t>
  </si>
  <si>
    <t>Camila Mendes</t>
  </si>
  <si>
    <t>62834159700</t>
  </si>
  <si>
    <t>628.341.597-00</t>
  </si>
  <si>
    <t>LD134385</t>
  </si>
  <si>
    <t>865.203.914-33</t>
  </si>
  <si>
    <t>LD224698</t>
  </si>
  <si>
    <t>Giovanna Rodrigues</t>
  </si>
  <si>
    <t>493.012.687-87</t>
  </si>
  <si>
    <t>LD110771</t>
  </si>
  <si>
    <t>Lucca Rocha</t>
  </si>
  <si>
    <t>203.459.178-04</t>
  </si>
  <si>
    <t>LD716146</t>
  </si>
  <si>
    <t>Sr. João Vitor Lima</t>
  </si>
  <si>
    <t>154.302.786-53</t>
  </si>
  <si>
    <t>LD195189</t>
  </si>
  <si>
    <t>Srta. Isabelly da Rosa</t>
  </si>
  <si>
    <t>67183520471</t>
  </si>
  <si>
    <t>671.835.204-71</t>
  </si>
  <si>
    <t>LD464733</t>
  </si>
  <si>
    <t>Davi Lucas Cavalcanti</t>
  </si>
  <si>
    <t>41062839722</t>
  </si>
  <si>
    <t>410.628.397-22</t>
  </si>
  <si>
    <t>LD353569</t>
  </si>
  <si>
    <t>Marcela Ribeiro</t>
  </si>
  <si>
    <t>802.639.714-22</t>
  </si>
  <si>
    <t>LD114663</t>
  </si>
  <si>
    <t>Marcela Monteiro</t>
  </si>
  <si>
    <t>628.743.501-17</t>
  </si>
  <si>
    <t>LD890645</t>
  </si>
  <si>
    <t>Lívia Peixoto</t>
  </si>
  <si>
    <t>789.261.435-46</t>
  </si>
  <si>
    <t>LD628687</t>
  </si>
  <si>
    <t>Dr. Marcelo Mendes</t>
  </si>
  <si>
    <t>965.824.703-29</t>
  </si>
  <si>
    <t>LD294118</t>
  </si>
  <si>
    <t>Ana Vitória Cardoso</t>
  </si>
  <si>
    <t>65017843957</t>
  </si>
  <si>
    <t>650.178.439-57</t>
  </si>
  <si>
    <t>LD498055</t>
  </si>
  <si>
    <t>Daniela Dias</t>
  </si>
  <si>
    <t>13250746835</t>
  </si>
  <si>
    <t>132.507.468-35</t>
  </si>
  <si>
    <t>LD898395</t>
  </si>
  <si>
    <t>Dr. Lucca Azevedo</t>
  </si>
  <si>
    <t>836.451.072-07</t>
  </si>
  <si>
    <t>LD242514</t>
  </si>
  <si>
    <t>Marcela Nogueira</t>
  </si>
  <si>
    <t>67235194855</t>
  </si>
  <si>
    <t>672.351.948-55</t>
  </si>
  <si>
    <t>LD857215</t>
  </si>
  <si>
    <t>Pedro Oliveira</t>
  </si>
  <si>
    <t>20974165867</t>
  </si>
  <si>
    <t>209.741.658-67</t>
  </si>
  <si>
    <t>LD397388</t>
  </si>
  <si>
    <t>Clara da Luz</t>
  </si>
  <si>
    <t>81290647585</t>
  </si>
  <si>
    <t>812.906.475-85</t>
  </si>
  <si>
    <t>LD336845</t>
  </si>
  <si>
    <t>Agatha Lima</t>
  </si>
  <si>
    <t>910.357.426-16</t>
  </si>
  <si>
    <t>LD998392</t>
  </si>
  <si>
    <t>Luigi da Cruz</t>
  </si>
  <si>
    <t>38720419678</t>
  </si>
  <si>
    <t>387.204.196-78</t>
  </si>
  <si>
    <t>LD485290</t>
  </si>
  <si>
    <t>Srta. Natália Ramos</t>
  </si>
  <si>
    <t>29536847191</t>
  </si>
  <si>
    <t>295.368.471-91</t>
  </si>
  <si>
    <t>LD210280</t>
  </si>
  <si>
    <t>Emanuelly Rocha</t>
  </si>
  <si>
    <t>26984075300</t>
  </si>
  <si>
    <t>269.840.753-00</t>
  </si>
  <si>
    <t>LD225008</t>
  </si>
  <si>
    <t>Sarah Ramos</t>
  </si>
  <si>
    <t>68350792400</t>
  </si>
  <si>
    <t>683.507.924-00</t>
  </si>
  <si>
    <t>LD877447</t>
  </si>
  <si>
    <t>Ana Vitória Ribeiro</t>
  </si>
  <si>
    <t>217.586.390-59</t>
  </si>
  <si>
    <t>LD308757</t>
  </si>
  <si>
    <t>Maria Luiza da Mata</t>
  </si>
  <si>
    <t>05216487344</t>
  </si>
  <si>
    <t>052.164.873-44</t>
  </si>
  <si>
    <t>LD344181</t>
  </si>
  <si>
    <t>Caio Pereira</t>
  </si>
  <si>
    <t>514.879.602-20</t>
  </si>
  <si>
    <t>LD903180</t>
  </si>
  <si>
    <t>Isabelly Farias</t>
  </si>
  <si>
    <t>983.246.510-98</t>
  </si>
  <si>
    <t>LD473395</t>
  </si>
  <si>
    <t>Dra. Letícia Sales</t>
  </si>
  <si>
    <t>32681075912</t>
  </si>
  <si>
    <t>326.810.759-12</t>
  </si>
  <si>
    <t>LD636256</t>
  </si>
  <si>
    <t>Mariana Correia</t>
  </si>
  <si>
    <t>27801453662</t>
  </si>
  <si>
    <t>278.014.536-62</t>
  </si>
  <si>
    <t>LD362867</t>
  </si>
  <si>
    <t>Isaac Farias</t>
  </si>
  <si>
    <t>97850132432</t>
  </si>
  <si>
    <t>978.501.324-32</t>
  </si>
  <si>
    <t>LD204441</t>
  </si>
  <si>
    <t>Maria Eduarda Silveira</t>
  </si>
  <si>
    <t>328.056.197-30</t>
  </si>
  <si>
    <t>LD128048</t>
  </si>
  <si>
    <t>Srta. Maria Clara da Mota</t>
  </si>
  <si>
    <t>208.943.561-51</t>
  </si>
  <si>
    <t>LD260155</t>
  </si>
  <si>
    <t>Cecília Moura</t>
  </si>
  <si>
    <t>85219430750</t>
  </si>
  <si>
    <t>852.194.307-50</t>
  </si>
  <si>
    <t>LD904857</t>
  </si>
  <si>
    <t>Guilherme Jesus</t>
  </si>
  <si>
    <t>36184520717</t>
  </si>
  <si>
    <t>361.845.207-17</t>
  </si>
  <si>
    <t>LD622084</t>
  </si>
  <si>
    <t>Sr. Emanuel Carvalho</t>
  </si>
  <si>
    <t>02865473929</t>
  </si>
  <si>
    <t>028.654.739-29</t>
  </si>
  <si>
    <t>LD666785</t>
  </si>
  <si>
    <t>Eduardo Rocha</t>
  </si>
  <si>
    <t>483.091.625-70</t>
  </si>
  <si>
    <t>LD224921</t>
  </si>
  <si>
    <t>Emanuel Sales</t>
  </si>
  <si>
    <t>19230845779</t>
  </si>
  <si>
    <t>192.308.457-79</t>
  </si>
  <si>
    <t>LD581984</t>
  </si>
  <si>
    <t>Rodrigo Ramos</t>
  </si>
  <si>
    <t>67209453865</t>
  </si>
  <si>
    <t>672.094.538-65</t>
  </si>
  <si>
    <t>LD840356</t>
  </si>
  <si>
    <t>Ana Lívia Costela</t>
  </si>
  <si>
    <t>20145836762</t>
  </si>
  <si>
    <t>201.458.367-62</t>
  </si>
  <si>
    <t>LD507980</t>
  </si>
  <si>
    <t>Dra. Sophie Pires</t>
  </si>
  <si>
    <t>39802417505</t>
  </si>
  <si>
    <t>398.024.175-05</t>
  </si>
  <si>
    <t>LD792142</t>
  </si>
  <si>
    <t>Luiz Otávio Alves</t>
  </si>
  <si>
    <t>274.680.135-35</t>
  </si>
  <si>
    <t>LD689567</t>
  </si>
  <si>
    <t>Gustavo Henrique Aragão</t>
  </si>
  <si>
    <t>862.704.953-00</t>
  </si>
  <si>
    <t>LD618721</t>
  </si>
  <si>
    <t>João Miguel Costela</t>
  </si>
  <si>
    <t>035.278.964-65</t>
  </si>
  <si>
    <t>LD903702</t>
  </si>
  <si>
    <t>Theo Monteiro</t>
  </si>
  <si>
    <t>270.681.359-86</t>
  </si>
  <si>
    <t>LD147310</t>
  </si>
  <si>
    <t>Kevin Moraes</t>
  </si>
  <si>
    <t>85932140615</t>
  </si>
  <si>
    <t>859.321.406-15</t>
  </si>
  <si>
    <t>LD128206</t>
  </si>
  <si>
    <t>Srta. Alice da Conceição</t>
  </si>
  <si>
    <t>706.824.139-50</t>
  </si>
  <si>
    <t>LD548945</t>
  </si>
  <si>
    <t>20756831407</t>
  </si>
  <si>
    <t>207.568.314-07</t>
  </si>
  <si>
    <t>LD793360</t>
  </si>
  <si>
    <t>Cauê Costela</t>
  </si>
  <si>
    <t>48126579030</t>
  </si>
  <si>
    <t>481.265.790-30</t>
  </si>
  <si>
    <t>LD189067</t>
  </si>
  <si>
    <t>Dra. Esther Azevedo</t>
  </si>
  <si>
    <t>301.842.975-32</t>
  </si>
  <si>
    <t>LD453993</t>
  </si>
  <si>
    <t>Valentina Lima</t>
  </si>
  <si>
    <t>91534278664</t>
  </si>
  <si>
    <t>915.342.786-64</t>
  </si>
  <si>
    <t>LD789719</t>
  </si>
  <si>
    <t>Felipe Fernandes</t>
  </si>
  <si>
    <t>712.693.405-06</t>
  </si>
  <si>
    <t>LD121393</t>
  </si>
  <si>
    <t>Ana Carolina Costa</t>
  </si>
  <si>
    <t>810.973.654-84</t>
  </si>
  <si>
    <t>LD698059</t>
  </si>
  <si>
    <t>Vitor Hugo Carvalho</t>
  </si>
  <si>
    <t>72640958356</t>
  </si>
  <si>
    <t>726.409.583-56</t>
  </si>
  <si>
    <t>LD824423</t>
  </si>
  <si>
    <t>Dra. Isabelly Porto</t>
  </si>
  <si>
    <t>120.657.834-35</t>
  </si>
  <si>
    <t>LD274721</t>
  </si>
  <si>
    <t>Eduardo Silva</t>
  </si>
  <si>
    <t>067.918.324-87</t>
  </si>
  <si>
    <t>LD621091</t>
  </si>
  <si>
    <t>Benjamin Gomes</t>
  </si>
  <si>
    <t>584.321.609-89</t>
  </si>
  <si>
    <t>LD324479</t>
  </si>
  <si>
    <t>Antônio Aragão</t>
  </si>
  <si>
    <t>96274581391</t>
  </si>
  <si>
    <t>962.745.813-91</t>
  </si>
  <si>
    <t>LD943687</t>
  </si>
  <si>
    <t>Maria Vitória Fernandes</t>
  </si>
  <si>
    <t>70384625983</t>
  </si>
  <si>
    <t>703.846.259-83</t>
  </si>
  <si>
    <t>LD199335</t>
  </si>
  <si>
    <t>Bruna Pires</t>
  </si>
  <si>
    <t>468.310.279-03</t>
  </si>
  <si>
    <t>LD656860</t>
  </si>
  <si>
    <t>Daniel Ribeiro</t>
  </si>
  <si>
    <t>09823547114</t>
  </si>
  <si>
    <t>098.235.471-14</t>
  </si>
  <si>
    <t>LD629152</t>
  </si>
  <si>
    <t>Maria Sophia Araújo</t>
  </si>
  <si>
    <t>190.346.578-84</t>
  </si>
  <si>
    <t>LD309795</t>
  </si>
  <si>
    <t>Vinicius Ferreira</t>
  </si>
  <si>
    <t>93165428042</t>
  </si>
  <si>
    <t>931.654.280-42</t>
  </si>
  <si>
    <t>LD804181</t>
  </si>
  <si>
    <t>Raul Campos</t>
  </si>
  <si>
    <t>520.849.761-11</t>
  </si>
  <si>
    <t>LD837496</t>
  </si>
  <si>
    <t>Luna Novaes</t>
  </si>
  <si>
    <t>987.510.632-12</t>
  </si>
  <si>
    <t>LD792905</t>
  </si>
  <si>
    <t>Kaique Nascimento</t>
  </si>
  <si>
    <t>984.035.672-00</t>
  </si>
  <si>
    <t>LD768914</t>
  </si>
  <si>
    <t>Benjamin Rodrigues</t>
  </si>
  <si>
    <t>743.162.908-78</t>
  </si>
  <si>
    <t>LD861911</t>
  </si>
  <si>
    <t>Dra. Natália Gonçalves</t>
  </si>
  <si>
    <t>917.605.248-67</t>
  </si>
  <si>
    <t>LD254920</t>
  </si>
  <si>
    <t>Beatriz Araújo</t>
  </si>
  <si>
    <t>37049618250</t>
  </si>
  <si>
    <t>370.496.182-50</t>
  </si>
  <si>
    <t>LD530189</t>
  </si>
  <si>
    <t>Davi Lucca Araújo</t>
  </si>
  <si>
    <t>41872930514</t>
  </si>
  <si>
    <t>418.729.305-14</t>
  </si>
  <si>
    <t>LD987060</t>
  </si>
  <si>
    <t>84067931204</t>
  </si>
  <si>
    <t>840.679.312-04</t>
  </si>
  <si>
    <t>LD368903</t>
  </si>
  <si>
    <t>Davi Lucca Costa</t>
  </si>
  <si>
    <t>753.496.210-25</t>
  </si>
  <si>
    <t>LD257246</t>
  </si>
  <si>
    <t>Benício Araújo</t>
  </si>
  <si>
    <t>48036259729</t>
  </si>
  <si>
    <t>480.362.597-29</t>
  </si>
  <si>
    <t>LD608960</t>
  </si>
  <si>
    <t>Diogo Nascimento</t>
  </si>
  <si>
    <t>914.730.658-01</t>
  </si>
  <si>
    <t>LD311802</t>
  </si>
  <si>
    <t>Emanuelly da Cunha</t>
  </si>
  <si>
    <t>96235847092</t>
  </si>
  <si>
    <t>962.358.470-92</t>
  </si>
  <si>
    <t>LD790666</t>
  </si>
  <si>
    <t>Nicolas Moraes</t>
  </si>
  <si>
    <t>314.607.958-57</t>
  </si>
  <si>
    <t>LD609442</t>
  </si>
  <si>
    <t>Luiz Felipe Vieira</t>
  </si>
  <si>
    <t>327.854.196-00</t>
  </si>
  <si>
    <t>LD730823</t>
  </si>
  <si>
    <t>Yago Ramos</t>
  </si>
  <si>
    <t>96275038195</t>
  </si>
  <si>
    <t>962.750.381-95</t>
  </si>
  <si>
    <t>LD804299</t>
  </si>
  <si>
    <t>Isis Nogueira</t>
  </si>
  <si>
    <t>834.790.215-14</t>
  </si>
  <si>
    <t>LD347507</t>
  </si>
  <si>
    <t>28503147653</t>
  </si>
  <si>
    <t>285.031.476-53</t>
  </si>
  <si>
    <t>LD796482</t>
  </si>
  <si>
    <t>Júlia Freitas</t>
  </si>
  <si>
    <t>892.045.137-05</t>
  </si>
  <si>
    <t>LD620566</t>
  </si>
  <si>
    <t>Dra. Daniela Barbosa</t>
  </si>
  <si>
    <t>624.391.580-89</t>
  </si>
  <si>
    <t>LD445281</t>
  </si>
  <si>
    <t>Pedro Henrique Campos</t>
  </si>
  <si>
    <t>149.708.635-39</t>
  </si>
  <si>
    <t>LD543410</t>
  </si>
  <si>
    <t>Theo Oliveira</t>
  </si>
  <si>
    <t>13875609484</t>
  </si>
  <si>
    <t>138.756.094-84</t>
  </si>
  <si>
    <t>LD560823</t>
  </si>
  <si>
    <t>Fernando Martins</t>
  </si>
  <si>
    <t>89132076568</t>
  </si>
  <si>
    <t>891.320.765-68</t>
  </si>
  <si>
    <t>LD659383</t>
  </si>
  <si>
    <t>Luiz Felipe da Conceição</t>
  </si>
  <si>
    <t>41832075680</t>
  </si>
  <si>
    <t>418.320.756-80</t>
  </si>
  <si>
    <t>LD544366</t>
  </si>
  <si>
    <t>Yuri Peixoto</t>
  </si>
  <si>
    <t>61795302461</t>
  </si>
  <si>
    <t>617.953.024-61</t>
  </si>
  <si>
    <t>LD480631</t>
  </si>
  <si>
    <t>98046731501</t>
  </si>
  <si>
    <t>980.467.315-01</t>
  </si>
  <si>
    <t>LD776748</t>
  </si>
  <si>
    <t>Bruno Pires</t>
  </si>
  <si>
    <t>461.872.539-73</t>
  </si>
  <si>
    <t>LD824233</t>
  </si>
  <si>
    <t>Lara Teixeira</t>
  </si>
  <si>
    <t>936.547.812-09</t>
  </si>
  <si>
    <t>LD503376</t>
  </si>
  <si>
    <t>Ryan Carvalho</t>
  </si>
  <si>
    <t>59428073610</t>
  </si>
  <si>
    <t>594.280.736-10</t>
  </si>
  <si>
    <t>LD818534</t>
  </si>
  <si>
    <t>Nicole da Mata</t>
  </si>
  <si>
    <t>07518396475</t>
  </si>
  <si>
    <t>075.183.964-75</t>
  </si>
  <si>
    <t>LD108248</t>
  </si>
  <si>
    <t>Ana Júlia Pereira</t>
  </si>
  <si>
    <t>036.182.759-86</t>
  </si>
  <si>
    <t>LD194634</t>
  </si>
  <si>
    <t>Maria Luiza Ferreira</t>
  </si>
  <si>
    <t>590.367.481-00</t>
  </si>
  <si>
    <t>LD268010</t>
  </si>
  <si>
    <t>Heitor Souza</t>
  </si>
  <si>
    <t>942.073.851-50</t>
  </si>
  <si>
    <t>LD927659</t>
  </si>
  <si>
    <t>67902358410</t>
  </si>
  <si>
    <t>679.023.584-10</t>
  </si>
  <si>
    <t>LD872739</t>
  </si>
  <si>
    <t>Ian Pereira</t>
  </si>
  <si>
    <t>57824031608</t>
  </si>
  <si>
    <t>578.240.316-08</t>
  </si>
  <si>
    <t>LD960085</t>
  </si>
  <si>
    <t>Yuri Santos</t>
  </si>
  <si>
    <t>90617245380</t>
  </si>
  <si>
    <t>906.172.453-80</t>
  </si>
  <si>
    <t>LD169591</t>
  </si>
  <si>
    <t>Pedro Miguel da Mata</t>
  </si>
  <si>
    <t>65409327152</t>
  </si>
  <si>
    <t>654.093.271-52</t>
  </si>
  <si>
    <t>LD575279</t>
  </si>
  <si>
    <t>291.768.534-46</t>
  </si>
  <si>
    <t>LD760766</t>
  </si>
  <si>
    <t>46287901322</t>
  </si>
  <si>
    <t>462.879.013-22</t>
  </si>
  <si>
    <t>LD309794</t>
  </si>
  <si>
    <t>Davi Freitas</t>
  </si>
  <si>
    <t>195.642.307-99</t>
  </si>
  <si>
    <t>LD265488</t>
  </si>
  <si>
    <t>Alana Cavalcanti</t>
  </si>
  <si>
    <t>78635910230</t>
  </si>
  <si>
    <t>786.359.102-30</t>
  </si>
  <si>
    <t>LD988102</t>
  </si>
  <si>
    <t>Maria Vitória Moraes</t>
  </si>
  <si>
    <t>704.316.285-80</t>
  </si>
  <si>
    <t>LD601602</t>
  </si>
  <si>
    <t>Thomas Correia</t>
  </si>
  <si>
    <t>203.491.768-50</t>
  </si>
  <si>
    <t>LD966929</t>
  </si>
  <si>
    <t>Dr. Vitor Gabriel Teixeira</t>
  </si>
  <si>
    <t>07568124967</t>
  </si>
  <si>
    <t>075.681.249-67</t>
  </si>
  <si>
    <t>LD485456</t>
  </si>
  <si>
    <t>Cauã Dias</t>
  </si>
  <si>
    <t>85426079102</t>
  </si>
  <si>
    <t>854.260.791-02</t>
  </si>
  <si>
    <t>LD121741</t>
  </si>
  <si>
    <t>Pietro Moura</t>
  </si>
  <si>
    <t>475.816.032-53</t>
  </si>
  <si>
    <t>LD757066</t>
  </si>
  <si>
    <t>Theo Porto</t>
  </si>
  <si>
    <t>48759031204</t>
  </si>
  <si>
    <t>487.590.312-04</t>
  </si>
  <si>
    <t>LD374499</t>
  </si>
  <si>
    <t>279.014.386-22</t>
  </si>
  <si>
    <t>LD549737</t>
  </si>
  <si>
    <t>Lucas Moraes</t>
  </si>
  <si>
    <t>089.674.352-74</t>
  </si>
  <si>
    <t>LD694797</t>
  </si>
  <si>
    <t>Sr. Arthur Nogueira</t>
  </si>
  <si>
    <t>93574618093</t>
  </si>
  <si>
    <t>935.746.180-93</t>
  </si>
  <si>
    <t>LD967442</t>
  </si>
  <si>
    <t>018.536.427-62</t>
  </si>
  <si>
    <t>LD299800</t>
  </si>
  <si>
    <t>248.956.713-64</t>
  </si>
  <si>
    <t>LD882702</t>
  </si>
  <si>
    <t>Cecília Teixeira</t>
  </si>
  <si>
    <t>51746832053</t>
  </si>
  <si>
    <t>517.468.320-53</t>
  </si>
  <si>
    <t>LD964119</t>
  </si>
  <si>
    <t>Nina Martins</t>
  </si>
  <si>
    <t>31249675855</t>
  </si>
  <si>
    <t>312.496.758-55</t>
  </si>
  <si>
    <t>LD528368</t>
  </si>
  <si>
    <t>Maria Fernanda Pereira</t>
  </si>
  <si>
    <t>982.654.017-01</t>
  </si>
  <si>
    <t>LD747684</t>
  </si>
  <si>
    <t>Pietra Cunha</t>
  </si>
  <si>
    <t>71463829078</t>
  </si>
  <si>
    <t>714.638.290-78</t>
  </si>
  <si>
    <t>LD778675</t>
  </si>
  <si>
    <t>Thomas Viana</t>
  </si>
  <si>
    <t>64271589373</t>
  </si>
  <si>
    <t>642.715.893-73</t>
  </si>
  <si>
    <t>LD826687</t>
  </si>
  <si>
    <t>Eduarda Duarte</t>
  </si>
  <si>
    <t>91205436898</t>
  </si>
  <si>
    <t>912.054.368-98</t>
  </si>
  <si>
    <t>LD871861</t>
  </si>
  <si>
    <t>Miguel da Rocha</t>
  </si>
  <si>
    <t>280.546.179-76</t>
  </si>
  <si>
    <t>LD154644</t>
  </si>
  <si>
    <t>23906581721</t>
  </si>
  <si>
    <t>239.065.817-21</t>
  </si>
  <si>
    <t>LD803375</t>
  </si>
  <si>
    <t>Augusto Araújo</t>
  </si>
  <si>
    <t>897.530.426-47</t>
  </si>
  <si>
    <t>LD105621</t>
  </si>
  <si>
    <t>Diogo Moura</t>
  </si>
  <si>
    <t>61405827920</t>
  </si>
  <si>
    <t>614.058.279-20</t>
  </si>
  <si>
    <t>LD803869</t>
  </si>
  <si>
    <t>Nicolas Silva</t>
  </si>
  <si>
    <t>07438156290</t>
  </si>
  <si>
    <t>074.381.562-90</t>
  </si>
  <si>
    <t>LD708684</t>
  </si>
  <si>
    <t>Gabrielly Castro</t>
  </si>
  <si>
    <t>09358746238</t>
  </si>
  <si>
    <t>093.587.462-38</t>
  </si>
  <si>
    <t>LD590822</t>
  </si>
  <si>
    <t>Isaac Nascimento</t>
  </si>
  <si>
    <t>71509638202</t>
  </si>
  <si>
    <t>715.096.382-02</t>
  </si>
  <si>
    <t>LD248683</t>
  </si>
  <si>
    <t>Bryan Cardoso</t>
  </si>
  <si>
    <t>06529713425</t>
  </si>
  <si>
    <t>065.297.134-25</t>
  </si>
  <si>
    <t>LD975355</t>
  </si>
  <si>
    <t>Maria Cecília Martins</t>
  </si>
  <si>
    <t>16487302562</t>
  </si>
  <si>
    <t>164.873.025-62</t>
  </si>
  <si>
    <t>LD376002</t>
  </si>
  <si>
    <t>Sophie da Mota</t>
  </si>
  <si>
    <t>693.241.785-55</t>
  </si>
  <si>
    <t>LD428215</t>
  </si>
  <si>
    <t>Maria Ramos</t>
  </si>
  <si>
    <t>08347691231</t>
  </si>
  <si>
    <t>083.476.912-31</t>
  </si>
  <si>
    <t>LD900771</t>
  </si>
  <si>
    <t>Ana Julia Moreira</t>
  </si>
  <si>
    <t>056.123.987-86</t>
  </si>
  <si>
    <t>LD155807</t>
  </si>
  <si>
    <t>Alexia Duarte</t>
  </si>
  <si>
    <t>20173954804</t>
  </si>
  <si>
    <t>201.739.548-04</t>
  </si>
  <si>
    <t>LD593090</t>
  </si>
  <si>
    <t>Heitor Cardoso</t>
  </si>
  <si>
    <t>80519326415</t>
  </si>
  <si>
    <t>805.193.264-15</t>
  </si>
  <si>
    <t>LD618951</t>
  </si>
  <si>
    <t>41237680590</t>
  </si>
  <si>
    <t>412.376.805-90</t>
  </si>
  <si>
    <t>LD608768</t>
  </si>
  <si>
    <t>Yasmin Vieira</t>
  </si>
  <si>
    <t>24185630735</t>
  </si>
  <si>
    <t>241.856.307-35</t>
  </si>
  <si>
    <t>LD229660</t>
  </si>
  <si>
    <t>Davi Lucca da Conceição</t>
  </si>
  <si>
    <t>97546038120</t>
  </si>
  <si>
    <t>975.460.381-20</t>
  </si>
  <si>
    <t>LD975512</t>
  </si>
  <si>
    <t>Sra. Emanuelly Costela</t>
  </si>
  <si>
    <t>18572630902</t>
  </si>
  <si>
    <t>185.726.309-02</t>
  </si>
  <si>
    <t>LD795350</t>
  </si>
  <si>
    <t>Ana Almeida</t>
  </si>
  <si>
    <t>928.673.054-38</t>
  </si>
  <si>
    <t>LD904098</t>
  </si>
  <si>
    <t>Bernardo Nunes</t>
  </si>
  <si>
    <t>356.209.187-77</t>
  </si>
  <si>
    <t>LD905572</t>
  </si>
  <si>
    <t>Camila Santos</t>
  </si>
  <si>
    <t>28579043123</t>
  </si>
  <si>
    <t>285.790.431-23</t>
  </si>
  <si>
    <t>LD398090</t>
  </si>
  <si>
    <t>Manuela da Mata</t>
  </si>
  <si>
    <t>247.106.358-62</t>
  </si>
  <si>
    <t>LD719014</t>
  </si>
  <si>
    <t>Sr. Lucca Campos</t>
  </si>
  <si>
    <t>059.764.283-47</t>
  </si>
  <si>
    <t>LD130277</t>
  </si>
  <si>
    <t>Ana Lívia Carvalho</t>
  </si>
  <si>
    <t>52609784120</t>
  </si>
  <si>
    <t>526.097.841-20</t>
  </si>
  <si>
    <t>LD576111</t>
  </si>
  <si>
    <t>Beatriz da Paz</t>
  </si>
  <si>
    <t>097.834.256-92</t>
  </si>
  <si>
    <t>LD445429</t>
  </si>
  <si>
    <t>Eloah Carvalho</t>
  </si>
  <si>
    <t>845.721.963-46</t>
  </si>
  <si>
    <t>LD867080</t>
  </si>
  <si>
    <t>Maria Eduarda da Rosa</t>
  </si>
  <si>
    <t>652.478.301-80</t>
  </si>
  <si>
    <t>LD321634</t>
  </si>
  <si>
    <t>Srta. Mariane Silva</t>
  </si>
  <si>
    <t>273.694.085-74</t>
  </si>
  <si>
    <t>LD936917</t>
  </si>
  <si>
    <t>Isaac Barbosa</t>
  </si>
  <si>
    <t>25618704994</t>
  </si>
  <si>
    <t>256.187.049-94</t>
  </si>
  <si>
    <t>LD197046</t>
  </si>
  <si>
    <t>Sra. Laura Fernandes</t>
  </si>
  <si>
    <t>83561907202</t>
  </si>
  <si>
    <t>835.619.072-02</t>
  </si>
  <si>
    <t>LD121508</t>
  </si>
  <si>
    <t>Alícia Pereira</t>
  </si>
  <si>
    <t>738.526.149-37</t>
  </si>
  <si>
    <t>LD778604</t>
  </si>
  <si>
    <t>Sr. João Miguel Jesus</t>
  </si>
  <si>
    <t>620.897.315-59</t>
  </si>
  <si>
    <t>LD614688</t>
  </si>
  <si>
    <t>João Vitor Moreira</t>
  </si>
  <si>
    <t>758.023.169-77</t>
  </si>
  <si>
    <t>LD732829</t>
  </si>
  <si>
    <t>85906324747</t>
  </si>
  <si>
    <t>859.063.247-47</t>
  </si>
  <si>
    <t>LD309580</t>
  </si>
  <si>
    <t>Ana Lívia Dias</t>
  </si>
  <si>
    <t>19834602570</t>
  </si>
  <si>
    <t>198.346.025-70</t>
  </si>
  <si>
    <t>LD690408</t>
  </si>
  <si>
    <t>Dr. Thales Pires</t>
  </si>
  <si>
    <t>602.158.379-59</t>
  </si>
  <si>
    <t>LD743687</t>
  </si>
  <si>
    <t>Dr. Samuel Cardoso</t>
  </si>
  <si>
    <t>20157634906</t>
  </si>
  <si>
    <t>201.576.349-06</t>
  </si>
  <si>
    <t>LD638277</t>
  </si>
  <si>
    <t>André da Cruz</t>
  </si>
  <si>
    <t>60128974567</t>
  </si>
  <si>
    <t>601.289.745-67</t>
  </si>
  <si>
    <t>LD619383</t>
  </si>
  <si>
    <t>Dr. Leonardo Mendes</t>
  </si>
  <si>
    <t>074.936.528-56</t>
  </si>
  <si>
    <t>LD590963</t>
  </si>
  <si>
    <t>Lucas Gabriel Vieira</t>
  </si>
  <si>
    <t>05879163202</t>
  </si>
  <si>
    <t>058.791.632-02</t>
  </si>
  <si>
    <t>LD255825</t>
  </si>
  <si>
    <t>Renan da Rosa</t>
  </si>
  <si>
    <t>403.598.612-70</t>
  </si>
  <si>
    <t>LD648501</t>
  </si>
  <si>
    <t>Enrico Pereira</t>
  </si>
  <si>
    <t>08496723500</t>
  </si>
  <si>
    <t>084.967.235-00</t>
  </si>
  <si>
    <t>LD147285</t>
  </si>
  <si>
    <t>Heloísa da Luz</t>
  </si>
  <si>
    <t>859.612.403-98</t>
  </si>
  <si>
    <t>LD587227</t>
  </si>
  <si>
    <t>Ana Julia Azevedo</t>
  </si>
  <si>
    <t>067.489.512-67</t>
  </si>
  <si>
    <t>LD367240</t>
  </si>
  <si>
    <t>Ana Carolina Cardoso</t>
  </si>
  <si>
    <t>867.320.195-03</t>
  </si>
  <si>
    <t>LD876487</t>
  </si>
  <si>
    <t>348.752.106-71</t>
  </si>
  <si>
    <t>LD147457</t>
  </si>
  <si>
    <t>Laís Nascimento</t>
  </si>
  <si>
    <t>25801796312</t>
  </si>
  <si>
    <t>258.017.963-12</t>
  </si>
  <si>
    <t>LD715732</t>
  </si>
  <si>
    <t>João Miguel Lopes</t>
  </si>
  <si>
    <t>426.180.357-71</t>
  </si>
  <si>
    <t>LD947075</t>
  </si>
  <si>
    <t>Ana Carolina da Mata</t>
  </si>
  <si>
    <t>92361840731</t>
  </si>
  <si>
    <t>923.618.407-31</t>
  </si>
  <si>
    <t>LD294078</t>
  </si>
  <si>
    <t>Srta. Maria Julia Barbosa</t>
  </si>
  <si>
    <t>60518432998</t>
  </si>
  <si>
    <t>605.184.329-98</t>
  </si>
  <si>
    <t>LD211495</t>
  </si>
  <si>
    <t>Davi Lucas Correia</t>
  </si>
  <si>
    <t>16839504298</t>
  </si>
  <si>
    <t>168.395.042-98</t>
  </si>
  <si>
    <t>LD113950</t>
  </si>
  <si>
    <t>75201438644</t>
  </si>
  <si>
    <t>752.014.386-44</t>
  </si>
  <si>
    <t>LD789666</t>
  </si>
  <si>
    <t>620.513.897-21</t>
  </si>
  <si>
    <t>LD748543</t>
  </si>
  <si>
    <t>Lucas Gabriel Rezende</t>
  </si>
  <si>
    <t>029.375.846-83</t>
  </si>
  <si>
    <t>LD943726</t>
  </si>
  <si>
    <t>Agatha da Mata</t>
  </si>
  <si>
    <t>36205418924</t>
  </si>
  <si>
    <t>362.054.189-24</t>
  </si>
  <si>
    <t>LD217348</t>
  </si>
  <si>
    <t>Valentina Costa</t>
  </si>
  <si>
    <t>870.524.913-97</t>
  </si>
  <si>
    <t>LD319393</t>
  </si>
  <si>
    <t>Luiz Fernando Pinto</t>
  </si>
  <si>
    <t>38524706171</t>
  </si>
  <si>
    <t>385.247.061-71</t>
  </si>
  <si>
    <t>LD982995</t>
  </si>
  <si>
    <t>Sra. Olivia Ribeiro</t>
  </si>
  <si>
    <t>216.470.583-17</t>
  </si>
  <si>
    <t>LD415535</t>
  </si>
  <si>
    <t>Sophie da Rosa</t>
  </si>
  <si>
    <t>186.497.305-66</t>
  </si>
  <si>
    <t>LD222115</t>
  </si>
  <si>
    <t>Benjamin Castro</t>
  </si>
  <si>
    <t>82953106740</t>
  </si>
  <si>
    <t>829.531.067-40</t>
  </si>
  <si>
    <t>LD608608</t>
  </si>
  <si>
    <t>Paulo Gonçalves</t>
  </si>
  <si>
    <t>82315604753</t>
  </si>
  <si>
    <t>823.156.047-53</t>
  </si>
  <si>
    <t>LD311118</t>
  </si>
  <si>
    <t>Luigi Freitas</t>
  </si>
  <si>
    <t>32109874678</t>
  </si>
  <si>
    <t>321.098.746-78</t>
  </si>
  <si>
    <t>LD450067</t>
  </si>
  <si>
    <t>Vicente Alves</t>
  </si>
  <si>
    <t>20389146560</t>
  </si>
  <si>
    <t>203.891.465-60</t>
  </si>
  <si>
    <t>LD535878</t>
  </si>
  <si>
    <t>Luna Moraes</t>
  </si>
  <si>
    <t>213.958.076-12</t>
  </si>
  <si>
    <t>LD681230</t>
  </si>
  <si>
    <t>Sr. Juan Fernandes</t>
  </si>
  <si>
    <t>630.572.184-07</t>
  </si>
  <si>
    <t>LD638292</t>
  </si>
  <si>
    <t>Dr. Nathan Castro</t>
  </si>
  <si>
    <t>983.105.624-89</t>
  </si>
  <si>
    <t>LD343170</t>
  </si>
  <si>
    <t>Nina Cardoso</t>
  </si>
  <si>
    <t>746.980.125-11</t>
  </si>
  <si>
    <t>LD431192</t>
  </si>
  <si>
    <t>Francisco Farias</t>
  </si>
  <si>
    <t>841.935.702-23</t>
  </si>
  <si>
    <t>LD596330</t>
  </si>
  <si>
    <t>Cauã Peixoto</t>
  </si>
  <si>
    <t>70823461580</t>
  </si>
  <si>
    <t>708.234.615-80</t>
  </si>
  <si>
    <t>LD570103</t>
  </si>
  <si>
    <t>João Pedro Dias</t>
  </si>
  <si>
    <t>621.493.870-69</t>
  </si>
  <si>
    <t>LD301537</t>
  </si>
  <si>
    <t>Esther Fernandes</t>
  </si>
  <si>
    <t>40736125817</t>
  </si>
  <si>
    <t>407.361.258-17</t>
  </si>
  <si>
    <t>LD716204</t>
  </si>
  <si>
    <t>Miguel Peixoto</t>
  </si>
  <si>
    <t>504.973.168-20</t>
  </si>
  <si>
    <t>LD983390</t>
  </si>
  <si>
    <t>João Pedro Cunha</t>
  </si>
  <si>
    <t>618.279.530-12</t>
  </si>
  <si>
    <t>LD845941</t>
  </si>
  <si>
    <t>Sra. Milena Martins</t>
  </si>
  <si>
    <t>42159608785</t>
  </si>
  <si>
    <t>421.596.087-85</t>
  </si>
  <si>
    <t>LD934637</t>
  </si>
  <si>
    <t>Mariane Castro</t>
  </si>
  <si>
    <t>96251704802</t>
  </si>
  <si>
    <t>962.517.048-02</t>
  </si>
  <si>
    <t>LD317273</t>
  </si>
  <si>
    <t>Eduardo Mendes</t>
  </si>
  <si>
    <t>32491805642</t>
  </si>
  <si>
    <t>324.918.056-42</t>
  </si>
  <si>
    <t>LD235367</t>
  </si>
  <si>
    <t>Francisco da Paz</t>
  </si>
  <si>
    <t>03195287668</t>
  </si>
  <si>
    <t>031.952.876-68</t>
  </si>
  <si>
    <t>LD932026</t>
  </si>
  <si>
    <t>Sra. Isadora Rezende</t>
  </si>
  <si>
    <t>64723598146</t>
  </si>
  <si>
    <t>647.235.981-46</t>
  </si>
  <si>
    <t>LD319606</t>
  </si>
  <si>
    <t>Sr. Leandro Moura</t>
  </si>
  <si>
    <t>974.368.501-48</t>
  </si>
  <si>
    <t>LD474387</t>
  </si>
  <si>
    <t>Cauê Cardoso</t>
  </si>
  <si>
    <t>254.907.861-67</t>
  </si>
  <si>
    <t>LD946007</t>
  </si>
  <si>
    <t>Gabriela Silva</t>
  </si>
  <si>
    <t>15263498764</t>
  </si>
  <si>
    <t>152.634.987-64</t>
  </si>
  <si>
    <t>LD226550</t>
  </si>
  <si>
    <t>Julia Jesus</t>
  </si>
  <si>
    <t>721.690.354-43</t>
  </si>
  <si>
    <t>LD472497</t>
  </si>
  <si>
    <t>Sr. Gabriel da Mata</t>
  </si>
  <si>
    <t>614.052.897-67</t>
  </si>
  <si>
    <t>LD258522</t>
  </si>
  <si>
    <t>Heitor Lopes</t>
  </si>
  <si>
    <t>430.896.125-42</t>
  </si>
  <si>
    <t>LD209200</t>
  </si>
  <si>
    <t>Rodrigo Aragão</t>
  </si>
  <si>
    <t>081.342.795-97</t>
  </si>
  <si>
    <t>LD982478</t>
  </si>
  <si>
    <t>Dr. Bryan Freitas</t>
  </si>
  <si>
    <t>523.896.174-09</t>
  </si>
  <si>
    <t>LD920150</t>
  </si>
  <si>
    <t>Rodrigo Sales</t>
  </si>
  <si>
    <t>017.856.924-02</t>
  </si>
  <si>
    <t>LD631948</t>
  </si>
  <si>
    <t>Sr. Enzo Gabriel Pires</t>
  </si>
  <si>
    <t>79243581023</t>
  </si>
  <si>
    <t>792.435.810-23</t>
  </si>
  <si>
    <t>LD264660</t>
  </si>
  <si>
    <t>Agatha Correia</t>
  </si>
  <si>
    <t>408.652.137-71</t>
  </si>
  <si>
    <t>LD868136</t>
  </si>
  <si>
    <t>Dr. Pietro Silveira</t>
  </si>
  <si>
    <t>098.136.475-66</t>
  </si>
  <si>
    <t>LD958952</t>
  </si>
  <si>
    <t>Dr. Rafael da Mota</t>
  </si>
  <si>
    <t>16042973878</t>
  </si>
  <si>
    <t>160.429.738-78</t>
  </si>
  <si>
    <t>LD906584</t>
  </si>
  <si>
    <t>Olivia Carvalho</t>
  </si>
  <si>
    <t>720.196.384-87</t>
  </si>
  <si>
    <t>LD400687</t>
  </si>
  <si>
    <t>Srta. Manuela Novaes</t>
  </si>
  <si>
    <t>209.453.168-60</t>
  </si>
  <si>
    <t>LD891512</t>
  </si>
  <si>
    <t>Dr. Rafael da Rosa</t>
  </si>
  <si>
    <t>32815967030</t>
  </si>
  <si>
    <t>328.159.670-30</t>
  </si>
  <si>
    <t>LD889794</t>
  </si>
  <si>
    <t>Maria da Luz</t>
  </si>
  <si>
    <t>045.631.297-80</t>
  </si>
  <si>
    <t>LD940715</t>
  </si>
  <si>
    <t>Lara Carvalho</t>
  </si>
  <si>
    <t>85036742117</t>
  </si>
  <si>
    <t>850.367.421-17</t>
  </si>
  <si>
    <t>LD933206</t>
  </si>
  <si>
    <t>971.648.530-10</t>
  </si>
  <si>
    <t>LD907562</t>
  </si>
  <si>
    <t>Luigi Costa</t>
  </si>
  <si>
    <t>26195478067</t>
  </si>
  <si>
    <t>261.954.780-67</t>
  </si>
  <si>
    <t>LD454737</t>
  </si>
  <si>
    <t>Luiz Felipe Pinto</t>
  </si>
  <si>
    <t>48963517209</t>
  </si>
  <si>
    <t>489.635.172-09</t>
  </si>
  <si>
    <t>LD164454</t>
  </si>
  <si>
    <t>Cauê da Conceição</t>
  </si>
  <si>
    <t>39216407840</t>
  </si>
  <si>
    <t>392.164.078-40</t>
  </si>
  <si>
    <t>LD702466</t>
  </si>
  <si>
    <t>Evelyn Fernandes</t>
  </si>
  <si>
    <t>25986147391</t>
  </si>
  <si>
    <t>259.861.473-91</t>
  </si>
  <si>
    <t>LD410089</t>
  </si>
  <si>
    <t>João Miguel da Mata</t>
  </si>
  <si>
    <t>95328074114</t>
  </si>
  <si>
    <t>953.280.741-14</t>
  </si>
  <si>
    <t>LD419105</t>
  </si>
  <si>
    <t>Bernardo Correia</t>
  </si>
  <si>
    <t>804.356.297-00</t>
  </si>
  <si>
    <t>LD967176</t>
  </si>
  <si>
    <t>Natália Lopes</t>
  </si>
  <si>
    <t>38460725910</t>
  </si>
  <si>
    <t>384.607.259-10</t>
  </si>
  <si>
    <t>LD567863</t>
  </si>
  <si>
    <t>Ana Julia das Neves</t>
  </si>
  <si>
    <t>629.504.831-51</t>
  </si>
  <si>
    <t>LD748216</t>
  </si>
  <si>
    <t>Rebeca Ribeiro</t>
  </si>
  <si>
    <t>561.298.307-77</t>
  </si>
  <si>
    <t>LD913066</t>
  </si>
  <si>
    <t>21503967859</t>
  </si>
  <si>
    <t>215.039.678-59</t>
  </si>
  <si>
    <t>LD450741</t>
  </si>
  <si>
    <t>Emanuelly Aragão</t>
  </si>
  <si>
    <t>91648725309</t>
  </si>
  <si>
    <t>916.487.253-09</t>
  </si>
  <si>
    <t>LD667059</t>
  </si>
  <si>
    <t>Benício Rocha</t>
  </si>
  <si>
    <t>02981356712</t>
  </si>
  <si>
    <t>029.813.567-12</t>
  </si>
  <si>
    <t>LD646660</t>
  </si>
  <si>
    <t>Milena Sales</t>
  </si>
  <si>
    <t>12978065494</t>
  </si>
  <si>
    <t>129.780.654-94</t>
  </si>
  <si>
    <t>LD935294</t>
  </si>
  <si>
    <t>Sra. Mariane Nunes</t>
  </si>
  <si>
    <t>789.304.652-00</t>
  </si>
  <si>
    <t>LD543281</t>
  </si>
  <si>
    <t>Luiza Rocha</t>
  </si>
  <si>
    <t>312.895.067-95</t>
  </si>
  <si>
    <t>LD372374</t>
  </si>
  <si>
    <t>Marcela Teixeira</t>
  </si>
  <si>
    <t>976.215.803-21</t>
  </si>
  <si>
    <t>LD230809</t>
  </si>
  <si>
    <t>Pedro Lucas Nascimento</t>
  </si>
  <si>
    <t>54308926700</t>
  </si>
  <si>
    <t>543.089.267-00</t>
  </si>
  <si>
    <t>LD455446</t>
  </si>
  <si>
    <t>Augusto da Cruz</t>
  </si>
  <si>
    <t>195.602.384-42</t>
  </si>
  <si>
    <t>LD849361</t>
  </si>
  <si>
    <t>470.586.132-90</t>
  </si>
  <si>
    <t>LD345196</t>
  </si>
  <si>
    <t>67924351043</t>
  </si>
  <si>
    <t>679.243.510-43</t>
  </si>
  <si>
    <t>LD805097</t>
  </si>
  <si>
    <t>João Pedro Monteiro</t>
  </si>
  <si>
    <t>60492871396</t>
  </si>
  <si>
    <t>604.928.713-96</t>
  </si>
  <si>
    <t>LD210338</t>
  </si>
  <si>
    <t>Sr. Lucas da Paz</t>
  </si>
  <si>
    <t>06473815244</t>
  </si>
  <si>
    <t>064.738.152-44</t>
  </si>
  <si>
    <t>LD202747</t>
  </si>
  <si>
    <t>Pedro Miguel Moraes</t>
  </si>
  <si>
    <t>26391087512</t>
  </si>
  <si>
    <t>263.910.875-12</t>
  </si>
  <si>
    <t>LD196729</t>
  </si>
  <si>
    <t>Davi Moura</t>
  </si>
  <si>
    <t>51248367090</t>
  </si>
  <si>
    <t>512.483.670-90</t>
  </si>
  <si>
    <t>LD567836</t>
  </si>
  <si>
    <t>Erick Cardoso</t>
  </si>
  <si>
    <t>54983261737</t>
  </si>
  <si>
    <t>549.832.617-37</t>
  </si>
  <si>
    <t>LD686120</t>
  </si>
  <si>
    <t>Isaac Ferreira</t>
  </si>
  <si>
    <t>439.520.687-56</t>
  </si>
  <si>
    <t>LD623058</t>
  </si>
  <si>
    <t>Maria Farias</t>
  </si>
  <si>
    <t>934.278.601-40</t>
  </si>
  <si>
    <t>LD867260</t>
  </si>
  <si>
    <t>Emanuella Aragão</t>
  </si>
  <si>
    <t>892.160.735-86</t>
  </si>
  <si>
    <t>LD233299</t>
  </si>
  <si>
    <t>Rebeca Rocha</t>
  </si>
  <si>
    <t>38401569710</t>
  </si>
  <si>
    <t>384.015.697-10</t>
  </si>
  <si>
    <t>LD654844</t>
  </si>
  <si>
    <t>Ryan da Luz</t>
  </si>
  <si>
    <t>17032548997</t>
  </si>
  <si>
    <t>170.325.489-97</t>
  </si>
  <si>
    <t>LD882758</t>
  </si>
  <si>
    <t>Sra. Isadora Mendes</t>
  </si>
  <si>
    <t>72801645958</t>
  </si>
  <si>
    <t>728.016.459-58</t>
  </si>
  <si>
    <t>LD993719</t>
  </si>
  <si>
    <t>Fernanda Nascimento</t>
  </si>
  <si>
    <t>12340598788</t>
  </si>
  <si>
    <t>123.405.987-88</t>
  </si>
  <si>
    <t>LD142238</t>
  </si>
  <si>
    <t>Yago Correia</t>
  </si>
  <si>
    <t>375.692.801-21</t>
  </si>
  <si>
    <t>LD417991</t>
  </si>
  <si>
    <t>Dr. Alexandre Pinto</t>
  </si>
  <si>
    <t>13925640770</t>
  </si>
  <si>
    <t>139.256.407-70</t>
  </si>
  <si>
    <t>LD921866</t>
  </si>
  <si>
    <t>Dr. João Pedro das Neves</t>
  </si>
  <si>
    <t>193.462.078-50</t>
  </si>
  <si>
    <t>LD326053</t>
  </si>
  <si>
    <t>Diogo Oliveira</t>
  </si>
  <si>
    <t>29061584370</t>
  </si>
  <si>
    <t>290.615.843-70</t>
  </si>
  <si>
    <t>LD674134</t>
  </si>
  <si>
    <t>10495372625</t>
  </si>
  <si>
    <t>104.953.726-25</t>
  </si>
  <si>
    <t>LD700896</t>
  </si>
  <si>
    <t>Alice Azevedo</t>
  </si>
  <si>
    <t>85247306929</t>
  </si>
  <si>
    <t>852.473.069-29</t>
  </si>
  <si>
    <t>LD495633</t>
  </si>
  <si>
    <t>41728069530</t>
  </si>
  <si>
    <t>417.280.695-30</t>
  </si>
  <si>
    <t>LD898963</t>
  </si>
  <si>
    <t>Enzo Teixeira</t>
  </si>
  <si>
    <t>50214976343</t>
  </si>
  <si>
    <t>502.149.763-43</t>
  </si>
  <si>
    <t>LD570888</t>
  </si>
  <si>
    <t>Levi Mendes</t>
  </si>
  <si>
    <t>23814650905</t>
  </si>
  <si>
    <t>238.146.509-05</t>
  </si>
  <si>
    <t>LD796781</t>
  </si>
  <si>
    <t>Isaac Nunes</t>
  </si>
  <si>
    <t>913.806.572-02</t>
  </si>
  <si>
    <t>LD667273</t>
  </si>
  <si>
    <t>Letícia Pires</t>
  </si>
  <si>
    <t>19673208450</t>
  </si>
  <si>
    <t>196.732.084-50</t>
  </si>
  <si>
    <t>LD390848</t>
  </si>
  <si>
    <t>Mariana Monteiro</t>
  </si>
  <si>
    <t>530.129.674-43</t>
  </si>
  <si>
    <t>LD699780</t>
  </si>
  <si>
    <t>Enzo Ferreira</t>
  </si>
  <si>
    <t>723.018.564-53</t>
  </si>
  <si>
    <t>LD776498</t>
  </si>
  <si>
    <t>Lorenzo Campos</t>
  </si>
  <si>
    <t>90135742897</t>
  </si>
  <si>
    <t>901.357.428-97</t>
  </si>
  <si>
    <t>LD697944</t>
  </si>
  <si>
    <t>João Lucas Caldeira</t>
  </si>
  <si>
    <t>764.593.012-80</t>
  </si>
  <si>
    <t>LD226126</t>
  </si>
  <si>
    <t>Juan Cavalcanti</t>
  </si>
  <si>
    <t>924.038.175-97</t>
  </si>
  <si>
    <t>LD924974</t>
  </si>
  <si>
    <t>Lorena da Conceição</t>
  </si>
  <si>
    <t>58176204994</t>
  </si>
  <si>
    <t>581.762.049-94</t>
  </si>
  <si>
    <t>LD188759</t>
  </si>
  <si>
    <t>Sophie Teixeira</t>
  </si>
  <si>
    <t>492.136.850-33</t>
  </si>
  <si>
    <t>LD147168</t>
  </si>
  <si>
    <t>19074365884</t>
  </si>
  <si>
    <t>190.743.658-84</t>
  </si>
  <si>
    <t>LD289276</t>
  </si>
  <si>
    <t>Kamilly Barros</t>
  </si>
  <si>
    <t>17063284517</t>
  </si>
  <si>
    <t>170.632.845-17</t>
  </si>
  <si>
    <t>LD369670</t>
  </si>
  <si>
    <t>João Gabriel Cavalcanti</t>
  </si>
  <si>
    <t>94518206398</t>
  </si>
  <si>
    <t>945.182.063-98</t>
  </si>
  <si>
    <t>LD399212</t>
  </si>
  <si>
    <t>Danilo Sales</t>
  </si>
  <si>
    <t>64318790231</t>
  </si>
  <si>
    <t>643.187.902-31</t>
  </si>
  <si>
    <t>LD421697</t>
  </si>
  <si>
    <t>Davi Lucas da Conceição</t>
  </si>
  <si>
    <t>162.357.489-73</t>
  </si>
  <si>
    <t>LD441092</t>
  </si>
  <si>
    <t>Diogo Almeida</t>
  </si>
  <si>
    <t>83926570121</t>
  </si>
  <si>
    <t>839.265.701-21</t>
  </si>
  <si>
    <t>LD203540</t>
  </si>
  <si>
    <t>Luna Silva</t>
  </si>
  <si>
    <t>95023714888</t>
  </si>
  <si>
    <t>950.237.148-88</t>
  </si>
  <si>
    <t>LD493754</t>
  </si>
  <si>
    <t>Isis Santos</t>
  </si>
  <si>
    <t>519.873.460-84</t>
  </si>
  <si>
    <t>LD351262</t>
  </si>
  <si>
    <t>Maysa da Rocha</t>
  </si>
  <si>
    <t>256.197.348-46</t>
  </si>
  <si>
    <t>LD888938</t>
  </si>
  <si>
    <t>Davi Lucca Moraes</t>
  </si>
  <si>
    <t>920.376.845-92</t>
  </si>
  <si>
    <t>LD433799</t>
  </si>
  <si>
    <t>52847061967</t>
  </si>
  <si>
    <t>528.470.619-67</t>
  </si>
  <si>
    <t>LD527288</t>
  </si>
  <si>
    <t>Davi Lucas Lopes</t>
  </si>
  <si>
    <t>563.718.924-28</t>
  </si>
  <si>
    <t>LD680990</t>
  </si>
  <si>
    <t>Rebeca Gonçalves</t>
  </si>
  <si>
    <t>206.389.475-29</t>
  </si>
  <si>
    <t>LD419409</t>
  </si>
  <si>
    <t>Maria Clara Mendes</t>
  </si>
  <si>
    <t>138.509.674-84</t>
  </si>
  <si>
    <t>LD313340</t>
  </si>
  <si>
    <t>Clarice da Cruz</t>
  </si>
  <si>
    <t>192.680.543-70</t>
  </si>
  <si>
    <t>LD920011</t>
  </si>
  <si>
    <t>Luiz Gustavo Correia</t>
  </si>
  <si>
    <t>58263497191</t>
  </si>
  <si>
    <t>582.634.971-91</t>
  </si>
  <si>
    <t>LD143822</t>
  </si>
  <si>
    <t>André Cavalcanti</t>
  </si>
  <si>
    <t>91524708658</t>
  </si>
  <si>
    <t>915.247.086-58</t>
  </si>
  <si>
    <t>LD784781</t>
  </si>
  <si>
    <t>Renan Almeida</t>
  </si>
  <si>
    <t>062.483.571-53</t>
  </si>
  <si>
    <t>LD726909</t>
  </si>
  <si>
    <t>Dr. Yago Nogueira</t>
  </si>
  <si>
    <t>64952037800</t>
  </si>
  <si>
    <t>649.520.378-00</t>
  </si>
  <si>
    <t>LD762917</t>
  </si>
  <si>
    <t>Rafael da Mata</t>
  </si>
  <si>
    <t>12679503821</t>
  </si>
  <si>
    <t>126.795.038-21</t>
  </si>
  <si>
    <t>LD269257</t>
  </si>
  <si>
    <t>042.876.193-31</t>
  </si>
  <si>
    <t>LD514507</t>
  </si>
  <si>
    <t>Maitê Correia</t>
  </si>
  <si>
    <t>178.934.250-32</t>
  </si>
  <si>
    <t>LD393033</t>
  </si>
  <si>
    <t>Luiz Gustavo da Paz</t>
  </si>
  <si>
    <t>180.793.456-00</t>
  </si>
  <si>
    <t>LD815234</t>
  </si>
  <si>
    <t>Dra. Bárbara Almeida</t>
  </si>
  <si>
    <t>095.176.284-20</t>
  </si>
  <si>
    <t>LD386275</t>
  </si>
  <si>
    <t>05271486958</t>
  </si>
  <si>
    <t>052.714.869-58</t>
  </si>
  <si>
    <t>LD582134</t>
  </si>
  <si>
    <t>Olivia da Cruz</t>
  </si>
  <si>
    <t>620.735.491-52</t>
  </si>
  <si>
    <t>LD777844</t>
  </si>
  <si>
    <t>Elisa Dias</t>
  </si>
  <si>
    <t>283.645.790-29</t>
  </si>
  <si>
    <t>LD805383</t>
  </si>
  <si>
    <t>Júlia Cardoso</t>
  </si>
  <si>
    <t>85194376219</t>
  </si>
  <si>
    <t>851.943.762-19</t>
  </si>
  <si>
    <t>LD899502</t>
  </si>
  <si>
    <t>Leandro Vieira</t>
  </si>
  <si>
    <t>41078596220</t>
  </si>
  <si>
    <t>410.785.962-20</t>
  </si>
  <si>
    <t>LD664814</t>
  </si>
  <si>
    <t>Brenda Castro</t>
  </si>
  <si>
    <t>89321706577</t>
  </si>
  <si>
    <t>893.217.065-77</t>
  </si>
  <si>
    <t>LD804900</t>
  </si>
  <si>
    <t>Dra. Pietra Aragão</t>
  </si>
  <si>
    <t>67830592195</t>
  </si>
  <si>
    <t>678.305.921-95</t>
  </si>
  <si>
    <t>LD475354</t>
  </si>
  <si>
    <t>Bárbara Almeida</t>
  </si>
  <si>
    <t>89165270401</t>
  </si>
  <si>
    <t>891.652.704-01</t>
  </si>
  <si>
    <t>LD230824</t>
  </si>
  <si>
    <t>Laura Oliveira</t>
  </si>
  <si>
    <t>17924386564</t>
  </si>
  <si>
    <t>179.243.865-64</t>
  </si>
  <si>
    <t>LD332281</t>
  </si>
  <si>
    <t>Luna da Luz</t>
  </si>
  <si>
    <t>026.387.491-50</t>
  </si>
  <si>
    <t>LD300814</t>
  </si>
  <si>
    <t>Daniel Martins</t>
  </si>
  <si>
    <t>73496518219</t>
  </si>
  <si>
    <t>734.965.182-19</t>
  </si>
  <si>
    <t>LD331890</t>
  </si>
  <si>
    <t>Emanuelly Pinto</t>
  </si>
  <si>
    <t>07418596294</t>
  </si>
  <si>
    <t>074.185.962-94</t>
  </si>
  <si>
    <t>LD394394</t>
  </si>
  <si>
    <t>Bianca Oliveira</t>
  </si>
  <si>
    <t>64193857093</t>
  </si>
  <si>
    <t>641.938.570-93</t>
  </si>
  <si>
    <t>LD107482</t>
  </si>
  <si>
    <t>Marcos Vinicius Ramos</t>
  </si>
  <si>
    <t>47982651364</t>
  </si>
  <si>
    <t>479.826.513-64</t>
  </si>
  <si>
    <t>LD390819</t>
  </si>
  <si>
    <t>Caroline Santos</t>
  </si>
  <si>
    <t>416.382.795-19</t>
  </si>
  <si>
    <t>LD791890</t>
  </si>
  <si>
    <t>Sabrina Teixeira</t>
  </si>
  <si>
    <t>816.245.097-11</t>
  </si>
  <si>
    <t>LD284055</t>
  </si>
  <si>
    <t>Otávio da Cunha</t>
  </si>
  <si>
    <t>86021743571</t>
  </si>
  <si>
    <t>860.217.435-71</t>
  </si>
  <si>
    <t>LD372235</t>
  </si>
  <si>
    <t>Amanda Novaes</t>
  </si>
  <si>
    <t>640.781.235-62</t>
  </si>
  <si>
    <t>LD301170</t>
  </si>
  <si>
    <t>Ana Lívia das Neves</t>
  </si>
  <si>
    <t>083.659.217-40</t>
  </si>
  <si>
    <t>LD744304</t>
  </si>
  <si>
    <t>Maria Clara Duarte</t>
  </si>
  <si>
    <t>97465021820</t>
  </si>
  <si>
    <t>974.650.218-20</t>
  </si>
  <si>
    <t>LD547861</t>
  </si>
  <si>
    <t>Levi Moura</t>
  </si>
  <si>
    <t>098.172.346-22</t>
  </si>
  <si>
    <t>LD553559</t>
  </si>
  <si>
    <t>Stephany Moraes</t>
  </si>
  <si>
    <t>305.928.764-38</t>
  </si>
  <si>
    <t>LD589251</t>
  </si>
  <si>
    <t>Maria Cecília Gonçalves</t>
  </si>
  <si>
    <t>67043892104</t>
  </si>
  <si>
    <t>670.438.921-04</t>
  </si>
  <si>
    <t>LD335455</t>
  </si>
  <si>
    <t>Melissa Azevedo</t>
  </si>
  <si>
    <t>01372946896</t>
  </si>
  <si>
    <t>013.729.468-96</t>
  </si>
  <si>
    <t>LD431603</t>
  </si>
  <si>
    <t>Fernando Costela</t>
  </si>
  <si>
    <t>90632574143</t>
  </si>
  <si>
    <t>906.325.741-43</t>
  </si>
  <si>
    <t>LD946906</t>
  </si>
  <si>
    <t>Sr. Heitor Azevedo</t>
  </si>
  <si>
    <t>62807531903</t>
  </si>
  <si>
    <t>628.075.319-03</t>
  </si>
  <si>
    <t>LD178056</t>
  </si>
  <si>
    <t>Stella da Luz</t>
  </si>
  <si>
    <t>291.408.753-50</t>
  </si>
  <si>
    <t>LD165896</t>
  </si>
  <si>
    <t>Francisco Sales</t>
  </si>
  <si>
    <t>476.298.510-49</t>
  </si>
  <si>
    <t>LD947311</t>
  </si>
  <si>
    <t>Giovanna da Cunha</t>
  </si>
  <si>
    <t>13820754997</t>
  </si>
  <si>
    <t>138.207.549-97</t>
  </si>
  <si>
    <t>LD362573</t>
  </si>
  <si>
    <t>Sra. Clara Cavalcanti</t>
  </si>
  <si>
    <t>20851369740</t>
  </si>
  <si>
    <t>208.513.697-40</t>
  </si>
  <si>
    <t>LD157076</t>
  </si>
  <si>
    <t>Theo Ribeiro</t>
  </si>
  <si>
    <t>327.916.840-69</t>
  </si>
  <si>
    <t>LD913432</t>
  </si>
  <si>
    <t>Dr. Theo Martins</t>
  </si>
  <si>
    <t>852.147.693-00</t>
  </si>
  <si>
    <t>LD495727</t>
  </si>
  <si>
    <t>Joaquim Barros</t>
  </si>
  <si>
    <t>80524961360</t>
  </si>
  <si>
    <t>805.249.613-60</t>
  </si>
  <si>
    <t>LD165014</t>
  </si>
  <si>
    <t>Lucas Dias</t>
  </si>
  <si>
    <t>539.612.847-09</t>
  </si>
  <si>
    <t>LD756602</t>
  </si>
  <si>
    <t>Ana Vitória Moraes</t>
  </si>
  <si>
    <t>94712560380</t>
  </si>
  <si>
    <t>947.125.603-80</t>
  </si>
  <si>
    <t>LD154738</t>
  </si>
  <si>
    <t>Maitê Teixeira</t>
  </si>
  <si>
    <t>03894176296</t>
  </si>
  <si>
    <t>038.941.762-96</t>
  </si>
  <si>
    <t>LD888490</t>
  </si>
  <si>
    <t>Erick Silveira</t>
  </si>
  <si>
    <t>92604318750</t>
  </si>
  <si>
    <t>926.043.187-50</t>
  </si>
  <si>
    <t>LD111121</t>
  </si>
  <si>
    <t>Lucca Viana</t>
  </si>
  <si>
    <t>73024815988</t>
  </si>
  <si>
    <t>730.248.159-88</t>
  </si>
  <si>
    <t>LD749310</t>
  </si>
  <si>
    <t>Cauã Pires</t>
  </si>
  <si>
    <t>46587123007</t>
  </si>
  <si>
    <t>465.871.230-07</t>
  </si>
  <si>
    <t>LD576133</t>
  </si>
  <si>
    <t>Ana Beatriz Castro</t>
  </si>
  <si>
    <t>815.376.942-19</t>
  </si>
  <si>
    <t>LD112885</t>
  </si>
  <si>
    <t>Luna Carvalho</t>
  </si>
  <si>
    <t>796.143.085-75</t>
  </si>
  <si>
    <t>LD768324</t>
  </si>
  <si>
    <t>Beatriz Fernandes</t>
  </si>
  <si>
    <t>694.207.583-38</t>
  </si>
  <si>
    <t>LD751009</t>
  </si>
  <si>
    <t>Luiz Otávio Vieira</t>
  </si>
  <si>
    <t>57340612807</t>
  </si>
  <si>
    <t>573.406.128-07</t>
  </si>
  <si>
    <t>LD233882</t>
  </si>
  <si>
    <t>86421935737</t>
  </si>
  <si>
    <t>864.219.357-37</t>
  </si>
  <si>
    <t>LD426304</t>
  </si>
  <si>
    <t>Mariana Ramos</t>
  </si>
  <si>
    <t>957.142.368-82</t>
  </si>
  <si>
    <t>LD592331</t>
  </si>
  <si>
    <t>Ana Silveira</t>
  </si>
  <si>
    <t>10298347504</t>
  </si>
  <si>
    <t>102.983.475-04</t>
  </si>
  <si>
    <t>LD642827</t>
  </si>
  <si>
    <t>837.096.251-30</t>
  </si>
  <si>
    <t>LD631741</t>
  </si>
  <si>
    <t>Isaac Castro</t>
  </si>
  <si>
    <t>436.819.720-87</t>
  </si>
  <si>
    <t>LD460517</t>
  </si>
  <si>
    <t>Thiago da Rosa</t>
  </si>
  <si>
    <t>03568497247</t>
  </si>
  <si>
    <t>035.684.972-47</t>
  </si>
  <si>
    <t>LD458143</t>
  </si>
  <si>
    <t>Maria Alice Cardoso</t>
  </si>
  <si>
    <t>45067918357</t>
  </si>
  <si>
    <t>450.679.183-57</t>
  </si>
  <si>
    <t>LD728896</t>
  </si>
  <si>
    <t>Ana Beatriz Moura</t>
  </si>
  <si>
    <t>526.341.970-80</t>
  </si>
  <si>
    <t>LD746030</t>
  </si>
  <si>
    <t>Gabrielly Santos</t>
  </si>
  <si>
    <t>80759216312</t>
  </si>
  <si>
    <t>807.592.163-12</t>
  </si>
  <si>
    <t>LD927527</t>
  </si>
  <si>
    <t>Dra. Ana Vitória Costa</t>
  </si>
  <si>
    <t>931.074.528-23</t>
  </si>
  <si>
    <t>LD333858</t>
  </si>
  <si>
    <t>Pedro Lopes</t>
  </si>
  <si>
    <t>513.970.428-50</t>
  </si>
  <si>
    <t>LD604098</t>
  </si>
  <si>
    <t>Yasmin Castro</t>
  </si>
  <si>
    <t>810.267.934-40</t>
  </si>
  <si>
    <t>LD876031</t>
  </si>
  <si>
    <t>Cecília Nunes</t>
  </si>
  <si>
    <t>15793864075</t>
  </si>
  <si>
    <t>157.938.640-75</t>
  </si>
  <si>
    <t>LD110372</t>
  </si>
  <si>
    <t>Sra. Maitê Nunes</t>
  </si>
  <si>
    <t>93821406704</t>
  </si>
  <si>
    <t>938.214.067-04</t>
  </si>
  <si>
    <t>LD404691</t>
  </si>
  <si>
    <t>Dr. Vitor Gabriel Pinto</t>
  </si>
  <si>
    <t>15438902704</t>
  </si>
  <si>
    <t>154.389.027-04</t>
  </si>
  <si>
    <t>LD131127</t>
  </si>
  <si>
    <t>Isis Duarte</t>
  </si>
  <si>
    <t>97286041576</t>
  </si>
  <si>
    <t>972.860.415-76</t>
  </si>
  <si>
    <t>LD853754</t>
  </si>
  <si>
    <t>Nicole Barbosa</t>
  </si>
  <si>
    <t>28376150995</t>
  </si>
  <si>
    <t>283.761.509-95</t>
  </si>
  <si>
    <t>LD305507</t>
  </si>
  <si>
    <t>Kamilly Nascimento</t>
  </si>
  <si>
    <t>60512984794</t>
  </si>
  <si>
    <t>605.129.847-94</t>
  </si>
  <si>
    <t>LD971834</t>
  </si>
  <si>
    <t>Thales Oliveira</t>
  </si>
  <si>
    <t>109.453.268-15</t>
  </si>
  <si>
    <t>LD320449</t>
  </si>
  <si>
    <t>Maysa Jesus</t>
  </si>
  <si>
    <t>64027519876</t>
  </si>
  <si>
    <t>640.275.198-76</t>
  </si>
  <si>
    <t>LD279683</t>
  </si>
  <si>
    <t>Clara Alves</t>
  </si>
  <si>
    <t>427.316.580-53</t>
  </si>
  <si>
    <t>LD845476</t>
  </si>
  <si>
    <t>Emanuella Fogaça</t>
  </si>
  <si>
    <t>71342805607</t>
  </si>
  <si>
    <t>713.428.056-07</t>
  </si>
  <si>
    <t>LD300992</t>
  </si>
  <si>
    <t>Kaique Sales</t>
  </si>
  <si>
    <t>640.815.239-24</t>
  </si>
  <si>
    <t>LD550405</t>
  </si>
  <si>
    <t>Ian Monteiro</t>
  </si>
  <si>
    <t>135.478.960-10</t>
  </si>
  <si>
    <t>LD715855</t>
  </si>
  <si>
    <t>Eduardo Aragão</t>
  </si>
  <si>
    <t>68190324551</t>
  </si>
  <si>
    <t>681.903.245-51</t>
  </si>
  <si>
    <t>LD359178</t>
  </si>
  <si>
    <t>Emanuel Santos</t>
  </si>
  <si>
    <t>81794352619</t>
  </si>
  <si>
    <t>817.943.526-19</t>
  </si>
  <si>
    <t>LD712454</t>
  </si>
  <si>
    <t>Thomas Dias</t>
  </si>
  <si>
    <t>364.895.017-75</t>
  </si>
  <si>
    <t>LD929420</t>
  </si>
  <si>
    <t>Srta. Maria Alves</t>
  </si>
  <si>
    <t>915.843.072-50</t>
  </si>
  <si>
    <t>LD887803</t>
  </si>
  <si>
    <t>João Felipe Ferreira</t>
  </si>
  <si>
    <t>204.851.769-20</t>
  </si>
  <si>
    <t>LD644098</t>
  </si>
  <si>
    <t>Isabella Porto</t>
  </si>
  <si>
    <t>72086943113</t>
  </si>
  <si>
    <t>720.869.431-13</t>
  </si>
  <si>
    <t>LD828246</t>
  </si>
  <si>
    <t>Rafaela Fogaça</t>
  </si>
  <si>
    <t>13276908450</t>
  </si>
  <si>
    <t>132.769.084-50</t>
  </si>
  <si>
    <t>LD709418</t>
  </si>
  <si>
    <t>Gabriela Castro</t>
  </si>
  <si>
    <t>29473056125</t>
  </si>
  <si>
    <t>294.730.561-25</t>
  </si>
  <si>
    <t>LD138382</t>
  </si>
  <si>
    <t>Júlia da Rocha</t>
  </si>
  <si>
    <t>29503816777</t>
  </si>
  <si>
    <t>295.038.167-77</t>
  </si>
  <si>
    <t>LD515131</t>
  </si>
  <si>
    <t>Ryan da Rosa</t>
  </si>
  <si>
    <t>26104583989</t>
  </si>
  <si>
    <t>261.045.839-89</t>
  </si>
  <si>
    <t>LD264845</t>
  </si>
  <si>
    <t>Marcela Pinto</t>
  </si>
  <si>
    <t>163.078.925-95</t>
  </si>
  <si>
    <t>LD240855</t>
  </si>
  <si>
    <t>Dra. Bárbara Caldeira</t>
  </si>
  <si>
    <t>208.491.367-50</t>
  </si>
  <si>
    <t>LD341358</t>
  </si>
  <si>
    <t>Isabelly da Paz</t>
  </si>
  <si>
    <t>680.723.451-17</t>
  </si>
  <si>
    <t>LD546800</t>
  </si>
  <si>
    <t>Caio Sales</t>
  </si>
  <si>
    <t>32564071961</t>
  </si>
  <si>
    <t>325.640.719-61</t>
  </si>
  <si>
    <t>LD621711</t>
  </si>
  <si>
    <t>Ana Laura da Mota</t>
  </si>
  <si>
    <t>07219568312</t>
  </si>
  <si>
    <t>072.195.683-12</t>
  </si>
  <si>
    <t>LD345147</t>
  </si>
  <si>
    <t>Vinicius Silva</t>
  </si>
  <si>
    <t>71638509484</t>
  </si>
  <si>
    <t>716.385.094-84</t>
  </si>
  <si>
    <t>LD983533</t>
  </si>
  <si>
    <t>Sra. Sofia Oliveira</t>
  </si>
  <si>
    <t>179.486.053-39</t>
  </si>
  <si>
    <t>LD338804</t>
  </si>
  <si>
    <t>Henrique Farias</t>
  </si>
  <si>
    <t>60291748350</t>
  </si>
  <si>
    <t>602.917.483-50</t>
  </si>
  <si>
    <t>LD310036</t>
  </si>
  <si>
    <t>Bryan Novaes</t>
  </si>
  <si>
    <t>02516489315</t>
  </si>
  <si>
    <t>025.164.893-15</t>
  </si>
  <si>
    <t>LD881410</t>
  </si>
  <si>
    <t>Sabrina Aragão</t>
  </si>
  <si>
    <t>948.536.170-00</t>
  </si>
  <si>
    <t>LD839919</t>
  </si>
  <si>
    <t>Carolina Peixoto</t>
  </si>
  <si>
    <t>591.763.408-48</t>
  </si>
  <si>
    <t>LD373820</t>
  </si>
  <si>
    <t>Thiago Araújo</t>
  </si>
  <si>
    <t>24567980158</t>
  </si>
  <si>
    <t>245.679.801-58</t>
  </si>
  <si>
    <t>LD523426</t>
  </si>
  <si>
    <t>Calebe Cavalcanti</t>
  </si>
  <si>
    <t>915.460.832-51</t>
  </si>
  <si>
    <t>LD594932</t>
  </si>
  <si>
    <t>Sra. Sabrina Teixeira</t>
  </si>
  <si>
    <t>647.839.502-29</t>
  </si>
  <si>
    <t>LD338633</t>
  </si>
  <si>
    <t>Ana Carolina Alves</t>
  </si>
  <si>
    <t>89423607500</t>
  </si>
  <si>
    <t>894.236.075-00</t>
  </si>
  <si>
    <t>LD640882</t>
  </si>
  <si>
    <t>Maria Eduarda Carvalho</t>
  </si>
  <si>
    <t>910.324.876-31</t>
  </si>
  <si>
    <t>LD953957</t>
  </si>
  <si>
    <t>Benjamin Nunes</t>
  </si>
  <si>
    <t>98374156066</t>
  </si>
  <si>
    <t>983.741.560-66</t>
  </si>
  <si>
    <t>LD296971</t>
  </si>
  <si>
    <t>Emanuelly Silva</t>
  </si>
  <si>
    <t>64708193548</t>
  </si>
  <si>
    <t>647.081.935-48</t>
  </si>
  <si>
    <t>LD559990</t>
  </si>
  <si>
    <t>Leandro da Mata</t>
  </si>
  <si>
    <t>20981537677</t>
  </si>
  <si>
    <t>209.815.376-77</t>
  </si>
  <si>
    <t>LD705561</t>
  </si>
  <si>
    <t>João Gabriel Melo</t>
  </si>
  <si>
    <t>038.965.421-33</t>
  </si>
  <si>
    <t>LD624078</t>
  </si>
  <si>
    <t>Vinicius Nunes</t>
  </si>
  <si>
    <t>731.405.689-75</t>
  </si>
  <si>
    <t>LD539507</t>
  </si>
  <si>
    <t>Yasmin Almeida</t>
  </si>
  <si>
    <t>01645879348</t>
  </si>
  <si>
    <t>016.458.793-48</t>
  </si>
  <si>
    <t>LD414192</t>
  </si>
  <si>
    <t>Sarah Teixeira</t>
  </si>
  <si>
    <t>97038421514</t>
  </si>
  <si>
    <t>970.384.215-14</t>
  </si>
  <si>
    <t>LD261156</t>
  </si>
  <si>
    <t>Lara Rocha</t>
  </si>
  <si>
    <t>463.085.279-47</t>
  </si>
  <si>
    <t>LD937965</t>
  </si>
  <si>
    <t>Ana Vitória Castro</t>
  </si>
  <si>
    <t>371.046.258-44</t>
  </si>
  <si>
    <t>LD314124</t>
  </si>
  <si>
    <t>Isaac Santos</t>
  </si>
  <si>
    <t>249.017.635-80</t>
  </si>
  <si>
    <t>LD597840</t>
  </si>
  <si>
    <t>Sr. Guilherme Oliveira</t>
  </si>
  <si>
    <t>60723491534</t>
  </si>
  <si>
    <t>607.234.915-34</t>
  </si>
  <si>
    <t>LD419443</t>
  </si>
  <si>
    <t>Larissa Pires</t>
  </si>
  <si>
    <t>20184793696</t>
  </si>
  <si>
    <t>201.847.936-96</t>
  </si>
  <si>
    <t>LD133616</t>
  </si>
  <si>
    <t>Thales Viana</t>
  </si>
  <si>
    <t>182.956.374-28</t>
  </si>
  <si>
    <t>LD308665</t>
  </si>
  <si>
    <t>João Vitor da Conceição</t>
  </si>
  <si>
    <t>08549326151</t>
  </si>
  <si>
    <t>085.493.261-51</t>
  </si>
  <si>
    <t>LD344359</t>
  </si>
  <si>
    <t>Lucas Gabriel Dias</t>
  </si>
  <si>
    <t>53621974016</t>
  </si>
  <si>
    <t>536.219.740-16</t>
  </si>
  <si>
    <t>LD486559</t>
  </si>
  <si>
    <t>Bryan da Cruz</t>
  </si>
  <si>
    <t>912.457.063-06</t>
  </si>
  <si>
    <t>LD264663</t>
  </si>
  <si>
    <t>Ana Clara da Luz</t>
  </si>
  <si>
    <t>590.283.746-47</t>
  </si>
  <si>
    <t>LD879241</t>
  </si>
  <si>
    <t>Camila das Neves</t>
  </si>
  <si>
    <t>04639587210</t>
  </si>
  <si>
    <t>046.395.872-10</t>
  </si>
  <si>
    <t>LD315667</t>
  </si>
  <si>
    <t>Lorenzo Carvalho</t>
  </si>
  <si>
    <t>01286439515</t>
  </si>
  <si>
    <t>012.864.395-15</t>
  </si>
  <si>
    <t>LD266494</t>
  </si>
  <si>
    <t>Antônio Ferreira</t>
  </si>
  <si>
    <t>850.396.417-10</t>
  </si>
  <si>
    <t>LD626883</t>
  </si>
  <si>
    <t>Sra. Gabriela Nascimento</t>
  </si>
  <si>
    <t>042.135.678-26</t>
  </si>
  <si>
    <t>LD249623</t>
  </si>
  <si>
    <t>53028164744</t>
  </si>
  <si>
    <t>530.281.647-44</t>
  </si>
  <si>
    <t>LD358830</t>
  </si>
  <si>
    <t>João Felipe Peixoto</t>
  </si>
  <si>
    <t>176.495.203-07</t>
  </si>
  <si>
    <t>LD585171</t>
  </si>
  <si>
    <t>Natália da Mata</t>
  </si>
  <si>
    <t>670.435.912-52</t>
  </si>
  <si>
    <t>LD578472</t>
  </si>
  <si>
    <t>Guilherme Cardoso</t>
  </si>
  <si>
    <t>97684325191</t>
  </si>
  <si>
    <t>976.843.251-91</t>
  </si>
  <si>
    <t>LD742805</t>
  </si>
  <si>
    <t>Ana Júlia da Cruz</t>
  </si>
  <si>
    <t>903.285.741-04</t>
  </si>
  <si>
    <t>LD288301</t>
  </si>
  <si>
    <t>Luana Jesus</t>
  </si>
  <si>
    <t>293.861.504-33</t>
  </si>
  <si>
    <t>LD791095</t>
  </si>
  <si>
    <t>Sarah Nascimento</t>
  </si>
  <si>
    <t>82170936440</t>
  </si>
  <si>
    <t>821.709.364-40</t>
  </si>
  <si>
    <t>LD351338</t>
  </si>
  <si>
    <t>Dr. Murilo da Luz</t>
  </si>
  <si>
    <t>064.829.731-40</t>
  </si>
  <si>
    <t>LD406068</t>
  </si>
  <si>
    <t>Marcelo Vieira</t>
  </si>
  <si>
    <t>182.390.645-15</t>
  </si>
  <si>
    <t>LD617459</t>
  </si>
  <si>
    <t>Dr. Luiz Fernando Santos</t>
  </si>
  <si>
    <t>21473608996</t>
  </si>
  <si>
    <t>214.736.089-96</t>
  </si>
  <si>
    <t>LD180251</t>
  </si>
  <si>
    <t>João Felipe Castro</t>
  </si>
  <si>
    <t>102.897.465-58</t>
  </si>
  <si>
    <t>LD572840</t>
  </si>
  <si>
    <t>Srta. Elisa Araújo</t>
  </si>
  <si>
    <t>16024537808</t>
  </si>
  <si>
    <t>160.245.378-08</t>
  </si>
  <si>
    <t>LD128015</t>
  </si>
  <si>
    <t>Caio Santos</t>
  </si>
  <si>
    <t>60819754366</t>
  </si>
  <si>
    <t>608.197.543-66</t>
  </si>
  <si>
    <t>LD499670</t>
  </si>
  <si>
    <t>19406827549</t>
  </si>
  <si>
    <t>194.068.275-49</t>
  </si>
  <si>
    <t>LD139609</t>
  </si>
  <si>
    <t>Vitor Gabriel Sales</t>
  </si>
  <si>
    <t>17605834993</t>
  </si>
  <si>
    <t>176.058.349-93</t>
  </si>
  <si>
    <t>LD802855</t>
  </si>
  <si>
    <t>Dra. Sophia Barros</t>
  </si>
  <si>
    <t>841.952.367-46</t>
  </si>
  <si>
    <t>LD675069</t>
  </si>
  <si>
    <t>Sr. Pedro Lucas Costa</t>
  </si>
  <si>
    <t>137.296.540-80</t>
  </si>
  <si>
    <t>LD593656</t>
  </si>
  <si>
    <t>780.316.924-40</t>
  </si>
  <si>
    <t>LD736473</t>
  </si>
  <si>
    <t>Kaique Cavalcanti</t>
  </si>
  <si>
    <t>60194378250</t>
  </si>
  <si>
    <t>601.943.782-50</t>
  </si>
  <si>
    <t>LD276636</t>
  </si>
  <si>
    <t>Sophie Nogueira</t>
  </si>
  <si>
    <t>47860913240</t>
  </si>
  <si>
    <t>478.609.132-40</t>
  </si>
  <si>
    <t>LD260952</t>
  </si>
  <si>
    <t>Augusto Porto</t>
  </si>
  <si>
    <t>68107294530</t>
  </si>
  <si>
    <t>681.072.945-30</t>
  </si>
  <si>
    <t>LD807835</t>
  </si>
  <si>
    <t>Dr. Luiz Fernando Azevedo</t>
  </si>
  <si>
    <t>024.581.793-04</t>
  </si>
  <si>
    <t>LD950931</t>
  </si>
  <si>
    <t>Cauã Novaes</t>
  </si>
  <si>
    <t>906.453.217-61</t>
  </si>
  <si>
    <t>LD509593</t>
  </si>
  <si>
    <t>675.034.981-10</t>
  </si>
  <si>
    <t>LD151028</t>
  </si>
  <si>
    <t>Srta. Ana Laura Martins</t>
  </si>
  <si>
    <t>016.283.945-60</t>
  </si>
  <si>
    <t>LD350127</t>
  </si>
  <si>
    <t>08461257901</t>
  </si>
  <si>
    <t>084.612.579-01</t>
  </si>
  <si>
    <t>LD453492</t>
  </si>
  <si>
    <t>Clarice Cunha</t>
  </si>
  <si>
    <t>489.701.536-75</t>
  </si>
  <si>
    <t>LD201295</t>
  </si>
  <si>
    <t>Vicente Pereira</t>
  </si>
  <si>
    <t>910.287.543-88</t>
  </si>
  <si>
    <t>LD146150</t>
  </si>
  <si>
    <t>João Miguel Ribeiro</t>
  </si>
  <si>
    <t>58692310433</t>
  </si>
  <si>
    <t>586.923.104-33</t>
  </si>
  <si>
    <t>LD689356</t>
  </si>
  <si>
    <t>Marcos Vinicius Carvalho</t>
  </si>
  <si>
    <t>105.862.394-05</t>
  </si>
  <si>
    <t>LD548665</t>
  </si>
  <si>
    <t>Luigi Santos</t>
  </si>
  <si>
    <t>96123784013</t>
  </si>
  <si>
    <t>961.237.840-13</t>
  </si>
  <si>
    <t>LD282055</t>
  </si>
  <si>
    <t>Stella Cardoso</t>
  </si>
  <si>
    <t>79560142399</t>
  </si>
  <si>
    <t>795.601.423-99</t>
  </si>
  <si>
    <t>LD323103</t>
  </si>
  <si>
    <t>Luna Santos</t>
  </si>
  <si>
    <t>15829306786</t>
  </si>
  <si>
    <t>158.293.067-86</t>
  </si>
  <si>
    <t>LD754216</t>
  </si>
  <si>
    <t>Thomas Nogueira</t>
  </si>
  <si>
    <t>02468351762</t>
  </si>
  <si>
    <t>024.683.517-62</t>
  </si>
  <si>
    <t>LD416181</t>
  </si>
  <si>
    <t>Letícia da Conceição</t>
  </si>
  <si>
    <t>051.398.642-15</t>
  </si>
  <si>
    <t>LD929696</t>
  </si>
  <si>
    <t>Letícia Costa</t>
  </si>
  <si>
    <t>564.893.170-01</t>
  </si>
  <si>
    <t>LD199346</t>
  </si>
  <si>
    <t>Luigi Lopes</t>
  </si>
  <si>
    <t>430.618.275-44</t>
  </si>
  <si>
    <t>LD810830</t>
  </si>
  <si>
    <t>Dr. Raul da Mata</t>
  </si>
  <si>
    <t>602.417.953-70</t>
  </si>
  <si>
    <t>LD283847</t>
  </si>
  <si>
    <t>Carolina Silveira</t>
  </si>
  <si>
    <t>407.362.185-80</t>
  </si>
  <si>
    <t>LD798740</t>
  </si>
  <si>
    <t>Nina da Rocha</t>
  </si>
  <si>
    <t>27165890467</t>
  </si>
  <si>
    <t>271.658.904-67</t>
  </si>
  <si>
    <t>LD570717</t>
  </si>
  <si>
    <t>Olivia Cunha</t>
  </si>
  <si>
    <t>52347698010</t>
  </si>
  <si>
    <t>523.476.980-10</t>
  </si>
  <si>
    <t>LD343904</t>
  </si>
  <si>
    <t>Olivia Araújo</t>
  </si>
  <si>
    <t>48695170357</t>
  </si>
  <si>
    <t>486.951.703-57</t>
  </si>
  <si>
    <t>LD347879</t>
  </si>
  <si>
    <t>Sr. Francisco Almeida</t>
  </si>
  <si>
    <t>502.314.678-26</t>
  </si>
  <si>
    <t>LD162833</t>
  </si>
  <si>
    <t>Dr. Kevin Fernandes</t>
  </si>
  <si>
    <t>05386271903</t>
  </si>
  <si>
    <t>053.862.719-03</t>
  </si>
  <si>
    <t>LD494000</t>
  </si>
  <si>
    <t>Lívia Rezende</t>
  </si>
  <si>
    <t>75821306426</t>
  </si>
  <si>
    <t>758.213.064-26</t>
  </si>
  <si>
    <t>LD565280</t>
  </si>
  <si>
    <t>Emanuella da Conceição</t>
  </si>
  <si>
    <t>273.681.590-40</t>
  </si>
  <si>
    <t>LD774865</t>
  </si>
  <si>
    <t>Thales da Luz</t>
  </si>
  <si>
    <t>297.065.318-40</t>
  </si>
  <si>
    <t>LD887009</t>
  </si>
  <si>
    <t>Ana Vitória Rodrigues</t>
  </si>
  <si>
    <t>16207958411</t>
  </si>
  <si>
    <t>162.079.584-11</t>
  </si>
  <si>
    <t>LD354016</t>
  </si>
  <si>
    <t>30518974260</t>
  </si>
  <si>
    <t>305.189.742-60</t>
  </si>
  <si>
    <t>LD940383</t>
  </si>
  <si>
    <t>Diego Oliveira</t>
  </si>
  <si>
    <t>980.721.345-23</t>
  </si>
  <si>
    <t>LD500016</t>
  </si>
  <si>
    <t>Benício Pereira</t>
  </si>
  <si>
    <t>801.369.745-20</t>
  </si>
  <si>
    <t>LD167755</t>
  </si>
  <si>
    <t>Stephany Barbosa</t>
  </si>
  <si>
    <t>508.241.973-05</t>
  </si>
  <si>
    <t>LD765181</t>
  </si>
  <si>
    <t>Carolina Fernandes</t>
  </si>
  <si>
    <t>463.807.129-50</t>
  </si>
  <si>
    <t>LD282112</t>
  </si>
  <si>
    <t>Larissa Duarte</t>
  </si>
  <si>
    <t>803.497.215-05</t>
  </si>
  <si>
    <t>LD632073</t>
  </si>
  <si>
    <t>Dr. Calebe das Neves</t>
  </si>
  <si>
    <t>93285160721</t>
  </si>
  <si>
    <t>932.851.607-21</t>
  </si>
  <si>
    <t>LD856729</t>
  </si>
  <si>
    <t>Ana Vitória Nogueira</t>
  </si>
  <si>
    <t>35024978188</t>
  </si>
  <si>
    <t>350.249.781-88</t>
  </si>
  <si>
    <t>LD417824</t>
  </si>
  <si>
    <t>Lavínia Novaes</t>
  </si>
  <si>
    <t>52761489020</t>
  </si>
  <si>
    <t>527.614.890-20</t>
  </si>
  <si>
    <t>LD385066</t>
  </si>
  <si>
    <t>Emanuella Moura</t>
  </si>
  <si>
    <t>079.463.281-50</t>
  </si>
  <si>
    <t>LD496065</t>
  </si>
  <si>
    <t>Isabelly Oliveira</t>
  </si>
  <si>
    <t>02947518667</t>
  </si>
  <si>
    <t>029.475.186-67</t>
  </si>
  <si>
    <t>LD870627</t>
  </si>
  <si>
    <t>Vitor Cardoso</t>
  </si>
  <si>
    <t>54380267938</t>
  </si>
  <si>
    <t>543.802.679-38</t>
  </si>
  <si>
    <t>LD898940</t>
  </si>
  <si>
    <t>Davi da Cruz</t>
  </si>
  <si>
    <t>53816094775</t>
  </si>
  <si>
    <t>538.160.947-75</t>
  </si>
  <si>
    <t>LD663292</t>
  </si>
  <si>
    <t>59074128360</t>
  </si>
  <si>
    <t>590.741.283-60</t>
  </si>
  <si>
    <t>LD586173</t>
  </si>
  <si>
    <t>Dra. Alícia das Neves</t>
  </si>
  <si>
    <t>68451790267</t>
  </si>
  <si>
    <t>684.517.902-67</t>
  </si>
  <si>
    <t>LD604201</t>
  </si>
  <si>
    <t>Gustavo Farias</t>
  </si>
  <si>
    <t>62910457370</t>
  </si>
  <si>
    <t>629.104.573-70</t>
  </si>
  <si>
    <t>LD262240</t>
  </si>
  <si>
    <t>Yuri Fogaça</t>
  </si>
  <si>
    <t>412.903.768-40</t>
  </si>
  <si>
    <t>LD615326</t>
  </si>
  <si>
    <t>Maria Vitória Cunha</t>
  </si>
  <si>
    <t>01283569442</t>
  </si>
  <si>
    <t>012.835.694-42</t>
  </si>
  <si>
    <t>LD502692</t>
  </si>
  <si>
    <t>42103785690</t>
  </si>
  <si>
    <t>421.037.856-90</t>
  </si>
  <si>
    <t>LD528644</t>
  </si>
  <si>
    <t>912.835.074-04</t>
  </si>
  <si>
    <t>LD693083</t>
  </si>
  <si>
    <t>Isadora Dias</t>
  </si>
  <si>
    <t>62978350121</t>
  </si>
  <si>
    <t>629.783.501-21</t>
  </si>
  <si>
    <t>LD465511</t>
  </si>
  <si>
    <t>Ana Lívia da Conceição</t>
  </si>
  <si>
    <t>061.379.428-13</t>
  </si>
  <si>
    <t>LD830286</t>
  </si>
  <si>
    <t>Dra. Emanuelly Lopes</t>
  </si>
  <si>
    <t>24016785308</t>
  </si>
  <si>
    <t>240.167.853-08</t>
  </si>
  <si>
    <t>LD354125</t>
  </si>
  <si>
    <t>Dr. André Lopes</t>
  </si>
  <si>
    <t>14359086784</t>
  </si>
  <si>
    <t>143.590.867-84</t>
  </si>
  <si>
    <t>LD840880</t>
  </si>
  <si>
    <t>Luiz Henrique Pires</t>
  </si>
  <si>
    <t>792.834.156-55</t>
  </si>
  <si>
    <t>LD374025</t>
  </si>
  <si>
    <t>893.526.047-92</t>
  </si>
  <si>
    <t>LD359433</t>
  </si>
  <si>
    <t>Heitor Viana</t>
  </si>
  <si>
    <t>790.365.182-02</t>
  </si>
  <si>
    <t>LD222400</t>
  </si>
  <si>
    <t>Nicolas Pinto</t>
  </si>
  <si>
    <t>519.640.832-06</t>
  </si>
  <si>
    <t>LD840367</t>
  </si>
  <si>
    <t>Natália Gonçalves</t>
  </si>
  <si>
    <t>640.829.537-10</t>
  </si>
  <si>
    <t>LD543489</t>
  </si>
  <si>
    <t>Dra. Bárbara Martins</t>
  </si>
  <si>
    <t>67231085903</t>
  </si>
  <si>
    <t>672.310.859-03</t>
  </si>
  <si>
    <t>LD624966</t>
  </si>
  <si>
    <t>Maria Luiza da Cunha</t>
  </si>
  <si>
    <t>543.692.801-33</t>
  </si>
  <si>
    <t>LD422939</t>
  </si>
  <si>
    <t>Bruna da Luz</t>
  </si>
  <si>
    <t>250.674.139-99</t>
  </si>
  <si>
    <t>LD214582</t>
  </si>
  <si>
    <t>Levi da Luz</t>
  </si>
  <si>
    <t>863.421.075-80</t>
  </si>
  <si>
    <t>LD249645</t>
  </si>
  <si>
    <t>Felipe Freitas</t>
  </si>
  <si>
    <t>14280539642</t>
  </si>
  <si>
    <t>142.805.396-42</t>
  </si>
  <si>
    <t>LD832964</t>
  </si>
  <si>
    <t>Sra. Amanda Cunha</t>
  </si>
  <si>
    <t>69028751467</t>
  </si>
  <si>
    <t>690.287.514-67</t>
  </si>
  <si>
    <t>LD201576</t>
  </si>
  <si>
    <t>Lucca Gomes</t>
  </si>
  <si>
    <t>09348562738</t>
  </si>
  <si>
    <t>093.485.627-38</t>
  </si>
  <si>
    <t>LD786315</t>
  </si>
  <si>
    <t>Sr. Luiz Otávio da Luz</t>
  </si>
  <si>
    <t>29463078592</t>
  </si>
  <si>
    <t>294.630.785-92</t>
  </si>
  <si>
    <t>LD295454</t>
  </si>
  <si>
    <t>Ryan Barbosa</t>
  </si>
  <si>
    <t>602.398.715-02</t>
  </si>
  <si>
    <t>LD215593</t>
  </si>
  <si>
    <t>Rodrigo Peixoto</t>
  </si>
  <si>
    <t>07681329595</t>
  </si>
  <si>
    <t>076.813.295-95</t>
  </si>
  <si>
    <t>LD161847</t>
  </si>
  <si>
    <t>Murilo Martins</t>
  </si>
  <si>
    <t>372.189.065-59</t>
  </si>
  <si>
    <t>LD528649</t>
  </si>
  <si>
    <t>Enzo Gabriel Correia</t>
  </si>
  <si>
    <t>39607421507</t>
  </si>
  <si>
    <t>396.074.215-07</t>
  </si>
  <si>
    <t>LD183686</t>
  </si>
  <si>
    <t>Daniel da Paz</t>
  </si>
  <si>
    <t>16528093415</t>
  </si>
  <si>
    <t>165.280.934-15</t>
  </si>
  <si>
    <t>LD458772</t>
  </si>
  <si>
    <t>Mirella Nogueira</t>
  </si>
  <si>
    <t>85730614217</t>
  </si>
  <si>
    <t>857.306.142-17</t>
  </si>
  <si>
    <t>LD897477</t>
  </si>
  <si>
    <t>Amanda Freitas</t>
  </si>
  <si>
    <t>61729034543</t>
  </si>
  <si>
    <t>617.290.345-43</t>
  </si>
  <si>
    <t>LD710738</t>
  </si>
  <si>
    <t>Mariane da Mota</t>
  </si>
  <si>
    <t>249.017.538-60</t>
  </si>
  <si>
    <t>LD493914</t>
  </si>
  <si>
    <t>Breno Sales</t>
  </si>
  <si>
    <t>234.986.175-91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</si>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</sst>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0" fontId="0" fillId="0" borderId="0" xfId="1" applyNumberFormat="1" applyFont="1"/>
    <xf numFmtId="10" fontId="0" fillId="5" borderId="0" xfId="1" applyNumberFormat="1" applyFont="1" applyFill="1"/>
    <xf numFmtId="9" fontId="0" fillId="0" borderId="0" xfId="1" applyFont="1"/>
    <xf numFmtId="0" fontId="0" fillId="0" borderId="0" xfId="0" applyNumberFormat="1"/>
  </cellXfs>
  <cellStyles count="2">
    <cellStyle name="Normal" xfId="0" builtinId="0"/>
    <cellStyle name="Porcentagem" xfId="1" builtinId="5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[painel_ficticio_leads_crediamigo_2025.xlsx]1.geral!Tabela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  <a:ea typeface="+mj-ea"/>
                <a:cs typeface="+mj-cs"/>
              </a:defRPr>
            </a:pPr>
            <a:r>
              <a:rPr lang="pt-BR" sz="140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</a:rPr>
              <a:t>Total</a:t>
            </a:r>
            <a:r>
              <a:rPr lang="pt-BR" sz="140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</a:rPr>
              <a:t> de </a:t>
            </a:r>
            <a:r>
              <a:rPr lang="pt-BR" sz="140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</a:rPr>
              <a:t>Leads por Regional</a:t>
            </a:r>
          </a:p>
        </c:rich>
      </c:tx>
      <c:layout>
        <c:manualLayout>
          <c:xMode val="edge"/>
          <c:yMode val="edge"/>
          <c:x val="0.29266663939984722"/>
          <c:y val="4.64946335598058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chemeClr val="bg2">
                  <a:lumMod val="25000"/>
                </a:schemeClr>
              </a:solidFill>
              <a:latin typeface="Trebuchet MS" panose="020B0603020202020204" pitchFamily="34" charset="0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57150">
            <a:solidFill>
              <a:schemeClr val="accent1"/>
            </a:solidFill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086491866156273"/>
          <c:y val="0.12574807163854948"/>
          <c:w val="0.7126950776826636"/>
          <c:h val="0.821639938249426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'1.geral'!$B$3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57150"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'1.geral'!$A$4:$A$16</c:f>
              <c:strCache>
                <c:ptCount val="12"/>
                <c:pt idx="0">
                  <c:v>PE-URB</c:v>
                </c:pt>
                <c:pt idx="1">
                  <c:v>AM-NAT</c:v>
                </c:pt>
                <c:pt idx="2">
                  <c:v>PE-CEN</c:v>
                </c:pt>
                <c:pt idx="3">
                  <c:v>BA-AGRO</c:v>
                </c:pt>
                <c:pt idx="4">
                  <c:v>CE-LIT</c:v>
                </c:pt>
                <c:pt idx="5">
                  <c:v>CE-SER</c:v>
                </c:pt>
                <c:pt idx="6">
                  <c:v>RN-VAL</c:v>
                </c:pt>
                <c:pt idx="7">
                  <c:v>RS-MAR</c:v>
                </c:pt>
                <c:pt idx="8">
                  <c:v>SC-RIO</c:v>
                </c:pt>
                <c:pt idx="9">
                  <c:v>PR-MNT</c:v>
                </c:pt>
                <c:pt idx="10">
                  <c:v>PA-SOL</c:v>
                </c:pt>
                <c:pt idx="11">
                  <c:v>RO-VER</c:v>
                </c:pt>
              </c:strCache>
            </c:strRef>
          </c:cat>
          <c:val>
            <c:numRef>
              <c:f>'1.geral'!$B$4:$B$16</c:f>
              <c:numCache>
                <c:formatCode>General</c:formatCode>
                <c:ptCount val="12"/>
                <c:pt idx="0">
                  <c:v>145</c:v>
                </c:pt>
                <c:pt idx="1">
                  <c:v>149</c:v>
                </c:pt>
                <c:pt idx="2">
                  <c:v>160</c:v>
                </c:pt>
                <c:pt idx="3">
                  <c:v>161</c:v>
                </c:pt>
                <c:pt idx="4">
                  <c:v>161</c:v>
                </c:pt>
                <c:pt idx="5">
                  <c:v>162</c:v>
                </c:pt>
                <c:pt idx="6">
                  <c:v>169</c:v>
                </c:pt>
                <c:pt idx="7">
                  <c:v>171</c:v>
                </c:pt>
                <c:pt idx="8">
                  <c:v>173</c:v>
                </c:pt>
                <c:pt idx="9">
                  <c:v>175</c:v>
                </c:pt>
                <c:pt idx="10">
                  <c:v>176</c:v>
                </c:pt>
                <c:pt idx="11">
                  <c:v>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8-4362-85E9-81F5B5E6508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560066335"/>
        <c:axId val="560065375"/>
      </c:barChart>
      <c:catAx>
        <c:axId val="56006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pt-BR"/>
          </a:p>
        </c:txPr>
        <c:crossAx val="560065375"/>
        <c:crosses val="autoZero"/>
        <c:auto val="1"/>
        <c:lblAlgn val="ctr"/>
        <c:lblOffset val="100"/>
        <c:noMultiLvlLbl val="0"/>
      </c:catAx>
      <c:valAx>
        <c:axId val="56006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6006633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[painel_ficticio_leads_crediamigo_2025.xlsx]1.geral!Tabela dinâmica2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  <a:ea typeface="+mj-ea"/>
                <a:cs typeface="+mj-cs"/>
              </a:defRPr>
            </a:pPr>
            <a:r>
              <a:rPr lang="pt-BR" b="1">
                <a:solidFill>
                  <a:schemeClr val="bg2">
                    <a:lumMod val="25000"/>
                  </a:schemeClr>
                </a:solidFill>
              </a:rPr>
              <a:t>Negócios por Regional</a:t>
            </a:r>
          </a:p>
        </c:rich>
      </c:tx>
      <c:layout>
        <c:manualLayout>
          <c:xMode val="edge"/>
          <c:yMode val="edge"/>
          <c:x val="0.22212628593839567"/>
          <c:y val="2.37368599525262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chemeClr val="bg2">
                  <a:lumMod val="25000"/>
                </a:schemeClr>
              </a:solidFill>
              <a:latin typeface="Trebuchet MS" panose="020B0603020202020204" pitchFamily="34" charset="0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lt1"/>
            </a:solidFill>
            <a:ln w="1587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>
              <a:lumMod val="65000"/>
              <a:lumOff val="35000"/>
            </a:schemeClr>
          </a:solidFill>
          <a:ln w="38100">
            <a:solidFill>
              <a:schemeClr val="tx1">
                <a:lumMod val="65000"/>
                <a:lumOff val="3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85000"/>
                      <a:lumOff val="1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 w="38100">
            <a:solidFill>
              <a:schemeClr val="accent2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accent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90033"/>
          </a:solidFill>
          <a:ln w="38100">
            <a:solidFill>
              <a:srgbClr val="990033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990033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56082">
              <a:lumMod val="75000"/>
            </a:srgbClr>
          </a:solidFill>
          <a:ln w="38100">
            <a:solidFill>
              <a:srgbClr val="156082">
                <a:lumMod val="75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2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'1.geral'!$B$22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56082">
                <a:lumMod val="75000"/>
              </a:srgbClr>
            </a:solidFill>
            <a:ln w="38100">
              <a:solidFill>
                <a:srgbClr val="156082">
                  <a:lumMod val="75000"/>
                </a:srgb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2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'1.geral'!$A$23:$A$35</c:f>
              <c:strCache>
                <c:ptCount val="12"/>
                <c:pt idx="0">
                  <c:v>RN-VAL</c:v>
                </c:pt>
                <c:pt idx="1">
                  <c:v>PE-CEN</c:v>
                </c:pt>
                <c:pt idx="2">
                  <c:v>CE-LIT</c:v>
                </c:pt>
                <c:pt idx="3">
                  <c:v>SC-RIO</c:v>
                </c:pt>
                <c:pt idx="4">
                  <c:v>PE-URB</c:v>
                </c:pt>
                <c:pt idx="5">
                  <c:v>AM-NAT</c:v>
                </c:pt>
                <c:pt idx="6">
                  <c:v>CE-SER</c:v>
                </c:pt>
                <c:pt idx="7">
                  <c:v>RO-VER</c:v>
                </c:pt>
                <c:pt idx="8">
                  <c:v>RS-MAR</c:v>
                </c:pt>
                <c:pt idx="9">
                  <c:v>BA-AGRO</c:v>
                </c:pt>
                <c:pt idx="10">
                  <c:v>PA-SOL</c:v>
                </c:pt>
                <c:pt idx="11">
                  <c:v>PR-MNT</c:v>
                </c:pt>
              </c:strCache>
            </c:strRef>
          </c:cat>
          <c:val>
            <c:numRef>
              <c:f>'1.geral'!$B$23:$B$35</c:f>
              <c:numCache>
                <c:formatCode>General</c:formatCode>
                <c:ptCount val="12"/>
                <c:pt idx="0">
                  <c:v>50</c:v>
                </c:pt>
                <c:pt idx="1">
                  <c:v>52</c:v>
                </c:pt>
                <c:pt idx="2">
                  <c:v>52</c:v>
                </c:pt>
                <c:pt idx="3">
                  <c:v>55</c:v>
                </c:pt>
                <c:pt idx="4">
                  <c:v>55</c:v>
                </c:pt>
                <c:pt idx="5">
                  <c:v>57</c:v>
                </c:pt>
                <c:pt idx="6">
                  <c:v>61</c:v>
                </c:pt>
                <c:pt idx="7">
                  <c:v>62</c:v>
                </c:pt>
                <c:pt idx="8">
                  <c:v>62</c:v>
                </c:pt>
                <c:pt idx="9">
                  <c:v>63</c:v>
                </c:pt>
                <c:pt idx="10">
                  <c:v>72</c:v>
                </c:pt>
                <c:pt idx="11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F1-4701-A3AC-36D5D6D08CF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47"/>
        <c:axId val="560066335"/>
        <c:axId val="560065375"/>
      </c:barChart>
      <c:catAx>
        <c:axId val="56006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pt-BR"/>
          </a:p>
        </c:txPr>
        <c:crossAx val="560065375"/>
        <c:crosses val="autoZero"/>
        <c:auto val="1"/>
        <c:lblAlgn val="ctr"/>
        <c:lblOffset val="100"/>
        <c:noMultiLvlLbl val="0"/>
      </c:catAx>
      <c:valAx>
        <c:axId val="56006537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6006633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[painel_ficticio_leads_crediamigo_2025.xlsx]3.regiao!Tabela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2">
                    <a:lumMod val="25000"/>
                  </a:schemeClr>
                </a:solidFill>
                <a:effectLst/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pt-BR" sz="1400" b="1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</a:rPr>
              <a:t>Leads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2">
                  <a:lumMod val="25000"/>
                </a:schemeClr>
              </a:solidFill>
              <a:effectLst/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'3.regiao'!$B$3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'3.regiao'!$A$4:$A$14</c:f>
              <c:strCache>
                <c:ptCount val="10"/>
                <c:pt idx="0">
                  <c:v>CE</c:v>
                </c:pt>
                <c:pt idx="1">
                  <c:v>PE</c:v>
                </c:pt>
                <c:pt idx="2">
                  <c:v>RO</c:v>
                </c:pt>
                <c:pt idx="3">
                  <c:v>PA</c:v>
                </c:pt>
                <c:pt idx="4">
                  <c:v>PR</c:v>
                </c:pt>
                <c:pt idx="5">
                  <c:v>SC</c:v>
                </c:pt>
                <c:pt idx="6">
                  <c:v>RS</c:v>
                </c:pt>
                <c:pt idx="7">
                  <c:v>RN</c:v>
                </c:pt>
                <c:pt idx="8">
                  <c:v>BA</c:v>
                </c:pt>
                <c:pt idx="9">
                  <c:v>AM</c:v>
                </c:pt>
              </c:strCache>
            </c:strRef>
          </c:cat>
          <c:val>
            <c:numRef>
              <c:f>'3.regiao'!$B$4:$B$14</c:f>
              <c:numCache>
                <c:formatCode>General</c:formatCode>
                <c:ptCount val="10"/>
                <c:pt idx="0">
                  <c:v>323</c:v>
                </c:pt>
                <c:pt idx="1">
                  <c:v>305</c:v>
                </c:pt>
                <c:pt idx="2">
                  <c:v>198</c:v>
                </c:pt>
                <c:pt idx="3">
                  <c:v>176</c:v>
                </c:pt>
                <c:pt idx="4">
                  <c:v>175</c:v>
                </c:pt>
                <c:pt idx="5">
                  <c:v>173</c:v>
                </c:pt>
                <c:pt idx="6">
                  <c:v>171</c:v>
                </c:pt>
                <c:pt idx="7">
                  <c:v>169</c:v>
                </c:pt>
                <c:pt idx="8">
                  <c:v>161</c:v>
                </c:pt>
                <c:pt idx="9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AF-4F9D-8383-3F99E7EF031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10414671"/>
        <c:axId val="310421743"/>
      </c:barChart>
      <c:catAx>
        <c:axId val="31041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Trebuchet MS" panose="020B0603020202020204" pitchFamily="34" charset="0"/>
                <a:ea typeface="+mn-ea"/>
                <a:cs typeface="+mn-cs"/>
              </a:defRPr>
            </a:pPr>
            <a:endParaRPr lang="pt-BR"/>
          </a:p>
        </c:txPr>
        <c:crossAx val="310421743"/>
        <c:crosses val="autoZero"/>
        <c:auto val="1"/>
        <c:lblAlgn val="ctr"/>
        <c:lblOffset val="100"/>
        <c:noMultiLvlLbl val="0"/>
      </c:catAx>
      <c:valAx>
        <c:axId val="310421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041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[painel_ficticio_leads_crediamigo_2025.xlsx]4.data!Tabela dinâmica6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0" normalizeH="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  <a:ea typeface="+mj-ea"/>
                <a:cs typeface="+mj-cs"/>
              </a:defRPr>
            </a:pPr>
            <a:r>
              <a:rPr lang="pt-BR" sz="1400" b="1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</a:rPr>
              <a:t>Negócios por Origem</a:t>
            </a:r>
          </a:p>
        </c:rich>
      </c:tx>
      <c:layout>
        <c:manualLayout>
          <c:xMode val="edge"/>
          <c:yMode val="edge"/>
          <c:x val="0.31039205654292046"/>
          <c:y val="6.55464683869408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0" normalizeH="0" baseline="0">
              <a:solidFill>
                <a:schemeClr val="bg2">
                  <a:lumMod val="25000"/>
                </a:schemeClr>
              </a:solidFill>
              <a:latin typeface="Trebuchet MS" panose="020B0603020202020204" pitchFamily="34" charset="0"/>
              <a:ea typeface="+mj-ea"/>
              <a:cs typeface="+mj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0"/>
              <c:y val="0.3194444444444444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0"/>
              <c:y val="0.3194444444444444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2.7777777777777779E-3"/>
              <c:y val="0.12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0"/>
              <c:y val="0.1111111111111111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0"/>
              <c:y val="0.1111111111111111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2.7777777777777779E-3"/>
              <c:y val="0.12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layout>
            <c:manualLayout>
              <c:x val="0"/>
              <c:y val="0.3194444444444444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layout>
            <c:manualLayout>
              <c:x val="0"/>
              <c:y val="0.3194444444444444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layout>
            <c:manualLayout>
              <c:x val="-6.0207295722656126E-17"/>
              <c:y val="0.2099290780141843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layout>
            <c:manualLayout>
              <c:x val="0"/>
              <c:y val="9.6453900709219748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"/>
              <c:y val="0.1134751773049645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layout>
            <c:manualLayout>
              <c:x val="3.2840722495893707E-3"/>
              <c:y val="0.22127659574468089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layout>
            <c:manualLayout>
              <c:x val="0"/>
              <c:y val="9.6453900709219748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layout>
            <c:manualLayout>
              <c:x val="0"/>
              <c:y val="0.1134751773049645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layout>
            <c:manualLayout>
              <c:x val="-6.0207295722656126E-17"/>
              <c:y val="0.2099290780141843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layout>
            <c:manualLayout>
              <c:x val="3.2840722495893707E-3"/>
              <c:y val="0.22127659574468089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layout>
            <c:manualLayout>
              <c:x val="0"/>
              <c:y val="9.6453900709219748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layout>
            <c:manualLayout>
              <c:x val="0"/>
              <c:y val="0.1134751773049645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layout>
            <c:manualLayout>
              <c:x val="-6.0207295722656126E-17"/>
              <c:y val="0.2099290780141843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layout>
            <c:manualLayout>
              <c:x val="3.2840722495893707E-3"/>
              <c:y val="0.22127659574468089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dLbl>
          <c:idx val="0"/>
          <c:layout>
            <c:manualLayout>
              <c:x val="-7.1471180793949473E-3"/>
              <c:y val="0.23333333333333334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dLbl>
          <c:idx val="0"/>
          <c:layout>
            <c:manualLayout>
              <c:x val="-7.1471180793950461E-3"/>
              <c:y val="0.14285714285714285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dLbl>
          <c:idx val="0"/>
          <c:layout>
            <c:manualLayout>
              <c:x val="7.1471180793949152E-3"/>
              <c:y val="0.20476190476190476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8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-3.5735590396974901E-3"/>
              <c:y val="0.1285714285714284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layout>
            <c:manualLayout>
              <c:x val="1.0720677119092373E-2"/>
              <c:y val="0.2190476190476190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9215686274509803E-2"/>
          <c:y val="0.19435483330541128"/>
          <c:w val="0.92156862745098034"/>
          <c:h val="0.5260972803931423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'4.data'!$B$25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6B2-4494-BFC9-0E5BF8B86300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26B2-4494-BFC9-0E5BF8B86300}"/>
              </c:ext>
            </c:extLst>
          </c:dPt>
          <c:dLbls>
            <c:dLbl>
              <c:idx val="0"/>
              <c:layout>
                <c:manualLayout>
                  <c:x val="-3.5735590396974901E-3"/>
                  <c:y val="0.1285714285714284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B2-4494-BFC9-0E5BF8B86300}"/>
                </c:ext>
              </c:extLst>
            </c:dLbl>
            <c:dLbl>
              <c:idx val="1"/>
              <c:layout>
                <c:manualLayout>
                  <c:x val="1.0720677119092373E-2"/>
                  <c:y val="0.219047619047619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B2-4494-BFC9-0E5BF8B863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'4.data'!$A$26:$A$28</c:f>
              <c:strCache>
                <c:ptCount val="2"/>
                <c:pt idx="0">
                  <c:v>online</c:v>
                </c:pt>
                <c:pt idx="1">
                  <c:v>loja</c:v>
                </c:pt>
              </c:strCache>
            </c:strRef>
          </c:cat>
          <c:val>
            <c:numRef>
              <c:f>'4.data'!$B$26:$B$28</c:f>
              <c:numCache>
                <c:formatCode>General</c:formatCode>
                <c:ptCount val="2"/>
                <c:pt idx="0">
                  <c:v>328</c:v>
                </c:pt>
                <c:pt idx="1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B2-4494-BFC9-0E5BF8B8630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20059567"/>
        <c:axId val="2020067055"/>
        <c:axId val="0"/>
      </c:bar3DChart>
      <c:catAx>
        <c:axId val="2020059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none" spc="0" normalizeH="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pt-BR"/>
          </a:p>
        </c:txPr>
        <c:crossAx val="2020067055"/>
        <c:crosses val="autoZero"/>
        <c:auto val="1"/>
        <c:lblAlgn val="ctr"/>
        <c:lblOffset val="100"/>
        <c:noMultiLvlLbl val="0"/>
      </c:catAx>
      <c:valAx>
        <c:axId val="20200670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202005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[painel_ficticio_leads_crediamigo_2025.xlsx]1.geral!Tabela dinâmica7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pt-BR" b="1">
                <a:solidFill>
                  <a:schemeClr val="bg2">
                    <a:lumMod val="25000"/>
                  </a:schemeClr>
                </a:solidFill>
              </a:rPr>
              <a:t>Total de Leads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2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90033"/>
          </a:solidFill>
          <a:ln w="76200">
            <a:solidFill>
              <a:srgbClr val="990033"/>
            </a:solidFill>
          </a:ln>
          <a:effectLst/>
        </c:spPr>
      </c:pivotFmt>
      <c:pivotFmt>
        <c:idx val="4"/>
        <c:spPr>
          <a:solidFill>
            <a:srgbClr val="ED7D31"/>
          </a:solidFill>
          <a:ln w="76200">
            <a:solidFill>
              <a:srgbClr val="ED7D31"/>
            </a:solidFill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D31"/>
          </a:solidFill>
          <a:ln w="76200">
            <a:solidFill>
              <a:srgbClr val="ED7D31"/>
            </a:solidFill>
          </a:ln>
          <a:effectLst/>
        </c:spPr>
      </c:pivotFmt>
      <c:pivotFmt>
        <c:idx val="7"/>
        <c:spPr>
          <a:solidFill>
            <a:srgbClr val="990033"/>
          </a:solidFill>
          <a:ln w="76200">
            <a:solidFill>
              <a:srgbClr val="990033"/>
            </a:solidFill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D7D31"/>
          </a:solidFill>
          <a:ln w="76200">
            <a:solidFill>
              <a:srgbClr val="ED7D31"/>
            </a:solidFill>
          </a:ln>
          <a:effectLst/>
        </c:spPr>
      </c:pivotFmt>
      <c:pivotFmt>
        <c:idx val="10"/>
        <c:spPr>
          <a:solidFill>
            <a:srgbClr val="990033"/>
          </a:solidFill>
          <a:ln w="76200">
            <a:solidFill>
              <a:srgbClr val="990033"/>
            </a:solidFill>
          </a:ln>
          <a:effectLst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E284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D7D31"/>
          </a:solidFill>
          <a:ln w="76200">
            <a:solidFill>
              <a:srgbClr val="ED7D31"/>
            </a:solidFill>
          </a:ln>
          <a:effectLst/>
        </c:spPr>
      </c:pivotFmt>
      <c:pivotFmt>
        <c:idx val="13"/>
        <c:spPr>
          <a:solidFill>
            <a:srgbClr val="990033"/>
          </a:solidFill>
          <a:ln w="76200">
            <a:solidFill>
              <a:srgbClr val="990033"/>
            </a:solidFill>
          </a:ln>
          <a:effectLst/>
        </c:spPr>
      </c:pivotFmt>
      <c:pivotFmt>
        <c:idx val="14"/>
        <c:spPr>
          <a:solidFill>
            <a:srgbClr val="156082">
              <a:lumMod val="50000"/>
            </a:srgbClr>
          </a:soli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773171596793643"/>
          <c:y val="0.25135687914529359"/>
          <c:w val="0.67660807263956868"/>
          <c:h val="0.51938793957809215"/>
        </c:manualLayout>
      </c:layout>
      <c:doughnutChart>
        <c:varyColors val="1"/>
        <c:ser>
          <c:idx val="0"/>
          <c:order val="0"/>
          <c:tx>
            <c:strRef>
              <c:f>'1.geral'!$B$46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6C-4292-B113-AFC23363E352}"/>
              </c:ext>
            </c:extLst>
          </c:dPt>
          <c:dPt>
            <c:idx val="1"/>
            <c:bubble3D val="0"/>
            <c:spPr>
              <a:solidFill>
                <a:srgbClr val="156082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6C-4292-B113-AFC23363E35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0C8-47F8-AD55-9C1E5C626D32}"/>
              </c:ext>
            </c:extLst>
          </c:dPt>
          <c:dLbls>
            <c:dLbl>
              <c:idx val="0"/>
              <c:spPr>
                <a:solidFill>
                  <a:srgbClr val="15608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D66C-4292-B113-AFC23363E352}"/>
                </c:ext>
              </c:extLst>
            </c:dLbl>
            <c:spPr>
              <a:solidFill>
                <a:srgbClr val="0E284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'1.geral'!$A$47:$A$49</c:f>
              <c:strCache>
                <c:ptCount val="2"/>
                <c:pt idx="0">
                  <c:v>online</c:v>
                </c:pt>
                <c:pt idx="1">
                  <c:v>loja</c:v>
                </c:pt>
              </c:strCache>
            </c:strRef>
          </c:cat>
          <c:val>
            <c:numRef>
              <c:f>'1.geral'!$B$47:$B$49</c:f>
              <c:numCache>
                <c:formatCode>General</c:formatCode>
                <c:ptCount val="2"/>
                <c:pt idx="0">
                  <c:v>978</c:v>
                </c:pt>
                <c:pt idx="1">
                  <c:v>1022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6C-4292-B113-AFC23363E35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[painel_ficticio_leads_crediamigo_2025.xlsx]1.geral!Tabela dinâmica9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pt-BR" b="1">
                <a:solidFill>
                  <a:schemeClr val="bg2">
                    <a:lumMod val="25000"/>
                  </a:schemeClr>
                </a:solidFill>
              </a:rPr>
              <a:t>Negócios por Origem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bg2">
                  <a:lumMod val="2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90033"/>
          </a:solidFill>
          <a:ln w="76200">
            <a:solidFill>
              <a:srgbClr val="990033"/>
            </a:solidFill>
          </a:ln>
          <a:effectLst/>
        </c:spPr>
      </c:pivotFmt>
      <c:pivotFmt>
        <c:idx val="4"/>
        <c:spPr>
          <a:solidFill>
            <a:srgbClr val="ED7D31"/>
          </a:solidFill>
          <a:ln w="76200">
            <a:solidFill>
              <a:srgbClr val="ED7D31"/>
            </a:solidFill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D7D31"/>
          </a:solidFill>
          <a:ln w="76200">
            <a:solidFill>
              <a:srgbClr val="ED7D31"/>
            </a:solidFill>
          </a:ln>
          <a:effectLst/>
        </c:spPr>
      </c:pivotFmt>
      <c:pivotFmt>
        <c:idx val="7"/>
        <c:spPr>
          <a:solidFill>
            <a:srgbClr val="990033"/>
          </a:solidFill>
          <a:ln w="76200">
            <a:solidFill>
              <a:srgbClr val="990033"/>
            </a:solidFill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ED7D31"/>
          </a:solidFill>
          <a:ln w="76200">
            <a:solidFill>
              <a:srgbClr val="ED7D31"/>
            </a:solidFill>
          </a:ln>
          <a:effectLst/>
        </c:spPr>
      </c:pivotFmt>
      <c:pivotFmt>
        <c:idx val="10"/>
        <c:spPr>
          <a:solidFill>
            <a:srgbClr val="990033"/>
          </a:solidFill>
          <a:ln w="76200">
            <a:solidFill>
              <a:srgbClr val="990033"/>
            </a:solidFill>
          </a:ln>
          <a:effectLst/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0E2841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ED7D31"/>
          </a:solidFill>
          <a:ln w="76200">
            <a:solidFill>
              <a:srgbClr val="ED7D31"/>
            </a:solidFill>
          </a:ln>
          <a:effectLst/>
        </c:spPr>
      </c:pivotFmt>
      <c:pivotFmt>
        <c:idx val="13"/>
        <c:spPr>
          <a:solidFill>
            <a:srgbClr val="990033"/>
          </a:solidFill>
          <a:ln w="76200">
            <a:solidFill>
              <a:srgbClr val="990033"/>
            </a:solidFill>
          </a:ln>
          <a:effectLst/>
        </c:spPr>
      </c:pivotFmt>
      <c:pivotFmt>
        <c:idx val="14"/>
        <c:spPr>
          <a:solidFill>
            <a:srgbClr val="156082">
              <a:lumMod val="50000"/>
            </a:srgbClr>
          </a:soli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dLbl>
          <c:idx val="0"/>
          <c:spPr>
            <a:solidFill>
              <a:srgbClr val="156082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9773171596793643"/>
          <c:y val="0.25135687914529359"/>
          <c:w val="0.67660807263956868"/>
          <c:h val="0.51938793957809215"/>
        </c:manualLayout>
      </c:layout>
      <c:doughnutChart>
        <c:varyColors val="1"/>
        <c:ser>
          <c:idx val="0"/>
          <c:order val="0"/>
          <c:tx>
            <c:strRef>
              <c:f>'1.geral'!$B$52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31D-4076-BFEB-305639D9F7F1}"/>
              </c:ext>
            </c:extLst>
          </c:dPt>
          <c:dPt>
            <c:idx val="1"/>
            <c:bubble3D val="0"/>
            <c:spPr>
              <a:solidFill>
                <a:srgbClr val="156082">
                  <a:lumMod val="5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D-4076-BFEB-305639D9F7F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9C-4566-BC6E-F29F80422795}"/>
              </c:ext>
            </c:extLst>
          </c:dPt>
          <c:dLbls>
            <c:dLbl>
              <c:idx val="0"/>
              <c:spPr>
                <a:solidFill>
                  <a:srgbClr val="156082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31D-4076-BFEB-305639D9F7F1}"/>
                </c:ext>
              </c:extLst>
            </c:dLbl>
            <c:spPr>
              <a:solidFill>
                <a:srgbClr val="0E284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'1.geral'!$A$53:$A$55</c:f>
              <c:strCache>
                <c:ptCount val="2"/>
                <c:pt idx="0">
                  <c:v>online</c:v>
                </c:pt>
                <c:pt idx="1">
                  <c:v>loja</c:v>
                </c:pt>
              </c:strCache>
            </c:strRef>
          </c:cat>
          <c:val>
            <c:numRef>
              <c:f>'1.geral'!$B$53:$B$55</c:f>
              <c:numCache>
                <c:formatCode>General</c:formatCode>
                <c:ptCount val="2"/>
                <c:pt idx="0">
                  <c:v>328</c:v>
                </c:pt>
                <c:pt idx="1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1D-4076-BFEB-305639D9F7F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2"/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[painel_ficticio_leads_crediamigo_2025.xlsx]2.canal!Tabela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pt-BR" sz="1400">
                <a:solidFill>
                  <a:schemeClr val="bg2">
                    <a:lumMod val="25000"/>
                  </a:schemeClr>
                </a:solidFill>
                <a:latin typeface="Trebuchet MS" panose="020B0603020202020204" pitchFamily="34" charset="0"/>
              </a:rPr>
              <a:t>Negócios por Mídias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2">
                  <a:lumMod val="2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tx1">
                  <a:lumMod val="75000"/>
                  <a:lumOff val="25000"/>
                  <a:shade val="30000"/>
                  <a:satMod val="115000"/>
                </a:schemeClr>
              </a:gs>
              <a:gs pos="50000">
                <a:schemeClr val="tx1">
                  <a:lumMod val="75000"/>
                  <a:lumOff val="25000"/>
                  <a:shade val="67500"/>
                  <a:satMod val="115000"/>
                </a:schemeClr>
              </a:gs>
              <a:gs pos="100000">
                <a:schemeClr val="tx1">
                  <a:lumMod val="75000"/>
                  <a:lumOff val="25000"/>
                  <a:shade val="100000"/>
                  <a:satMod val="115000"/>
                </a:schemeClr>
              </a:gs>
            </a:gsLst>
            <a:lin ang="0" scaled="1"/>
            <a:tileRect/>
          </a:gra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'2.canal'!$B$3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tx1">
                    <a:lumMod val="75000"/>
                    <a:lumOff val="25000"/>
                    <a:shade val="30000"/>
                    <a:satMod val="115000"/>
                  </a:schemeClr>
                </a:gs>
                <a:gs pos="50000">
                  <a:schemeClr val="tx1">
                    <a:lumMod val="75000"/>
                    <a:lumOff val="25000"/>
                    <a:shade val="67500"/>
                    <a:satMod val="115000"/>
                  </a:schemeClr>
                </a:gs>
                <a:gs pos="100000">
                  <a:schemeClr val="tx1">
                    <a:lumMod val="75000"/>
                    <a:lumOff val="25000"/>
                    <a:shade val="100000"/>
                    <a:satMod val="115000"/>
                  </a:schemeClr>
                </a:gs>
              </a:gsLst>
              <a:lin ang="0" scaled="1"/>
              <a:tileRect/>
            </a:gra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'2.canal'!$A$4:$A$8</c:f>
              <c:strCache>
                <c:ptCount val="4"/>
                <c:pt idx="0">
                  <c:v>Instagram</c:v>
                </c:pt>
                <c:pt idx="1">
                  <c:v>Panfleto</c:v>
                </c:pt>
                <c:pt idx="2">
                  <c:v>Outdoor</c:v>
                </c:pt>
                <c:pt idx="3">
                  <c:v>Indicação</c:v>
                </c:pt>
              </c:strCache>
            </c:strRef>
          </c:cat>
          <c:val>
            <c:numRef>
              <c:f>'2.canal'!$B$4:$B$8</c:f>
              <c:numCache>
                <c:formatCode>General</c:formatCode>
                <c:ptCount val="4"/>
                <c:pt idx="0">
                  <c:v>154</c:v>
                </c:pt>
                <c:pt idx="1">
                  <c:v>173</c:v>
                </c:pt>
                <c:pt idx="2">
                  <c:v>193</c:v>
                </c:pt>
                <c:pt idx="3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CC-4710-9414-E198A952D34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10414671"/>
        <c:axId val="310421743"/>
      </c:barChart>
      <c:catAx>
        <c:axId val="310414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pt-BR"/>
          </a:p>
        </c:txPr>
        <c:crossAx val="310421743"/>
        <c:crosses val="autoZero"/>
        <c:auto val="1"/>
        <c:lblAlgn val="ctr"/>
        <c:lblOffset val="100"/>
        <c:noMultiLvlLbl val="0"/>
      </c:catAx>
      <c:valAx>
        <c:axId val="3104217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041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[painel_ficticio_leads_crediamigo_2025.xlsx]3.regiao!Tabela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2">
                    <a:lumMod val="25000"/>
                  </a:schemeClr>
                </a:solidFill>
                <a:effectLst/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pt-BR"/>
              <a:t>Negócios por Estado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bg2">
                  <a:lumMod val="25000"/>
                </a:schemeClr>
              </a:solidFill>
              <a:effectLst/>
              <a:latin typeface="Trebuchet MS" panose="020B06030202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</c:pivotFmt>
      <c:pivotFmt>
        <c:idx val="9"/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</c:pivotFmt>
      <c:pivotFmt>
        <c:idx val="13"/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>
            <a:gsLst>
              <a:gs pos="0">
                <a:schemeClr val="accent1"/>
              </a:gs>
              <a:gs pos="100000">
                <a:schemeClr val="accent1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E2841"/>
          </a:soli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'3.regiao'!$B$19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E2841"/>
            </a:soli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'3.regiao'!$A$20:$A$30</c:f>
              <c:strCache>
                <c:ptCount val="10"/>
                <c:pt idx="0">
                  <c:v>CE</c:v>
                </c:pt>
                <c:pt idx="1">
                  <c:v>PE</c:v>
                </c:pt>
                <c:pt idx="2">
                  <c:v>PR</c:v>
                </c:pt>
                <c:pt idx="3">
                  <c:v>PA</c:v>
                </c:pt>
                <c:pt idx="4">
                  <c:v>BA</c:v>
                </c:pt>
                <c:pt idx="5">
                  <c:v>RO</c:v>
                </c:pt>
                <c:pt idx="6">
                  <c:v>RS</c:v>
                </c:pt>
                <c:pt idx="7">
                  <c:v>AM</c:v>
                </c:pt>
                <c:pt idx="8">
                  <c:v>SC</c:v>
                </c:pt>
                <c:pt idx="9">
                  <c:v>RN</c:v>
                </c:pt>
              </c:strCache>
            </c:strRef>
          </c:cat>
          <c:val>
            <c:numRef>
              <c:f>'3.regiao'!$B$20:$B$30</c:f>
              <c:numCache>
                <c:formatCode>General</c:formatCode>
                <c:ptCount val="10"/>
                <c:pt idx="0">
                  <c:v>113</c:v>
                </c:pt>
                <c:pt idx="1">
                  <c:v>107</c:v>
                </c:pt>
                <c:pt idx="2">
                  <c:v>73</c:v>
                </c:pt>
                <c:pt idx="3">
                  <c:v>72</c:v>
                </c:pt>
                <c:pt idx="4">
                  <c:v>63</c:v>
                </c:pt>
                <c:pt idx="5">
                  <c:v>62</c:v>
                </c:pt>
                <c:pt idx="6">
                  <c:v>62</c:v>
                </c:pt>
                <c:pt idx="7">
                  <c:v>57</c:v>
                </c:pt>
                <c:pt idx="8">
                  <c:v>55</c:v>
                </c:pt>
                <c:pt idx="9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86-490C-9300-9DE0C2B209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10414671"/>
        <c:axId val="310421743"/>
      </c:barChart>
      <c:catAx>
        <c:axId val="310414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Trebuchet MS" panose="020B0603020202020204" pitchFamily="34" charset="0"/>
                <a:ea typeface="+mn-ea"/>
                <a:cs typeface="+mn-cs"/>
              </a:defRPr>
            </a:pPr>
            <a:endParaRPr lang="pt-BR"/>
          </a:p>
        </c:txPr>
        <c:crossAx val="310421743"/>
        <c:crosses val="autoZero"/>
        <c:auto val="1"/>
        <c:lblAlgn val="ctr"/>
        <c:lblOffset val="100"/>
        <c:noMultiLvlLbl val="0"/>
      </c:catAx>
      <c:valAx>
        <c:axId val="31042174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0414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.xml"/><Relationship Id="rId3" Type="http://schemas.microsoft.com/office/2007/relationships/hdphoto" Target="../media/hdphoto1.wdp"/><Relationship Id="rId7" Type="http://schemas.openxmlformats.org/officeDocument/2006/relationships/chart" Target="../charts/chart5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10" Type="http://schemas.openxmlformats.org/officeDocument/2006/relationships/chart" Target="../charts/chart8.xml"/><Relationship Id="rId4" Type="http://schemas.openxmlformats.org/officeDocument/2006/relationships/chart" Target="../charts/chart2.xml"/><Relationship Id="rId9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10</xdr:row>
      <xdr:rowOff>57150</xdr:rowOff>
    </xdr:from>
    <xdr:to>
      <xdr:col>32</xdr:col>
      <xdr:colOff>57240</xdr:colOff>
      <xdr:row>40</xdr:row>
      <xdr:rowOff>85950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5C1B86A-7CAC-B801-B461-5A53CFC3F7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14</xdr:col>
      <xdr:colOff>162315</xdr:colOff>
      <xdr:row>8</xdr:row>
      <xdr:rowOff>69619</xdr:rowOff>
    </xdr:from>
    <xdr:ext cx="1028358" cy="24122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77FAD187-A668-477F-ACF5-6F5036B48836}"/>
            </a:ext>
          </a:extLst>
        </xdr:cNvPr>
        <xdr:cNvSpPr txBox="1"/>
      </xdr:nvSpPr>
      <xdr:spPr>
        <a:xfrm>
          <a:off x="2722635" y="1532659"/>
          <a:ext cx="1028358" cy="2412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000">
              <a:solidFill>
                <a:schemeClr val="bg1"/>
              </a:solidFill>
              <a:latin typeface="Trebuchet MS" panose="020B0603020202020204" pitchFamily="34" charset="0"/>
            </a:rPr>
            <a:t>Total</a:t>
          </a:r>
          <a:r>
            <a:rPr lang="pt-BR" sz="1000" baseline="0">
              <a:solidFill>
                <a:schemeClr val="bg1"/>
              </a:solidFill>
              <a:latin typeface="Trebuchet MS" panose="020B0603020202020204" pitchFamily="34" charset="0"/>
            </a:rPr>
            <a:t> de Leads</a:t>
          </a:r>
          <a:endParaRPr lang="pt-BR" sz="10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oneCellAnchor>
  <xdr:twoCellAnchor>
    <xdr:from>
      <xdr:col>10</xdr:col>
      <xdr:colOff>156079</xdr:colOff>
      <xdr:row>4</xdr:row>
      <xdr:rowOff>181149</xdr:rowOff>
    </xdr:from>
    <xdr:to>
      <xdr:col>24</xdr:col>
      <xdr:colOff>128250</xdr:colOff>
      <xdr:row>9</xdr:row>
      <xdr:rowOff>99754</xdr:rowOff>
    </xdr:to>
    <xdr:sp macro="" textlink="'1.geral'!E19">
      <xdr:nvSpPr>
        <xdr:cNvPr id="20" name="Retângulo Arredondado 12">
          <a:extLst>
            <a:ext uri="{FF2B5EF4-FFF2-40B4-BE49-F238E27FC236}">
              <a16:creationId xmlns:a16="http://schemas.microsoft.com/office/drawing/2014/main" id="{45CC1DEC-1FED-4BCD-9FD5-AB35744FCE2B}"/>
            </a:ext>
          </a:extLst>
        </xdr:cNvPr>
        <xdr:cNvSpPr/>
      </xdr:nvSpPr>
      <xdr:spPr>
        <a:xfrm>
          <a:off x="1984879" y="912669"/>
          <a:ext cx="2532491" cy="833005"/>
        </a:xfrm>
        <a:prstGeom prst="roundRect">
          <a:avLst/>
        </a:prstGeom>
        <a:solidFill>
          <a:schemeClr val="accent1">
            <a:lumMod val="50000"/>
          </a:schemeClr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D7A9E357-BA7A-4C7E-B3BB-C608685FEE13}" type="TxLink">
            <a:rPr lang="en-US" sz="4000" b="1" i="0" u="none" strike="noStrike">
              <a:solidFill>
                <a:schemeClr val="bg1"/>
              </a:solidFill>
              <a:latin typeface="Trebuchet MS" panose="020B0603020202020204" pitchFamily="34" charset="0"/>
              <a:ea typeface="Calibri"/>
              <a:cs typeface="Calibri"/>
            </a:rPr>
            <a:pPr marL="0" indent="0" algn="ctr"/>
            <a:t>2000</a:t>
          </a:fld>
          <a:endParaRPr lang="pt-BR" sz="4000" b="1" i="0" u="none" strike="noStrike">
            <a:solidFill>
              <a:schemeClr val="bg1"/>
            </a:solidFill>
            <a:latin typeface="Trebuchet MS" panose="020B0603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40</xdr:col>
      <xdr:colOff>113649</xdr:colOff>
      <xdr:row>5</xdr:row>
      <xdr:rowOff>7794</xdr:rowOff>
    </xdr:from>
    <xdr:to>
      <xdr:col>54</xdr:col>
      <xdr:colOff>82356</xdr:colOff>
      <xdr:row>9</xdr:row>
      <xdr:rowOff>112742</xdr:rowOff>
    </xdr:to>
    <xdr:sp macro="" textlink="'1.geral'!D42">
      <xdr:nvSpPr>
        <xdr:cNvPr id="21" name="Retângulo Arredondado 13">
          <a:extLst>
            <a:ext uri="{FF2B5EF4-FFF2-40B4-BE49-F238E27FC236}">
              <a16:creationId xmlns:a16="http://schemas.microsoft.com/office/drawing/2014/main" id="{BE666DDE-D70D-4AEB-B6DC-BE63B6C4D107}"/>
            </a:ext>
          </a:extLst>
        </xdr:cNvPr>
        <xdr:cNvSpPr/>
      </xdr:nvSpPr>
      <xdr:spPr>
        <a:xfrm>
          <a:off x="7428849" y="922194"/>
          <a:ext cx="2529027" cy="836468"/>
        </a:xfrm>
        <a:prstGeom prst="roundRect">
          <a:avLst/>
        </a:prstGeom>
        <a:solidFill>
          <a:schemeClr val="accent1">
            <a:lumMod val="50000"/>
          </a:schemeClr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6B07C65A-1345-4F6E-A0EA-F461E9569EB1}" type="TxLink">
            <a:rPr lang="en-US" sz="4000" b="1" i="0" u="none" strike="noStrike">
              <a:solidFill>
                <a:schemeClr val="bg1"/>
              </a:solidFill>
              <a:latin typeface="Trebuchet MS" panose="020B0603020202020204" pitchFamily="34" charset="0"/>
              <a:ea typeface="Calibri"/>
              <a:cs typeface="Calibri"/>
            </a:rPr>
            <a:pPr marL="0" indent="0" algn="ctr"/>
            <a:t>35,70%</a:t>
          </a:fld>
          <a:endParaRPr lang="pt-BR" sz="4000" b="1" i="0" u="none" strike="noStrike">
            <a:solidFill>
              <a:schemeClr val="bg1"/>
            </a:solidFill>
            <a:latin typeface="Trebuchet MS" panose="020B0603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25</xdr:col>
      <xdr:colOff>141358</xdr:colOff>
      <xdr:row>4</xdr:row>
      <xdr:rowOff>181148</xdr:rowOff>
    </xdr:from>
    <xdr:to>
      <xdr:col>39</xdr:col>
      <xdr:colOff>110065</xdr:colOff>
      <xdr:row>9</xdr:row>
      <xdr:rowOff>122266</xdr:rowOff>
    </xdr:to>
    <xdr:sp macro="" textlink="'1.geral'!C42">
      <xdr:nvSpPr>
        <xdr:cNvPr id="22" name="Retângulo Arredondado 10">
          <a:extLst>
            <a:ext uri="{FF2B5EF4-FFF2-40B4-BE49-F238E27FC236}">
              <a16:creationId xmlns:a16="http://schemas.microsoft.com/office/drawing/2014/main" id="{EA7D99F3-1D18-405F-869D-62BAB0B31D8C}"/>
            </a:ext>
          </a:extLst>
        </xdr:cNvPr>
        <xdr:cNvSpPr/>
      </xdr:nvSpPr>
      <xdr:spPr>
        <a:xfrm>
          <a:off x="4713358" y="912668"/>
          <a:ext cx="2529027" cy="855518"/>
        </a:xfrm>
        <a:prstGeom prst="roundRect">
          <a:avLst/>
        </a:prstGeom>
        <a:solidFill>
          <a:schemeClr val="accent1">
            <a:lumMod val="50000"/>
          </a:schemeClr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A181F3DE-E3AA-41DD-9899-11861E189978}" type="TxLink">
            <a:rPr lang="en-US" sz="4000" b="1" i="0" u="none" strike="noStrike">
              <a:solidFill>
                <a:schemeClr val="bg1"/>
              </a:solidFill>
              <a:latin typeface="Trebuchet MS" panose="020B0603020202020204" pitchFamily="34" charset="0"/>
              <a:ea typeface="Calibri"/>
              <a:cs typeface="Calibri"/>
            </a:rPr>
            <a:pPr marL="0" indent="0" algn="ctr"/>
            <a:t>714</a:t>
          </a:fld>
          <a:endParaRPr lang="pt-BR" sz="4000" b="1" i="0" u="none" strike="noStrike">
            <a:solidFill>
              <a:schemeClr val="bg1"/>
            </a:solidFill>
            <a:latin typeface="Trebuchet MS" panose="020B0603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77</xdr:col>
      <xdr:colOff>46629</xdr:colOff>
      <xdr:row>4</xdr:row>
      <xdr:rowOff>181148</xdr:rowOff>
    </xdr:from>
    <xdr:to>
      <xdr:col>87</xdr:col>
      <xdr:colOff>30177</xdr:colOff>
      <xdr:row>9</xdr:row>
      <xdr:rowOff>112741</xdr:rowOff>
    </xdr:to>
    <xdr:sp macro="" textlink="'4.data'!D26">
      <xdr:nvSpPr>
        <xdr:cNvPr id="23" name="Retângulo Arredondado 15">
          <a:extLst>
            <a:ext uri="{FF2B5EF4-FFF2-40B4-BE49-F238E27FC236}">
              <a16:creationId xmlns:a16="http://schemas.microsoft.com/office/drawing/2014/main" id="{C50D0CC8-7C0D-4C6C-B8E5-9A39BE57A917}"/>
            </a:ext>
          </a:extLst>
        </xdr:cNvPr>
        <xdr:cNvSpPr/>
      </xdr:nvSpPr>
      <xdr:spPr>
        <a:xfrm>
          <a:off x="14128389" y="912668"/>
          <a:ext cx="1812348" cy="845993"/>
        </a:xfrm>
        <a:prstGeom prst="roundRect">
          <a:avLst/>
        </a:prstGeom>
        <a:solidFill>
          <a:schemeClr val="accent1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F317D8C-1893-499E-AB13-C402E28D6910}" type="TxLink">
            <a:rPr lang="en-US" sz="3600" b="1" i="0" u="none" strike="noStrike">
              <a:solidFill>
                <a:schemeClr val="bg1"/>
              </a:solidFill>
              <a:latin typeface="Trebuchet MS" panose="020B0603020202020204" pitchFamily="34" charset="0"/>
              <a:ea typeface="Calibri"/>
              <a:cs typeface="Calibri"/>
            </a:rPr>
            <a:pPr marL="0" indent="0" algn="ctr"/>
            <a:t>34%</a:t>
          </a:fld>
          <a:endParaRPr lang="pt-BR" sz="3600" b="1" i="0" u="none" strike="noStrike">
            <a:solidFill>
              <a:schemeClr val="bg1"/>
            </a:solidFill>
            <a:latin typeface="Trebuchet MS" panose="020B0603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55</xdr:col>
      <xdr:colOff>169762</xdr:colOff>
      <xdr:row>5</xdr:row>
      <xdr:rowOff>21128</xdr:rowOff>
    </xdr:from>
    <xdr:to>
      <xdr:col>75</xdr:col>
      <xdr:colOff>178421</xdr:colOff>
      <xdr:row>9</xdr:row>
      <xdr:rowOff>135601</xdr:rowOff>
    </xdr:to>
    <xdr:sp macro="" textlink="'5.unidades'!C4">
      <xdr:nvSpPr>
        <xdr:cNvPr id="24" name="Retângulo Arredondado 16">
          <a:extLst>
            <a:ext uri="{FF2B5EF4-FFF2-40B4-BE49-F238E27FC236}">
              <a16:creationId xmlns:a16="http://schemas.microsoft.com/office/drawing/2014/main" id="{DD9277B7-ABFF-479F-BB77-0331387C902E}"/>
            </a:ext>
          </a:extLst>
        </xdr:cNvPr>
        <xdr:cNvSpPr/>
      </xdr:nvSpPr>
      <xdr:spPr>
        <a:xfrm>
          <a:off x="10228162" y="935528"/>
          <a:ext cx="3666259" cy="845993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C1978773-6156-44CA-9598-26DA29B7CD4B}" type="TxLink">
            <a:rPr lang="en-US" sz="4000" b="1" i="0" u="none" strike="noStrike">
              <a:solidFill>
                <a:schemeClr val="bg1"/>
              </a:solidFill>
              <a:latin typeface="Trebuchet MS" panose="020B0603020202020204" pitchFamily="34" charset="0"/>
              <a:ea typeface="Calibri"/>
              <a:cs typeface="Calibri"/>
            </a:rPr>
            <a:pPr marL="0" indent="0" algn="ctr"/>
            <a:t>Oásis 2</a:t>
          </a:fld>
          <a:endParaRPr lang="pt-BR" sz="4000" b="1" i="0" u="none" strike="noStrike">
            <a:solidFill>
              <a:schemeClr val="bg1"/>
            </a:solidFill>
            <a:latin typeface="Trebuchet MS" panose="020B0603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146555</xdr:colOff>
      <xdr:row>0</xdr:row>
      <xdr:rowOff>79663</xdr:rowOff>
    </xdr:from>
    <xdr:to>
      <xdr:col>97</xdr:col>
      <xdr:colOff>154002</xdr:colOff>
      <xdr:row>4</xdr:row>
      <xdr:rowOff>95423</xdr:rowOff>
    </xdr:to>
    <xdr:sp macro="" textlink="">
      <xdr:nvSpPr>
        <xdr:cNvPr id="25" name="Retângulo Arredondado 9">
          <a:extLst>
            <a:ext uri="{FF2B5EF4-FFF2-40B4-BE49-F238E27FC236}">
              <a16:creationId xmlns:a16="http://schemas.microsoft.com/office/drawing/2014/main" id="{B4698ADC-5C9F-46DD-9EE9-FA77A37A4A5B}"/>
            </a:ext>
          </a:extLst>
        </xdr:cNvPr>
        <xdr:cNvSpPr/>
      </xdr:nvSpPr>
      <xdr:spPr>
        <a:xfrm>
          <a:off x="1924555" y="79663"/>
          <a:ext cx="15476047" cy="726960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11</xdr:col>
      <xdr:colOff>144766</xdr:colOff>
      <xdr:row>0</xdr:row>
      <xdr:rowOff>136813</xdr:rowOff>
    </xdr:from>
    <xdr:ext cx="2857500" cy="613501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6894253F-047F-4A0D-9594-430FCC8DACB4}"/>
            </a:ext>
          </a:extLst>
        </xdr:cNvPr>
        <xdr:cNvSpPr txBox="1"/>
      </xdr:nvSpPr>
      <xdr:spPr>
        <a:xfrm>
          <a:off x="2100566" y="136813"/>
          <a:ext cx="2857500" cy="6135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3500" b="1">
              <a:solidFill>
                <a:schemeClr val="bg1"/>
              </a:solidFill>
              <a:latin typeface="Trebuchet MS" panose="020B0603020202020204" pitchFamily="34" charset="0"/>
            </a:rPr>
            <a:t>LEADS 2025</a:t>
          </a:r>
        </a:p>
      </xdr:txBody>
    </xdr:sp>
    <xdr:clientData/>
  </xdr:oneCellAnchor>
  <xdr:oneCellAnchor>
    <xdr:from>
      <xdr:col>14</xdr:col>
      <xdr:colOff>116595</xdr:colOff>
      <xdr:row>8</xdr:row>
      <xdr:rowOff>49299</xdr:rowOff>
    </xdr:from>
    <xdr:ext cx="1196931" cy="271036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4DB2F293-8899-4499-BAAA-DC9D36029455}"/>
            </a:ext>
          </a:extLst>
        </xdr:cNvPr>
        <xdr:cNvSpPr txBox="1"/>
      </xdr:nvSpPr>
      <xdr:spPr>
        <a:xfrm>
          <a:off x="2605795" y="1471699"/>
          <a:ext cx="119693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>
              <a:solidFill>
                <a:schemeClr val="bg1"/>
              </a:solidFill>
              <a:latin typeface="Trebuchet MS" panose="020B0603020202020204" pitchFamily="34" charset="0"/>
            </a:rPr>
            <a:t>Total</a:t>
          </a:r>
          <a:r>
            <a:rPr lang="pt-BR" sz="1200" baseline="0">
              <a:solidFill>
                <a:schemeClr val="bg1"/>
              </a:solidFill>
              <a:latin typeface="Trebuchet MS" panose="020B0603020202020204" pitchFamily="34" charset="0"/>
            </a:rPr>
            <a:t> de Leads</a:t>
          </a:r>
          <a:endParaRPr lang="pt-BR" sz="1200">
            <a:solidFill>
              <a:schemeClr val="bg1"/>
            </a:solidFill>
            <a:latin typeface="Trebuchet MS" panose="020B0603020202020204" pitchFamily="34" charset="0"/>
          </a:endParaRPr>
        </a:p>
      </xdr:txBody>
    </xdr:sp>
    <xdr:clientData/>
  </xdr:oneCellAnchor>
  <xdr:oneCellAnchor>
    <xdr:from>
      <xdr:col>29</xdr:col>
      <xdr:colOff>77456</xdr:colOff>
      <xdr:row>8</xdr:row>
      <xdr:rowOff>60094</xdr:rowOff>
    </xdr:from>
    <xdr:ext cx="1552861" cy="271036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A1A9BD83-8180-4763-8CC2-181A4BC7C4A3}"/>
            </a:ext>
          </a:extLst>
        </xdr:cNvPr>
        <xdr:cNvSpPr txBox="1"/>
      </xdr:nvSpPr>
      <xdr:spPr>
        <a:xfrm>
          <a:off x="5233656" y="1482494"/>
          <a:ext cx="1552861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>
              <a:solidFill>
                <a:schemeClr val="bg1"/>
              </a:solidFill>
              <a:latin typeface="Trebuchet MS" panose="020B0603020202020204" pitchFamily="34" charset="0"/>
            </a:rPr>
            <a:t>Negócios Efetivados</a:t>
          </a:r>
        </a:p>
      </xdr:txBody>
    </xdr:sp>
    <xdr:clientData/>
  </xdr:oneCellAnchor>
  <xdr:oneCellAnchor>
    <xdr:from>
      <xdr:col>46</xdr:col>
      <xdr:colOff>149730</xdr:colOff>
      <xdr:row>8</xdr:row>
      <xdr:rowOff>31519</xdr:rowOff>
    </xdr:from>
    <xdr:ext cx="1178464" cy="271036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F3E9ACD6-6BA2-4E8C-8278-0E97A4EE464B}"/>
            </a:ext>
          </a:extLst>
        </xdr:cNvPr>
        <xdr:cNvSpPr txBox="1"/>
      </xdr:nvSpPr>
      <xdr:spPr>
        <a:xfrm>
          <a:off x="8328530" y="1453919"/>
          <a:ext cx="1178464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200">
              <a:solidFill>
                <a:schemeClr val="bg1"/>
              </a:solidFill>
              <a:latin typeface="Trebuchet MS" panose="020B0603020202020204" pitchFamily="34" charset="0"/>
            </a:rPr>
            <a:t>%  de negócios</a:t>
          </a:r>
        </a:p>
      </xdr:txBody>
    </xdr:sp>
    <xdr:clientData/>
  </xdr:oneCellAnchor>
  <xdr:oneCellAnchor>
    <xdr:from>
      <xdr:col>79</xdr:col>
      <xdr:colOff>11647</xdr:colOff>
      <xdr:row>8</xdr:row>
      <xdr:rowOff>31519</xdr:rowOff>
    </xdr:from>
    <xdr:ext cx="1400512" cy="271036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D71B72EE-5AAF-40EA-847D-27D4A1C5683B}"/>
            </a:ext>
          </a:extLst>
        </xdr:cNvPr>
        <xdr:cNvSpPr txBox="1"/>
      </xdr:nvSpPr>
      <xdr:spPr>
        <a:xfrm>
          <a:off x="14057847" y="1453919"/>
          <a:ext cx="1400512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pt-BR" sz="1200">
              <a:solidFill>
                <a:schemeClr val="bg1"/>
              </a:solidFill>
              <a:latin typeface="Trebuchet MS" panose="020B0603020202020204" pitchFamily="34" charset="0"/>
              <a:ea typeface="+mn-ea"/>
              <a:cs typeface="+mn-cs"/>
            </a:rPr>
            <a:t>% Negócios</a:t>
          </a:r>
          <a:r>
            <a:rPr lang="pt-BR" sz="1200" baseline="0">
              <a:solidFill>
                <a:schemeClr val="bg1"/>
              </a:solidFill>
              <a:latin typeface="Trebuchet MS" panose="020B0603020202020204" pitchFamily="34" charset="0"/>
              <a:ea typeface="+mn-ea"/>
              <a:cs typeface="+mn-cs"/>
            </a:rPr>
            <a:t> online</a:t>
          </a:r>
          <a:endParaRPr lang="pt-BR" sz="1200">
            <a:solidFill>
              <a:schemeClr val="bg1"/>
            </a:solidFill>
            <a:latin typeface="Trebuchet MS" panose="020B0603020202020204" pitchFamily="34" charset="0"/>
            <a:ea typeface="+mn-ea"/>
            <a:cs typeface="+mn-cs"/>
          </a:endParaRPr>
        </a:p>
      </xdr:txBody>
    </xdr:sp>
    <xdr:clientData/>
  </xdr:oneCellAnchor>
  <xdr:oneCellAnchor>
    <xdr:from>
      <xdr:col>61</xdr:col>
      <xdr:colOff>61120</xdr:colOff>
      <xdr:row>8</xdr:row>
      <xdr:rowOff>75738</xdr:rowOff>
    </xdr:from>
    <xdr:ext cx="1831180" cy="254462"/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88A3D9F5-4BD4-4AD5-A539-606092F2ED8D}"/>
            </a:ext>
          </a:extLst>
        </xdr:cNvPr>
        <xdr:cNvSpPr txBox="1"/>
      </xdr:nvSpPr>
      <xdr:spPr>
        <a:xfrm>
          <a:off x="10906920" y="1498138"/>
          <a:ext cx="1831180" cy="25446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indent="0"/>
          <a:r>
            <a:rPr lang="pt-BR" sz="1200">
              <a:solidFill>
                <a:schemeClr val="bg1"/>
              </a:solidFill>
              <a:latin typeface="Trebuchet MS" panose="020B0603020202020204" pitchFamily="34" charset="0"/>
              <a:ea typeface="+mn-ea"/>
              <a:cs typeface="+mn-cs"/>
            </a:rPr>
            <a:t>Filial com Mais </a:t>
          </a:r>
          <a:r>
            <a:rPr lang="pt-BR" sz="1200" baseline="0">
              <a:solidFill>
                <a:schemeClr val="bg1"/>
              </a:solidFill>
              <a:latin typeface="Trebuchet MS" panose="020B0603020202020204" pitchFamily="34" charset="0"/>
              <a:ea typeface="+mn-ea"/>
              <a:cs typeface="+mn-cs"/>
            </a:rPr>
            <a:t>Negócios</a:t>
          </a:r>
          <a:endParaRPr lang="pt-BR" sz="1200">
            <a:solidFill>
              <a:schemeClr val="bg1"/>
            </a:solidFill>
            <a:latin typeface="Trebuchet MS" panose="020B0603020202020204" pitchFamily="34" charset="0"/>
            <a:ea typeface="+mn-ea"/>
            <a:cs typeface="+mn-cs"/>
          </a:endParaRPr>
        </a:p>
      </xdr:txBody>
    </xdr:sp>
    <xdr:clientData/>
  </xdr:oneCellAnchor>
  <xdr:twoCellAnchor>
    <xdr:from>
      <xdr:col>0</xdr:col>
      <xdr:colOff>55880</xdr:colOff>
      <xdr:row>0</xdr:row>
      <xdr:rowOff>53340</xdr:rowOff>
    </xdr:from>
    <xdr:to>
      <xdr:col>9</xdr:col>
      <xdr:colOff>102928</xdr:colOff>
      <xdr:row>9</xdr:row>
      <xdr:rowOff>63499</xdr:rowOff>
    </xdr:to>
    <xdr:sp macro="" textlink="">
      <xdr:nvSpPr>
        <xdr:cNvPr id="32" name="Retângulo Arredondado 23">
          <a:extLst>
            <a:ext uri="{FF2B5EF4-FFF2-40B4-BE49-F238E27FC236}">
              <a16:creationId xmlns:a16="http://schemas.microsoft.com/office/drawing/2014/main" id="{6FCEF451-2F59-4408-9B74-B747E93D6514}"/>
            </a:ext>
          </a:extLst>
        </xdr:cNvPr>
        <xdr:cNvSpPr/>
      </xdr:nvSpPr>
      <xdr:spPr>
        <a:xfrm>
          <a:off x="55880" y="53340"/>
          <a:ext cx="1647248" cy="161035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2</xdr:col>
      <xdr:colOff>38100</xdr:colOff>
      <xdr:row>3</xdr:row>
      <xdr:rowOff>30131</xdr:rowOff>
    </xdr:from>
    <xdr:to>
      <xdr:col>8</xdr:col>
      <xdr:colOff>31819</xdr:colOff>
      <xdr:row>7</xdr:row>
      <xdr:rowOff>38143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F9C27B04-5DCE-426F-9C69-7B8591595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duotone>
            <a:schemeClr val="bg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0" r="100000">
                      <a14:foregroundMark x1="8611" y1="82114" x2="8611" y2="82114"/>
                      <a14:foregroundMark x1="3333" y1="86992" x2="18889" y2="74390"/>
                      <a14:foregroundMark x1="18333" y1="73171" x2="37222" y2="80894"/>
                      <a14:foregroundMark x1="37500" y1="83333" x2="91667" y2="38618"/>
                      <a14:foregroundMark x1="85833" y1="31301" x2="91111" y2="47967"/>
                    </a14:backgroundRemoval>
                  </a14:imgEffect>
                  <a14:imgEffect>
                    <a14:brightnessContrast bright="4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3700" y="563531"/>
          <a:ext cx="1060519" cy="719212"/>
        </a:xfrm>
        <a:prstGeom prst="rect">
          <a:avLst/>
        </a:prstGeom>
      </xdr:spPr>
    </xdr:pic>
    <xdr:clientData/>
  </xdr:twoCellAnchor>
  <xdr:twoCellAnchor>
    <xdr:from>
      <xdr:col>87</xdr:col>
      <xdr:colOff>128891</xdr:colOff>
      <xdr:row>4</xdr:row>
      <xdr:rowOff>171623</xdr:rowOff>
    </xdr:from>
    <xdr:to>
      <xdr:col>97</xdr:col>
      <xdr:colOff>112439</xdr:colOff>
      <xdr:row>9</xdr:row>
      <xdr:rowOff>99753</xdr:rowOff>
    </xdr:to>
    <xdr:sp macro="" textlink="'4.data'!D27">
      <xdr:nvSpPr>
        <xdr:cNvPr id="35" name="Retângulo Arredondado 25">
          <a:extLst>
            <a:ext uri="{FF2B5EF4-FFF2-40B4-BE49-F238E27FC236}">
              <a16:creationId xmlns:a16="http://schemas.microsoft.com/office/drawing/2014/main" id="{7736A9F2-54E9-4582-8A88-8E09B0FDA1D1}"/>
            </a:ext>
          </a:extLst>
        </xdr:cNvPr>
        <xdr:cNvSpPr/>
      </xdr:nvSpPr>
      <xdr:spPr>
        <a:xfrm>
          <a:off x="16039451" y="903143"/>
          <a:ext cx="1812348" cy="842530"/>
        </a:xfrm>
        <a:prstGeom prst="roundRect">
          <a:avLst/>
        </a:prstGeom>
        <a:solidFill>
          <a:schemeClr val="accent1"/>
        </a:solidFill>
        <a:ln w="19050">
          <a:noFill/>
        </a:ln>
        <a:effectLst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82C6C5AB-F8AF-4876-A18D-2A244AC68227}" type="TxLink">
            <a:rPr lang="en-US" sz="3600" b="1" i="0" u="none" strike="noStrike">
              <a:solidFill>
                <a:schemeClr val="bg1"/>
              </a:solidFill>
              <a:latin typeface="Trebuchet MS" panose="020B0603020202020204" pitchFamily="34" charset="0"/>
              <a:ea typeface="Calibri"/>
              <a:cs typeface="Calibri"/>
            </a:rPr>
            <a:pPr marL="0" indent="0" algn="ctr"/>
            <a:t>38%</a:t>
          </a:fld>
          <a:endParaRPr lang="pt-BR" sz="3600" b="1" i="0" u="none" strike="noStrike">
            <a:solidFill>
              <a:schemeClr val="bg1"/>
            </a:solidFill>
            <a:latin typeface="Trebuchet MS" panose="020B0603020202020204" pitchFamily="34" charset="0"/>
            <a:ea typeface="Calibri"/>
            <a:cs typeface="Calibri"/>
          </a:endParaRPr>
        </a:p>
      </xdr:txBody>
    </xdr:sp>
    <xdr:clientData/>
  </xdr:twoCellAnchor>
  <xdr:oneCellAnchor>
    <xdr:from>
      <xdr:col>89</xdr:col>
      <xdr:colOff>84383</xdr:colOff>
      <xdr:row>8</xdr:row>
      <xdr:rowOff>21994</xdr:rowOff>
    </xdr:from>
    <xdr:ext cx="1241878" cy="271036"/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FF850A1C-0622-4EC7-8AEF-9A7180B44E36}"/>
            </a:ext>
          </a:extLst>
        </xdr:cNvPr>
        <xdr:cNvSpPr txBox="1"/>
      </xdr:nvSpPr>
      <xdr:spPr>
        <a:xfrm>
          <a:off x="15908583" y="1444394"/>
          <a:ext cx="1241878" cy="2710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pt-BR" sz="1200">
              <a:solidFill>
                <a:schemeClr val="bg1"/>
              </a:solidFill>
              <a:latin typeface="Trebuchet MS" panose="020B0603020202020204" pitchFamily="34" charset="0"/>
              <a:ea typeface="+mn-ea"/>
              <a:cs typeface="+mn-cs"/>
            </a:rPr>
            <a:t>% Negócios loja</a:t>
          </a:r>
        </a:p>
      </xdr:txBody>
    </xdr:sp>
    <xdr:clientData/>
  </xdr:oneCellAnchor>
  <xdr:twoCellAnchor>
    <xdr:from>
      <xdr:col>32</xdr:col>
      <xdr:colOff>129540</xdr:colOff>
      <xdr:row>10</xdr:row>
      <xdr:rowOff>57150</xdr:rowOff>
    </xdr:from>
    <xdr:to>
      <xdr:col>54</xdr:col>
      <xdr:colOff>60960</xdr:colOff>
      <xdr:row>28</xdr:row>
      <xdr:rowOff>165100</xdr:rowOff>
    </xdr:to>
    <xdr:graphicFrame macro="">
      <xdr:nvGraphicFramePr>
        <xdr:cNvPr id="37" name="Gráfico 2">
          <a:extLst>
            <a:ext uri="{FF2B5EF4-FFF2-40B4-BE49-F238E27FC236}">
              <a16:creationId xmlns:a16="http://schemas.microsoft.com/office/drawing/2014/main" id="{179A7C30-03A2-B025-AF76-856C5B64F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56</xdr:col>
      <xdr:colOff>0</xdr:colOff>
      <xdr:row>10</xdr:row>
      <xdr:rowOff>80010</xdr:rowOff>
    </xdr:from>
    <xdr:to>
      <xdr:col>75</xdr:col>
      <xdr:colOff>175260</xdr:colOff>
      <xdr:row>24</xdr:row>
      <xdr:rowOff>76200</xdr:rowOff>
    </xdr:to>
    <xdr:graphicFrame macro="">
      <xdr:nvGraphicFramePr>
        <xdr:cNvPr id="38" name="Gráfico 1">
          <a:extLst>
            <a:ext uri="{FF2B5EF4-FFF2-40B4-BE49-F238E27FC236}">
              <a16:creationId xmlns:a16="http://schemas.microsoft.com/office/drawing/2014/main" id="{7BBFB3CA-3B0C-D42B-45E0-4AF2F017A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152400</xdr:colOff>
      <xdr:row>29</xdr:row>
      <xdr:rowOff>50800</xdr:rowOff>
    </xdr:from>
    <xdr:to>
      <xdr:col>54</xdr:col>
      <xdr:colOff>50800</xdr:colOff>
      <xdr:row>40</xdr:row>
      <xdr:rowOff>59690</xdr:rowOff>
    </xdr:to>
    <xdr:graphicFrame macro="">
      <xdr:nvGraphicFramePr>
        <xdr:cNvPr id="39" name="Gráfico 1">
          <a:extLst>
            <a:ext uri="{FF2B5EF4-FFF2-40B4-BE49-F238E27FC236}">
              <a16:creationId xmlns:a16="http://schemas.microsoft.com/office/drawing/2014/main" id="{B7425894-7B57-B143-7042-E053AD10E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77</xdr:col>
      <xdr:colOff>45720</xdr:colOff>
      <xdr:row>10</xdr:row>
      <xdr:rowOff>72390</xdr:rowOff>
    </xdr:from>
    <xdr:to>
      <xdr:col>87</xdr:col>
      <xdr:colOff>16920</xdr:colOff>
      <xdr:row>23</xdr:row>
      <xdr:rowOff>34950</xdr:rowOff>
    </xdr:to>
    <xdr:graphicFrame macro="">
      <xdr:nvGraphicFramePr>
        <xdr:cNvPr id="40" name="Gráfico 3">
          <a:extLst>
            <a:ext uri="{FF2B5EF4-FFF2-40B4-BE49-F238E27FC236}">
              <a16:creationId xmlns:a16="http://schemas.microsoft.com/office/drawing/2014/main" id="{22C8C6C4-48F9-9183-C320-8BB6704D7F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87</xdr:col>
      <xdr:colOff>152400</xdr:colOff>
      <xdr:row>10</xdr:row>
      <xdr:rowOff>72390</xdr:rowOff>
    </xdr:from>
    <xdr:to>
      <xdr:col>97</xdr:col>
      <xdr:colOff>123600</xdr:colOff>
      <xdr:row>23</xdr:row>
      <xdr:rowOff>34950</xdr:rowOff>
    </xdr:to>
    <xdr:graphicFrame macro="">
      <xdr:nvGraphicFramePr>
        <xdr:cNvPr id="41" name="Gráfico 4">
          <a:extLst>
            <a:ext uri="{FF2B5EF4-FFF2-40B4-BE49-F238E27FC236}">
              <a16:creationId xmlns:a16="http://schemas.microsoft.com/office/drawing/2014/main" id="{6E407930-8893-B30C-8D18-CCC12079E9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77</xdr:col>
      <xdr:colOff>45720</xdr:colOff>
      <xdr:row>23</xdr:row>
      <xdr:rowOff>165100</xdr:rowOff>
    </xdr:from>
    <xdr:to>
      <xdr:col>97</xdr:col>
      <xdr:colOff>106920</xdr:colOff>
      <xdr:row>40</xdr:row>
      <xdr:rowOff>88900</xdr:rowOff>
    </xdr:to>
    <xdr:graphicFrame macro="">
      <xdr:nvGraphicFramePr>
        <xdr:cNvPr id="42" name="Gráfico 1">
          <a:extLst>
            <a:ext uri="{FF2B5EF4-FFF2-40B4-BE49-F238E27FC236}">
              <a16:creationId xmlns:a16="http://schemas.microsoft.com/office/drawing/2014/main" id="{BF611490-5A90-59D4-A96F-9A23BB1D51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88900</xdr:colOff>
      <xdr:row>29</xdr:row>
      <xdr:rowOff>12700</xdr:rowOff>
    </xdr:from>
    <xdr:to>
      <xdr:col>9</xdr:col>
      <xdr:colOff>50800</xdr:colOff>
      <xdr:row>40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scritorio">
              <a:extLst>
                <a:ext uri="{FF2B5EF4-FFF2-40B4-BE49-F238E27FC236}">
                  <a16:creationId xmlns:a16="http://schemas.microsoft.com/office/drawing/2014/main" id="{50FC03A8-203F-4662-81C5-B12193047B0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critori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900" y="5168900"/>
              <a:ext cx="1562100" cy="2044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63500</xdr:colOff>
      <xdr:row>10</xdr:row>
      <xdr:rowOff>0</xdr:rowOff>
    </xdr:from>
    <xdr:to>
      <xdr:col>9</xdr:col>
      <xdr:colOff>50800</xdr:colOff>
      <xdr:row>15</xdr:row>
      <xdr:rowOff>71119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origem">
              <a:extLst>
                <a:ext uri="{FF2B5EF4-FFF2-40B4-BE49-F238E27FC236}">
                  <a16:creationId xmlns:a16="http://schemas.microsoft.com/office/drawing/2014/main" id="{E1E2BB74-C06F-423D-A102-C9F0953D46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ig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0" y="1778000"/>
              <a:ext cx="1587500" cy="9601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55</xdr:col>
      <xdr:colOff>172720</xdr:colOff>
      <xdr:row>25</xdr:row>
      <xdr:rowOff>6350</xdr:rowOff>
    </xdr:from>
    <xdr:to>
      <xdr:col>75</xdr:col>
      <xdr:colOff>165100</xdr:colOff>
      <xdr:row>40</xdr:row>
      <xdr:rowOff>82550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EE958E5F-7A87-DB53-7119-7BA78B340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76200</xdr:colOff>
      <xdr:row>17</xdr:row>
      <xdr:rowOff>63500</xdr:rowOff>
    </xdr:from>
    <xdr:to>
      <xdr:col>9</xdr:col>
      <xdr:colOff>50800</xdr:colOff>
      <xdr:row>27</xdr:row>
      <xdr:rowOff>50800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uf">
              <a:extLst>
                <a:ext uri="{FF2B5EF4-FFF2-40B4-BE49-F238E27FC236}">
                  <a16:creationId xmlns:a16="http://schemas.microsoft.com/office/drawing/2014/main" id="{FBB99A1E-3D23-453B-903E-4E69A8D4087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f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0" y="3086100"/>
              <a:ext cx="1574800" cy="1765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rana Alencar" refreshedDate="45761.592347916667" createdVersion="8" refreshedVersion="8" minRefreshableVersion="3" recordCount="2000" xr:uid="{8F415040-EBBC-4F92-8A0D-0B09E78F21A2}">
  <cacheSource type="worksheet">
    <worksheetSource name="base"/>
  </cacheSource>
  <cacheFields count="13">
    <cacheField name="protocolo" numFmtId="0">
      <sharedItems count="2000">
        <s v="LD429963"/>
        <s v="LD249811"/>
        <s v="LD375504"/>
        <s v="LD479580"/>
        <s v="LD195325"/>
        <s v="LD930555"/>
        <s v="LD724834"/>
        <s v="LD813328"/>
        <s v="LD905934"/>
        <s v="LD575763"/>
        <s v="LD624902"/>
        <s v="LD982554"/>
        <s v="LD899550"/>
        <s v="LD728038"/>
        <s v="LD945964"/>
        <s v="LD189814"/>
        <s v="LD234628"/>
        <s v="LD653306"/>
        <s v="LD847581"/>
        <s v="LD559381"/>
        <s v="LD167136"/>
        <s v="LD107540"/>
        <s v="LD132938"/>
        <s v="LD801474"/>
        <s v="LD704201"/>
        <s v="LD198907"/>
        <s v="LD589710"/>
        <s v="LD163556"/>
        <s v="LD300896"/>
        <s v="LD392075"/>
        <s v="LD947272"/>
        <s v="LD666847"/>
        <s v="LD526156"/>
        <s v="LD272634"/>
        <s v="LD399105"/>
        <s v="LD262316"/>
        <s v="LD871476"/>
        <s v="LD712554"/>
        <s v="LD159642"/>
        <s v="LD723939"/>
        <s v="LD697347"/>
        <s v="LD539589"/>
        <s v="LD314181"/>
        <s v="LD237235"/>
        <s v="LD176066"/>
        <s v="LD176819"/>
        <s v="LD172132"/>
        <s v="LD974244"/>
        <s v="LD108203"/>
        <s v="LD240814"/>
        <s v="LD262998"/>
        <s v="LD313487"/>
        <s v="LD363319"/>
        <s v="LD969634"/>
        <s v="LD269430"/>
        <s v="LD110139"/>
        <s v="LD672092"/>
        <s v="LD550664"/>
        <s v="LD320281"/>
        <s v="LD687080"/>
        <s v="LD262060"/>
        <s v="LD532322"/>
        <s v="LD531712"/>
        <s v="LD266931"/>
        <s v="LD333238"/>
        <s v="LD960394"/>
        <s v="LD302511"/>
        <s v="LD468203"/>
        <s v="LD128941"/>
        <s v="LD378361"/>
        <s v="LD924629"/>
        <s v="LD503906"/>
        <s v="LD557239"/>
        <s v="LD481913"/>
        <s v="LD429164"/>
        <s v="LD424308"/>
        <s v="LD681343"/>
        <s v="LD745414"/>
        <s v="LD400850"/>
        <s v="LD437902"/>
        <s v="LD932291"/>
        <s v="LD397571"/>
        <s v="LD958179"/>
        <s v="LD945742"/>
        <s v="LD740967"/>
        <s v="LD303880"/>
        <s v="LD254739"/>
        <s v="LD329471"/>
        <s v="LD152657"/>
        <s v="LD239816"/>
        <s v="LD432711"/>
        <s v="LD854213"/>
        <s v="LD266889"/>
        <s v="LD980660"/>
        <s v="LD757193"/>
        <s v="LD345884"/>
        <s v="LD245095"/>
        <s v="LD167348"/>
        <s v="LD165290"/>
        <s v="LD120480"/>
        <s v="LD106182"/>
        <s v="LD664365"/>
        <s v="LD611945"/>
        <s v="LD452457"/>
        <s v="LD981334"/>
        <s v="LD128276"/>
        <s v="LD188025"/>
        <s v="LD152727"/>
        <s v="LD453894"/>
        <s v="LD975467"/>
        <s v="LD466960"/>
        <s v="LD890870"/>
        <s v="LD259784"/>
        <s v="LD328552"/>
        <s v="LD735324"/>
        <s v="LD426147"/>
        <s v="LD810250"/>
        <s v="LD179688"/>
        <s v="LD831059"/>
        <s v="LD226935"/>
        <s v="LD658623"/>
        <s v="LD113266"/>
        <s v="LD479781"/>
        <s v="LD556641"/>
        <s v="LD745830"/>
        <s v="LD556732"/>
        <s v="LD357420"/>
        <s v="LD886931"/>
        <s v="LD130094"/>
        <s v="LD472060"/>
        <s v="LD389688"/>
        <s v="LD353080"/>
        <s v="LD777278"/>
        <s v="LD408528"/>
        <s v="LD709805"/>
        <s v="LD882169"/>
        <s v="LD421517"/>
        <s v="LD225362"/>
        <s v="LD300845"/>
        <s v="LD897135"/>
        <s v="LD410636"/>
        <s v="LD660081"/>
        <s v="LD406327"/>
        <s v="LD112861"/>
        <s v="LD293319"/>
        <s v="LD962050"/>
        <s v="LD819796"/>
        <s v="LD189318"/>
        <s v="LD725084"/>
        <s v="LD572398"/>
        <s v="LD420214"/>
        <s v="LD899787"/>
        <s v="LD264686"/>
        <s v="LD528361"/>
        <s v="LD342720"/>
        <s v="LD820775"/>
        <s v="LD793300"/>
        <s v="LD335729"/>
        <s v="LD162535"/>
        <s v="LD402630"/>
        <s v="LD522060"/>
        <s v="LD184349"/>
        <s v="LD733039"/>
        <s v="LD715643"/>
        <s v="LD704238"/>
        <s v="LD783157"/>
        <s v="LD765620"/>
        <s v="LD528184"/>
        <s v="LD531641"/>
        <s v="LD138479"/>
        <s v="LD910075"/>
        <s v="LD668950"/>
        <s v="LD752878"/>
        <s v="LD380028"/>
        <s v="LD608257"/>
        <s v="LD350921"/>
        <s v="LD527809"/>
        <s v="LD223172"/>
        <s v="LD633590"/>
        <s v="LD355570"/>
        <s v="LD173201"/>
        <s v="LD925981"/>
        <s v="LD413058"/>
        <s v="LD255813"/>
        <s v="LD899929"/>
        <s v="LD297816"/>
        <s v="LD997594"/>
        <s v="LD839485"/>
        <s v="LD619389"/>
        <s v="LD205239"/>
        <s v="LD116093"/>
        <s v="LD178463"/>
        <s v="LD826353"/>
        <s v="LD807115"/>
        <s v="LD853629"/>
        <s v="LD747453"/>
        <s v="LD883041"/>
        <s v="LD565230"/>
        <s v="LD440131"/>
        <s v="LD252640"/>
        <s v="LD278240"/>
        <s v="LD816318"/>
        <s v="LD583550"/>
        <s v="LD943718"/>
        <s v="LD177449"/>
        <s v="LD769975"/>
        <s v="LD308894"/>
        <s v="LD499889"/>
        <s v="LD123005"/>
        <s v="LD693419"/>
        <s v="LD881369"/>
        <s v="LD736553"/>
        <s v="LD810687"/>
        <s v="LD758765"/>
        <s v="LD926918"/>
        <s v="LD194511"/>
        <s v="LD310548"/>
        <s v="LD626169"/>
        <s v="LD945664"/>
        <s v="LD178957"/>
        <s v="LD986827"/>
        <s v="LD377304"/>
        <s v="LD712955"/>
        <s v="LD807617"/>
        <s v="LD739717"/>
        <s v="LD416869"/>
        <s v="LD419149"/>
        <s v="LD507524"/>
        <s v="LD539486"/>
        <s v="LD974190"/>
        <s v="LD823811"/>
        <s v="LD204180"/>
        <s v="LD163491"/>
        <s v="LD196126"/>
        <s v="LD153035"/>
        <s v="LD315173"/>
        <s v="LD952547"/>
        <s v="LD102973"/>
        <s v="LD362829"/>
        <s v="LD115582"/>
        <s v="LD116547"/>
        <s v="LD651640"/>
        <s v="LD638169"/>
        <s v="LD862569"/>
        <s v="LD580292"/>
        <s v="LD546980"/>
        <s v="LD184714"/>
        <s v="LD754644"/>
        <s v="LD726410"/>
        <s v="LD203996"/>
        <s v="LD855855"/>
        <s v="LD455395"/>
        <s v="LD427730"/>
        <s v="LD820184"/>
        <s v="LD552855"/>
        <s v="LD162894"/>
        <s v="LD228168"/>
        <s v="LD401601"/>
        <s v="LD323072"/>
        <s v="LD986438"/>
        <s v="LD337144"/>
        <s v="LD807764"/>
        <s v="LD130359"/>
        <s v="LD468074"/>
        <s v="LD520252"/>
        <s v="LD882354"/>
        <s v="LD265055"/>
        <s v="LD189083"/>
        <s v="LD806707"/>
        <s v="LD736565"/>
        <s v="LD461939"/>
        <s v="LD610271"/>
        <s v="LD728437"/>
        <s v="LD901280"/>
        <s v="LD883301"/>
        <s v="LD624563"/>
        <s v="LD516359"/>
        <s v="LD181644"/>
        <s v="LD843963"/>
        <s v="LD440544"/>
        <s v="LD479430"/>
        <s v="LD717476"/>
        <s v="LD456005"/>
        <s v="LD763984"/>
        <s v="LD862712"/>
        <s v="LD207798"/>
        <s v="LD897143"/>
        <s v="LD586490"/>
        <s v="LD691912"/>
        <s v="LD757685"/>
        <s v="LD762055"/>
        <s v="LD631981"/>
        <s v="LD486649"/>
        <s v="LD722937"/>
        <s v="LD571579"/>
        <s v="LD734394"/>
        <s v="LD208529"/>
        <s v="LD629057"/>
        <s v="LD560767"/>
        <s v="LD396635"/>
        <s v="LD154909"/>
        <s v="LD199096"/>
        <s v="LD992931"/>
        <s v="LD185461"/>
        <s v="LD787923"/>
        <s v="LD188834"/>
        <s v="LD234001"/>
        <s v="LD197992"/>
        <s v="LD480211"/>
        <s v="LD609892"/>
        <s v="LD410160"/>
        <s v="LD139581"/>
        <s v="LD726258"/>
        <s v="LD948343"/>
        <s v="LD481995"/>
        <s v="LD398768"/>
        <s v="LD424500"/>
        <s v="LD811256"/>
        <s v="LD915922"/>
        <s v="LD940181"/>
        <s v="LD603935"/>
        <s v="LD992512"/>
        <s v="LD571145"/>
        <s v="LD332823"/>
        <s v="LD155843"/>
        <s v="LD493124"/>
        <s v="LD929822"/>
        <s v="LD971482"/>
        <s v="LD105506"/>
        <s v="LD675462"/>
        <s v="LD913875"/>
        <s v="LD540218"/>
        <s v="LD977330"/>
        <s v="LD640410"/>
        <s v="LD101640"/>
        <s v="LD796643"/>
        <s v="LD651613"/>
        <s v="LD121322"/>
        <s v="LD491435"/>
        <s v="LD352838"/>
        <s v="LD893435"/>
        <s v="LD953025"/>
        <s v="LD829168"/>
        <s v="LD850827"/>
        <s v="LD145934"/>
        <s v="LD640418"/>
        <s v="LD138399"/>
        <s v="LD918771"/>
        <s v="LD938171"/>
        <s v="LD505426"/>
        <s v="LD485191"/>
        <s v="LD182760"/>
        <s v="LD408036"/>
        <s v="LD421384"/>
        <s v="LD468623"/>
        <s v="LD556068"/>
        <s v="LD803787"/>
        <s v="LD132653"/>
        <s v="LD232361"/>
        <s v="LD501451"/>
        <s v="LD488984"/>
        <s v="LD655178"/>
        <s v="LD218959"/>
        <s v="LD688956"/>
        <s v="LD324993"/>
        <s v="LD228594"/>
        <s v="LD192055"/>
        <s v="LD464301"/>
        <s v="LD992717"/>
        <s v="LD932250"/>
        <s v="LD348235"/>
        <s v="LD486831"/>
        <s v="LD190403"/>
        <s v="LD651231"/>
        <s v="LD231414"/>
        <s v="LD813145"/>
        <s v="LD290802"/>
        <s v="LD971776"/>
        <s v="LD438334"/>
        <s v="LD987025"/>
        <s v="LD231250"/>
        <s v="LD772124"/>
        <s v="LD790731"/>
        <s v="LD690996"/>
        <s v="LD772612"/>
        <s v="LD748133"/>
        <s v="LD403742"/>
        <s v="LD411882"/>
        <s v="LD535810"/>
        <s v="LD427766"/>
        <s v="LD237118"/>
        <s v="LD353480"/>
        <s v="LD201514"/>
        <s v="LD360330"/>
        <s v="LD856157"/>
        <s v="LD589491"/>
        <s v="LD512344"/>
        <s v="LD151021"/>
        <s v="LD399628"/>
        <s v="LD377319"/>
        <s v="LD520040"/>
        <s v="LD402620"/>
        <s v="LD965401"/>
        <s v="LD201377"/>
        <s v="LD483366"/>
        <s v="LD624369"/>
        <s v="LD943019"/>
        <s v="LD246570"/>
        <s v="LD746447"/>
        <s v="LD968524"/>
        <s v="LD597960"/>
        <s v="LD536774"/>
        <s v="LD725905"/>
        <s v="LD338596"/>
        <s v="LD759580"/>
        <s v="LD961574"/>
        <s v="LD300051"/>
        <s v="LD824042"/>
        <s v="LD989587"/>
        <s v="LD317413"/>
        <s v="LD495129"/>
        <s v="LD672808"/>
        <s v="LD739711"/>
        <s v="LD412999"/>
        <s v="LD839142"/>
        <s v="LD465746"/>
        <s v="LD401769"/>
        <s v="LD958130"/>
        <s v="LD144109"/>
        <s v="LD787836"/>
        <s v="LD689318"/>
        <s v="LD715336"/>
        <s v="LD768933"/>
        <s v="LD595351"/>
        <s v="LD265613"/>
        <s v="LD782139"/>
        <s v="LD777273"/>
        <s v="LD343500"/>
        <s v="LD538184"/>
        <s v="LD926236"/>
        <s v="LD109717"/>
        <s v="LD576419"/>
        <s v="LD992400"/>
        <s v="LD270387"/>
        <s v="LD114768"/>
        <s v="LD894068"/>
        <s v="LD967161"/>
        <s v="LD293757"/>
        <s v="LD373453"/>
        <s v="LD416613"/>
        <s v="LD477017"/>
        <s v="LD421709"/>
        <s v="LD823821"/>
        <s v="LD744481"/>
        <s v="LD577079"/>
        <s v="LD593699"/>
        <s v="LD813390"/>
        <s v="LD568449"/>
        <s v="LD164758"/>
        <s v="LD272529"/>
        <s v="LD851742"/>
        <s v="LD947975"/>
        <s v="LD691303"/>
        <s v="LD122827"/>
        <s v="LD706403"/>
        <s v="LD667451"/>
        <s v="LD133276"/>
        <s v="LD492650"/>
        <s v="LD184148"/>
        <s v="LD785280"/>
        <s v="LD654531"/>
        <s v="LD412856"/>
        <s v="LD497700"/>
        <s v="LD389039"/>
        <s v="LD948799"/>
        <s v="LD316092"/>
        <s v="LD804667"/>
        <s v="LD521805"/>
        <s v="LD628373"/>
        <s v="LD434394"/>
        <s v="LD416422"/>
        <s v="LD533649"/>
        <s v="LD283640"/>
        <s v="LD461145"/>
        <s v="LD830132"/>
        <s v="LD891062"/>
        <s v="LD999197"/>
        <s v="LD532723"/>
        <s v="LD354655"/>
        <s v="LD988283"/>
        <s v="LD381502"/>
        <s v="LD297303"/>
        <s v="LD327558"/>
        <s v="LD116078"/>
        <s v="LD883159"/>
        <s v="LD515898"/>
        <s v="LD588899"/>
        <s v="LD637727"/>
        <s v="LD898625"/>
        <s v="LD534037"/>
        <s v="LD117007"/>
        <s v="LD537862"/>
        <s v="LD697467"/>
        <s v="LD369826"/>
        <s v="LD583214"/>
        <s v="LD855303"/>
        <s v="LD649395"/>
        <s v="LD901467"/>
        <s v="LD171269"/>
        <s v="LD491329"/>
        <s v="LD791309"/>
        <s v="LD112426"/>
        <s v="LD117975"/>
        <s v="LD212214"/>
        <s v="LD749887"/>
        <s v="LD182857"/>
        <s v="LD831105"/>
        <s v="LD198042"/>
        <s v="LD767678"/>
        <s v="LD776234"/>
        <s v="LD144618"/>
        <s v="LD598598"/>
        <s v="LD669408"/>
        <s v="LD317221"/>
        <s v="LD180674"/>
        <s v="LD990704"/>
        <s v="LD892313"/>
        <s v="LD625119"/>
        <s v="LD343420"/>
        <s v="LD515973"/>
        <s v="LD921609"/>
        <s v="LD493663"/>
        <s v="LD189856"/>
        <s v="LD186023"/>
        <s v="LD875584"/>
        <s v="LD423241"/>
        <s v="LD191537"/>
        <s v="LD527865"/>
        <s v="LD725920"/>
        <s v="LD406024"/>
        <s v="LD354533"/>
        <s v="LD245584"/>
        <s v="LD275329"/>
        <s v="LD478666"/>
        <s v="LD722651"/>
        <s v="LD107096"/>
        <s v="LD943135"/>
        <s v="LD242736"/>
        <s v="LD602278"/>
        <s v="LD870571"/>
        <s v="LD354200"/>
        <s v="LD219420"/>
        <s v="LD814827"/>
        <s v="LD842776"/>
        <s v="LD958747"/>
        <s v="LD245939"/>
        <s v="LD849979"/>
        <s v="LD602514"/>
        <s v="LD670053"/>
        <s v="LD722665"/>
        <s v="LD274418"/>
        <s v="LD889245"/>
        <s v="LD203396"/>
        <s v="LD708717"/>
        <s v="LD585556"/>
        <s v="LD461724"/>
        <s v="LD190025"/>
        <s v="LD427040"/>
        <s v="LD465219"/>
        <s v="LD434400"/>
        <s v="LD123682"/>
        <s v="LD876459"/>
        <s v="LD687044"/>
        <s v="LD295440"/>
        <s v="LD743937"/>
        <s v="LD104666"/>
        <s v="LD705393"/>
        <s v="LD441819"/>
        <s v="LD653349"/>
        <s v="LD511612"/>
        <s v="LD280908"/>
        <s v="LD718836"/>
        <s v="LD222629"/>
        <s v="LD538555"/>
        <s v="LD610310"/>
        <s v="LD681868"/>
        <s v="LD982885"/>
        <s v="LD608149"/>
        <s v="LD784793"/>
        <s v="LD612438"/>
        <s v="LD134283"/>
        <s v="LD693127"/>
        <s v="LD218710"/>
        <s v="LD668373"/>
        <s v="LD672892"/>
        <s v="LD412170"/>
        <s v="LD956401"/>
        <s v="LD320073"/>
        <s v="LD845279"/>
        <s v="LD922974"/>
        <s v="LD467856"/>
        <s v="LD838253"/>
        <s v="LD242175"/>
        <s v="LD787757"/>
        <s v="LD845951"/>
        <s v="LD613234"/>
        <s v="LD493396"/>
        <s v="LD640659"/>
        <s v="LD611751"/>
        <s v="LD866437"/>
        <s v="LD991401"/>
        <s v="LD964915"/>
        <s v="LD673896"/>
        <s v="LD815707"/>
        <s v="LD117072"/>
        <s v="LD100708"/>
        <s v="LD781571"/>
        <s v="LD786385"/>
        <s v="LD154302"/>
        <s v="LD550081"/>
        <s v="LD599968"/>
        <s v="LD109738"/>
        <s v="LD827744"/>
        <s v="LD866260"/>
        <s v="LD243790"/>
        <s v="LD171734"/>
        <s v="LD561477"/>
        <s v="LD531709"/>
        <s v="LD205345"/>
        <s v="LD468611"/>
        <s v="LD390421"/>
        <s v="LD856211"/>
        <s v="LD989079"/>
        <s v="LD884170"/>
        <s v="LD504630"/>
        <s v="LD653948"/>
        <s v="LD238394"/>
        <s v="LD672896"/>
        <s v="LD715895"/>
        <s v="LD927630"/>
        <s v="LD904373"/>
        <s v="LD663772"/>
        <s v="LD636141"/>
        <s v="LD442622"/>
        <s v="LD425236"/>
        <s v="LD356355"/>
        <s v="LD738407"/>
        <s v="LD225245"/>
        <s v="LD620526"/>
        <s v="LD275073"/>
        <s v="LD223791"/>
        <s v="LD649300"/>
        <s v="LD180813"/>
        <s v="LD694423"/>
        <s v="LD806866"/>
        <s v="LD146177"/>
        <s v="LD481657"/>
        <s v="LD942127"/>
        <s v="LD437433"/>
        <s v="LD966120"/>
        <s v="LD288056"/>
        <s v="LD172274"/>
        <s v="LD190581"/>
        <s v="LD691194"/>
        <s v="LD486162"/>
        <s v="LD257880"/>
        <s v="LD766833"/>
        <s v="LD895794"/>
        <s v="LD208998"/>
        <s v="LD162804"/>
        <s v="LD146032"/>
        <s v="LD834891"/>
        <s v="LD708982"/>
        <s v="LD720647"/>
        <s v="LD405844"/>
        <s v="LD433507"/>
        <s v="LD917823"/>
        <s v="LD571404"/>
        <s v="LD907756"/>
        <s v="LD194813"/>
        <s v="LD142288"/>
        <s v="LD845702"/>
        <s v="LD810078"/>
        <s v="LD524035"/>
        <s v="LD199326"/>
        <s v="LD112537"/>
        <s v="LD307757"/>
        <s v="LD710610"/>
        <s v="LD167603"/>
        <s v="LD988432"/>
        <s v="LD153097"/>
        <s v="LD620226"/>
        <s v="LD325146"/>
        <s v="LD136332"/>
        <s v="LD623125"/>
        <s v="LD393366"/>
        <s v="LD361250"/>
        <s v="LD919898"/>
        <s v="LD693128"/>
        <s v="LD434367"/>
        <s v="LD947935"/>
        <s v="LD267378"/>
        <s v="LD955937"/>
        <s v="LD472039"/>
        <s v="LD348041"/>
        <s v="LD720298"/>
        <s v="LD249005"/>
        <s v="LD424065"/>
        <s v="LD730889"/>
        <s v="LD743966"/>
        <s v="LD941403"/>
        <s v="LD715104"/>
        <s v="LD482614"/>
        <s v="LD714483"/>
        <s v="LD867926"/>
        <s v="LD432695"/>
        <s v="LD925220"/>
        <s v="LD421727"/>
        <s v="LD836109"/>
        <s v="LD290926"/>
        <s v="LD770718"/>
        <s v="LD881549"/>
        <s v="LD767090"/>
        <s v="LD568325"/>
        <s v="LD467506"/>
        <s v="LD504684"/>
        <s v="LD617033"/>
        <s v="LD969067"/>
        <s v="LD270557"/>
        <s v="LD121053"/>
        <s v="LD278368"/>
        <s v="LD197627"/>
        <s v="LD132498"/>
        <s v="LD264735"/>
        <s v="LD831063"/>
        <s v="LD792687"/>
        <s v="LD699544"/>
        <s v="LD104000"/>
        <s v="LD603660"/>
        <s v="LD185916"/>
        <s v="LD612855"/>
        <s v="LD506351"/>
        <s v="LD567429"/>
        <s v="LD977740"/>
        <s v="LD189870"/>
        <s v="LD338564"/>
        <s v="LD661527"/>
        <s v="LD599397"/>
        <s v="LD626491"/>
        <s v="LD750403"/>
        <s v="LD275284"/>
        <s v="LD543940"/>
        <s v="LD974625"/>
        <s v="LD191254"/>
        <s v="LD389617"/>
        <s v="LD753323"/>
        <s v="LD256911"/>
        <s v="LD690016"/>
        <s v="LD530849"/>
        <s v="LD596025"/>
        <s v="LD738221"/>
        <s v="LD824056"/>
        <s v="LD121215"/>
        <s v="LD983788"/>
        <s v="LD240913"/>
        <s v="LD864201"/>
        <s v="LD321659"/>
        <s v="LD492073"/>
        <s v="LD426236"/>
        <s v="LD130354"/>
        <s v="LD361609"/>
        <s v="LD308781"/>
        <s v="LD766275"/>
        <s v="LD612530"/>
        <s v="LD678115"/>
        <s v="LD971230"/>
        <s v="LD270820"/>
        <s v="LD778827"/>
        <s v="LD638214"/>
        <s v="LD597126"/>
        <s v="LD108874"/>
        <s v="LD843826"/>
        <s v="LD581294"/>
        <s v="LD964352"/>
        <s v="LD794530"/>
        <s v="LD738635"/>
        <s v="LD452618"/>
        <s v="LD787991"/>
        <s v="LD257212"/>
        <s v="LD523727"/>
        <s v="LD787237"/>
        <s v="LD507135"/>
        <s v="LD299140"/>
        <s v="LD769320"/>
        <s v="LD631958"/>
        <s v="LD289934"/>
        <s v="LD860413"/>
        <s v="LD786224"/>
        <s v="LD540897"/>
        <s v="LD408334"/>
        <s v="LD711922"/>
        <s v="LD624788"/>
        <s v="LD533174"/>
        <s v="LD459315"/>
        <s v="LD431752"/>
        <s v="LD448787"/>
        <s v="LD104942"/>
        <s v="LD901619"/>
        <s v="LD744328"/>
        <s v="LD501936"/>
        <s v="LD114760"/>
        <s v="LD118786"/>
        <s v="LD827213"/>
        <s v="LD627786"/>
        <s v="LD404955"/>
        <s v="LD554730"/>
        <s v="LD476701"/>
        <s v="LD339513"/>
        <s v="LD718337"/>
        <s v="LD493417"/>
        <s v="LD150947"/>
        <s v="LD150578"/>
        <s v="LD673867"/>
        <s v="LD415743"/>
        <s v="LD753050"/>
        <s v="LD853681"/>
        <s v="LD308296"/>
        <s v="LD475308"/>
        <s v="LD620465"/>
        <s v="LD345896"/>
        <s v="LD801520"/>
        <s v="LD858711"/>
        <s v="LD578938"/>
        <s v="LD204657"/>
        <s v="LD940534"/>
        <s v="LD992596"/>
        <s v="LD444625"/>
        <s v="LD868677"/>
        <s v="LD520245"/>
        <s v="LD938754"/>
        <s v="LD238948"/>
        <s v="LD536236"/>
        <s v="LD559447"/>
        <s v="LD130216"/>
        <s v="LD606545"/>
        <s v="LD148205"/>
        <s v="LD810859"/>
        <s v="LD334865"/>
        <s v="LD648513"/>
        <s v="LD605339"/>
        <s v="LD979789"/>
        <s v="LD112210"/>
        <s v="LD273438"/>
        <s v="LD391668"/>
        <s v="LD522866"/>
        <s v="LD569865"/>
        <s v="LD621533"/>
        <s v="LD137572"/>
        <s v="LD749137"/>
        <s v="LD786393"/>
        <s v="LD156911"/>
        <s v="LD904694"/>
        <s v="LD850689"/>
        <s v="LD102303"/>
        <s v="LD647341"/>
        <s v="LD247271"/>
        <s v="LD366641"/>
        <s v="LD579247"/>
        <s v="LD893928"/>
        <s v="LD229204"/>
        <s v="LD628689"/>
        <s v="LD680099"/>
        <s v="LD919023"/>
        <s v="LD865979"/>
        <s v="LD735605"/>
        <s v="LD738576"/>
        <s v="LD459513"/>
        <s v="LD532794"/>
        <s v="LD984027"/>
        <s v="LD763311"/>
        <s v="LD819964"/>
        <s v="LD628370"/>
        <s v="LD897730"/>
        <s v="LD844618"/>
        <s v="LD988459"/>
        <s v="LD499371"/>
        <s v="LD886626"/>
        <s v="LD253541"/>
        <s v="LD890200"/>
        <s v="LD746036"/>
        <s v="LD349136"/>
        <s v="LD826596"/>
        <s v="LD926394"/>
        <s v="LD113595"/>
        <s v="LD764575"/>
        <s v="LD874320"/>
        <s v="LD570616"/>
        <s v="LD870786"/>
        <s v="LD683635"/>
        <s v="LD446620"/>
        <s v="LD438302"/>
        <s v="LD984096"/>
        <s v="LD475479"/>
        <s v="LD292800"/>
        <s v="LD669460"/>
        <s v="LD795556"/>
        <s v="LD688602"/>
        <s v="LD801432"/>
        <s v="LD751303"/>
        <s v="LD934883"/>
        <s v="LD125905"/>
        <s v="LD941814"/>
        <s v="LD301863"/>
        <s v="LD910883"/>
        <s v="LD802897"/>
        <s v="LD976258"/>
        <s v="LD777968"/>
        <s v="LD124906"/>
        <s v="LD156904"/>
        <s v="LD961530"/>
        <s v="LD760830"/>
        <s v="LD660814"/>
        <s v="LD147727"/>
        <s v="LD403915"/>
        <s v="LD902448"/>
        <s v="LD597012"/>
        <s v="LD935474"/>
        <s v="LD412534"/>
        <s v="LD111691"/>
        <s v="LD105274"/>
        <s v="LD419491"/>
        <s v="LD322022"/>
        <s v="LD268772"/>
        <s v="LD220190"/>
        <s v="LD583671"/>
        <s v="LD362865"/>
        <s v="LD474486"/>
        <s v="LD749609"/>
        <s v="LD444295"/>
        <s v="LD693024"/>
        <s v="LD105066"/>
        <s v="LD390119"/>
        <s v="LD603268"/>
        <s v="LD678469"/>
        <s v="LD966589"/>
        <s v="LD757057"/>
        <s v="LD762308"/>
        <s v="LD323095"/>
        <s v="LD595036"/>
        <s v="LD909652"/>
        <s v="LD625465"/>
        <s v="LD794868"/>
        <s v="LD273899"/>
        <s v="LD693868"/>
        <s v="LD476224"/>
        <s v="LD377198"/>
        <s v="LD506945"/>
        <s v="LD780027"/>
        <s v="LD975427"/>
        <s v="LD494956"/>
        <s v="LD641760"/>
        <s v="LD470040"/>
        <s v="LD106918"/>
        <s v="LD180832"/>
        <s v="LD265001"/>
        <s v="LD534753"/>
        <s v="LD602073"/>
        <s v="LD123536"/>
        <s v="LD241268"/>
        <s v="LD158627"/>
        <s v="LD728471"/>
        <s v="LD189913"/>
        <s v="LD278852"/>
        <s v="LD960307"/>
        <s v="LD275868"/>
        <s v="LD719284"/>
        <s v="LD117367"/>
        <s v="LD966662"/>
        <s v="LD728950"/>
        <s v="LD197716"/>
        <s v="LD967719"/>
        <s v="LD647403"/>
        <s v="LD549793"/>
        <s v="LD717661"/>
        <s v="LD202463"/>
        <s v="LD397026"/>
        <s v="LD105735"/>
        <s v="LD223552"/>
        <s v="LD528705"/>
        <s v="LD365953"/>
        <s v="LD741603"/>
        <s v="LD678923"/>
        <s v="LD681866"/>
        <s v="LD911801"/>
        <s v="LD884140"/>
        <s v="LD324875"/>
        <s v="LD830917"/>
        <s v="LD943442"/>
        <s v="LD192422"/>
        <s v="LD139589"/>
        <s v="LD788049"/>
        <s v="LD911187"/>
        <s v="LD311505"/>
        <s v="LD304206"/>
        <s v="LD745073"/>
        <s v="LD265092"/>
        <s v="LD802191"/>
        <s v="LD872722"/>
        <s v="LD861411"/>
        <s v="LD955129"/>
        <s v="LD523579"/>
        <s v="LD211636"/>
        <s v="LD941945"/>
        <s v="LD362292"/>
        <s v="LD907369"/>
        <s v="LD583100"/>
        <s v="LD370343"/>
        <s v="LD939030"/>
        <s v="LD110195"/>
        <s v="LD518309"/>
        <s v="LD287155"/>
        <s v="LD291663"/>
        <s v="LD872918"/>
        <s v="LD340341"/>
        <s v="LD263573"/>
        <s v="LD743644"/>
        <s v="LD489227"/>
        <s v="LD388078"/>
        <s v="LD517206"/>
        <s v="LD938095"/>
        <s v="LD464158"/>
        <s v="LD226215"/>
        <s v="LD112394"/>
        <s v="LD479167"/>
        <s v="LD348658"/>
        <s v="LD292847"/>
        <s v="LD482812"/>
        <s v="LD237509"/>
        <s v="LD943146"/>
        <s v="LD252928"/>
        <s v="LD285186"/>
        <s v="LD659921"/>
        <s v="LD689444"/>
        <s v="LD162952"/>
        <s v="LD571706"/>
        <s v="LD684572"/>
        <s v="LD227126"/>
        <s v="LD704875"/>
        <s v="LD472358"/>
        <s v="LD182216"/>
        <s v="LD275715"/>
        <s v="LD699405"/>
        <s v="LD460317"/>
        <s v="LD380465"/>
        <s v="LD884225"/>
        <s v="LD292818"/>
        <s v="LD880009"/>
        <s v="LD208013"/>
        <s v="LD156440"/>
        <s v="LD375201"/>
        <s v="LD340497"/>
        <s v="LD237654"/>
        <s v="LD474175"/>
        <s v="LD666843"/>
        <s v="LD285636"/>
        <s v="LD556106"/>
        <s v="LD605048"/>
        <s v="LD483551"/>
        <s v="LD648736"/>
        <s v="LD591989"/>
        <s v="LD414164"/>
        <s v="LD342446"/>
        <s v="LD687783"/>
        <s v="LD968668"/>
        <s v="LD641704"/>
        <s v="LD398505"/>
        <s v="LD297132"/>
        <s v="LD767830"/>
        <s v="LD615895"/>
        <s v="LD123205"/>
        <s v="LD849937"/>
        <s v="LD115440"/>
        <s v="LD489438"/>
        <s v="LD984522"/>
        <s v="LD174852"/>
        <s v="LD968485"/>
        <s v="LD503489"/>
        <s v="LD308855"/>
        <s v="LD595793"/>
        <s v="LD759726"/>
        <s v="LD228074"/>
        <s v="LD154617"/>
        <s v="LD763653"/>
        <s v="LD225461"/>
        <s v="LD921533"/>
        <s v="LD908239"/>
        <s v="LD454861"/>
        <s v="LD162678"/>
        <s v="LD231939"/>
        <s v="LD944654"/>
        <s v="LD496119"/>
        <s v="LD840951"/>
        <s v="LD298994"/>
        <s v="LD591147"/>
        <s v="LD172222"/>
        <s v="LD484945"/>
        <s v="LD869295"/>
        <s v="LD750324"/>
        <s v="LD958835"/>
        <s v="LD261618"/>
        <s v="LD215830"/>
        <s v="LD287316"/>
        <s v="LD203550"/>
        <s v="LD651363"/>
        <s v="LD331444"/>
        <s v="LD972496"/>
        <s v="LD685126"/>
        <s v="LD842846"/>
        <s v="LD869969"/>
        <s v="LD206142"/>
        <s v="LD651752"/>
        <s v="LD885587"/>
        <s v="LD475351"/>
        <s v="LD274912"/>
        <s v="LD789472"/>
        <s v="LD430463"/>
        <s v="LD901305"/>
        <s v="LD352415"/>
        <s v="LD477496"/>
        <s v="LD861594"/>
        <s v="LD241647"/>
        <s v="LD325258"/>
        <s v="LD680557"/>
        <s v="LD198867"/>
        <s v="LD484914"/>
        <s v="LD196369"/>
        <s v="LD858729"/>
        <s v="LD836989"/>
        <s v="LD414985"/>
        <s v="LD918017"/>
        <s v="LD555401"/>
        <s v="LD764678"/>
        <s v="LD143182"/>
        <s v="LD831663"/>
        <s v="LD567262"/>
        <s v="LD552917"/>
        <s v="LD186554"/>
        <s v="LD375311"/>
        <s v="LD899049"/>
        <s v="LD783932"/>
        <s v="LD358207"/>
        <s v="LD817999"/>
        <s v="LD544114"/>
        <s v="LD787247"/>
        <s v="LD961493"/>
        <s v="LD147057"/>
        <s v="LD263568"/>
        <s v="LD354854"/>
        <s v="LD459946"/>
        <s v="LD123853"/>
        <s v="LD672967"/>
        <s v="LD865380"/>
        <s v="LD494900"/>
        <s v="LD278593"/>
        <s v="LD384459"/>
        <s v="LD507523"/>
        <s v="LD213132"/>
        <s v="LD342397"/>
        <s v="LD430779"/>
        <s v="LD308535"/>
        <s v="LD141683"/>
        <s v="LD512509"/>
        <s v="LD472640"/>
        <s v="LD951331"/>
        <s v="LD681896"/>
        <s v="LD788842"/>
        <s v="LD755910"/>
        <s v="LD547180"/>
        <s v="LD668573"/>
        <s v="LD817276"/>
        <s v="LD839389"/>
        <s v="LD788108"/>
        <s v="LD684413"/>
        <s v="LD980303"/>
        <s v="LD531228"/>
        <s v="LD259338"/>
        <s v="LD899484"/>
        <s v="LD742108"/>
        <s v="LD476712"/>
        <s v="LD987240"/>
        <s v="LD993522"/>
        <s v="LD337264"/>
        <s v="LD533108"/>
        <s v="LD169348"/>
        <s v="LD613742"/>
        <s v="LD524533"/>
        <s v="LD513296"/>
        <s v="LD650744"/>
        <s v="LD214626"/>
        <s v="LD643899"/>
        <s v="LD506216"/>
        <s v="LD405323"/>
        <s v="LD274573"/>
        <s v="LD642081"/>
        <s v="LD194834"/>
        <s v="LD672949"/>
        <s v="LD287567"/>
        <s v="LD194560"/>
        <s v="LD853270"/>
        <s v="LD764873"/>
        <s v="LD741804"/>
        <s v="LD905579"/>
        <s v="LD269999"/>
        <s v="LD539963"/>
        <s v="LD756883"/>
        <s v="LD752801"/>
        <s v="LD669902"/>
        <s v="LD327408"/>
        <s v="LD183262"/>
        <s v="LD749871"/>
        <s v="LD293818"/>
        <s v="LD995304"/>
        <s v="LD447195"/>
        <s v="LD269172"/>
        <s v="LD700081"/>
        <s v="LD707090"/>
        <s v="LD486473"/>
        <s v="LD168079"/>
        <s v="LD445200"/>
        <s v="LD741784"/>
        <s v="LD191928"/>
        <s v="LD547798"/>
        <s v="LD753518"/>
        <s v="LD644951"/>
        <s v="LD344026"/>
        <s v="LD125151"/>
        <s v="LD938403"/>
        <s v="LD466634"/>
        <s v="LD310960"/>
        <s v="LD414870"/>
        <s v="LD819150"/>
        <s v="LD130531"/>
        <s v="LD602381"/>
        <s v="LD604884"/>
        <s v="LD584935"/>
        <s v="LD975671"/>
        <s v="LD682145"/>
        <s v="LD938373"/>
        <s v="LD394083"/>
        <s v="LD983326"/>
        <s v="LD222520"/>
        <s v="LD844321"/>
        <s v="LD489633"/>
        <s v="LD283514"/>
        <s v="LD565330"/>
        <s v="LD299451"/>
        <s v="LD913205"/>
        <s v="LD809589"/>
        <s v="LD506415"/>
        <s v="LD146168"/>
        <s v="LD589554"/>
        <s v="LD123572"/>
        <s v="LD310297"/>
        <s v="LD562543"/>
        <s v="LD220020"/>
        <s v="LD316612"/>
        <s v="LD838568"/>
        <s v="LD426503"/>
        <s v="LD236392"/>
        <s v="LD502233"/>
        <s v="LD721549"/>
        <s v="LD472899"/>
        <s v="LD182361"/>
        <s v="LD238197"/>
        <s v="LD201987"/>
        <s v="LD593403"/>
        <s v="LD481104"/>
        <s v="LD927094"/>
        <s v="LD168540"/>
        <s v="LD395968"/>
        <s v="LD207932"/>
        <s v="LD683165"/>
        <s v="LD520286"/>
        <s v="LD605806"/>
        <s v="LD552091"/>
        <s v="LD827851"/>
        <s v="LD977394"/>
        <s v="LD682051"/>
        <s v="LD172988"/>
        <s v="LD959691"/>
        <s v="LD194930"/>
        <s v="LD767033"/>
        <s v="LD574978"/>
        <s v="LD305171"/>
        <s v="LD932932"/>
        <s v="LD193624"/>
        <s v="LD988811"/>
        <s v="LD155708"/>
        <s v="LD395917"/>
        <s v="LD513420"/>
        <s v="LD556329"/>
        <s v="LD297370"/>
        <s v="LD537503"/>
        <s v="LD240800"/>
        <s v="LD789886"/>
        <s v="LD773440"/>
        <s v="LD546383"/>
        <s v="LD959907"/>
        <s v="LD733941"/>
        <s v="LD846722"/>
        <s v="LD484795"/>
        <s v="LD486482"/>
        <s v="LD248989"/>
        <s v="LD642060"/>
        <s v="LD595401"/>
        <s v="LD817303"/>
        <s v="LD155337"/>
        <s v="LD576089"/>
        <s v="LD541467"/>
        <s v="LD275645"/>
        <s v="LD862285"/>
        <s v="LD706224"/>
        <s v="LD754643"/>
        <s v="LD180595"/>
        <s v="LD394620"/>
        <s v="LD733152"/>
        <s v="LD487728"/>
        <s v="LD608473"/>
        <s v="LD188501"/>
        <s v="LD889327"/>
        <s v="LD861265"/>
        <s v="LD156964"/>
        <s v="LD275741"/>
        <s v="LD888977"/>
        <s v="LD597643"/>
        <s v="LD402820"/>
        <s v="LD656011"/>
        <s v="LD985249"/>
        <s v="LD383457"/>
        <s v="LD510154"/>
        <s v="LD645209"/>
        <s v="LD674213"/>
        <s v="LD531225"/>
        <s v="LD330074"/>
        <s v="LD749485"/>
        <s v="LD728500"/>
        <s v="LD998043"/>
        <s v="LD942216"/>
        <s v="LD365641"/>
        <s v="LD389809"/>
        <s v="LD369836"/>
        <s v="LD507466"/>
        <s v="LD561976"/>
        <s v="LD287110"/>
        <s v="LD328994"/>
        <s v="LD371577"/>
        <s v="LD362769"/>
        <s v="LD784578"/>
        <s v="LD379378"/>
        <s v="LD103883"/>
        <s v="LD523533"/>
        <s v="LD336817"/>
        <s v="LD694798"/>
        <s v="LD417538"/>
        <s v="LD483102"/>
        <s v="LD897392"/>
        <s v="LD141241"/>
        <s v="LD509054"/>
        <s v="LD188984"/>
        <s v="LD137432"/>
        <s v="LD612997"/>
        <s v="LD623956"/>
        <s v="LD138842"/>
        <s v="LD525205"/>
        <s v="LD580636"/>
        <s v="LD877048"/>
        <s v="LD248468"/>
        <s v="LD354471"/>
        <s v="LD422266"/>
        <s v="LD975930"/>
        <s v="LD621292"/>
        <s v="LD546915"/>
        <s v="LD439984"/>
        <s v="LD437211"/>
        <s v="LD281873"/>
        <s v="LD276214"/>
        <s v="LD710256"/>
        <s v="LD494401"/>
        <s v="LD106658"/>
        <s v="LD397514"/>
        <s v="LD233056"/>
        <s v="LD532046"/>
        <s v="LD725236"/>
        <s v="LD464750"/>
        <s v="LD655953"/>
        <s v="LD329927"/>
        <s v="LD155646"/>
        <s v="LD621682"/>
        <s v="LD776185"/>
        <s v="LD746781"/>
        <s v="LD876383"/>
        <s v="LD608623"/>
        <s v="LD721497"/>
        <s v="LD341238"/>
        <s v="LD873584"/>
        <s v="LD593869"/>
        <s v="LD326665"/>
        <s v="LD243030"/>
        <s v="LD312033"/>
        <s v="LD394234"/>
        <s v="LD279517"/>
        <s v="LD264404"/>
        <s v="LD706204"/>
        <s v="LD998602"/>
        <s v="LD977646"/>
        <s v="LD359870"/>
        <s v="LD701568"/>
        <s v="LD593515"/>
        <s v="LD513474"/>
        <s v="LD619344"/>
        <s v="LD867333"/>
        <s v="LD350675"/>
        <s v="LD419644"/>
        <s v="LD712011"/>
        <s v="LD293929"/>
        <s v="LD764170"/>
        <s v="LD656710"/>
        <s v="LD742254"/>
        <s v="LD750594"/>
        <s v="LD807424"/>
        <s v="LD587957"/>
        <s v="LD839113"/>
        <s v="LD451199"/>
        <s v="LD888819"/>
        <s v="LD436030"/>
        <s v="LD390607"/>
        <s v="LD625808"/>
        <s v="LD811257"/>
        <s v="LD486028"/>
        <s v="LD580115"/>
        <s v="LD180685"/>
        <s v="LD620438"/>
        <s v="LD407410"/>
        <s v="LD463541"/>
        <s v="LD298244"/>
        <s v="LD531690"/>
        <s v="LD722180"/>
        <s v="LD580255"/>
        <s v="LD927607"/>
        <s v="LD255544"/>
        <s v="LD268600"/>
        <s v="LD269087"/>
        <s v="LD232617"/>
        <s v="LD797883"/>
        <s v="LD666091"/>
        <s v="LD524214"/>
        <s v="LD263633"/>
        <s v="LD778684"/>
        <s v="LD799282"/>
        <s v="LD822622"/>
        <s v="LD810943"/>
        <s v="LD981723"/>
        <s v="LD737692"/>
        <s v="LD305222"/>
        <s v="LD804179"/>
        <s v="LD614290"/>
        <s v="LD478603"/>
        <s v="LD504868"/>
        <s v="LD567220"/>
        <s v="LD877548"/>
        <s v="LD944809"/>
        <s v="LD246347"/>
        <s v="LD417960"/>
        <s v="LD719371"/>
        <s v="LD534649"/>
        <s v="LD243578"/>
        <s v="LD614416"/>
        <s v="LD618101"/>
        <s v="LD261505"/>
        <s v="LD230208"/>
        <s v="LD615780"/>
        <s v="LD901865"/>
        <s v="LD881782"/>
        <s v="LD758501"/>
        <s v="LD637422"/>
        <s v="LD709908"/>
        <s v="LD474745"/>
        <s v="LD151081"/>
        <s v="LD303229"/>
        <s v="LD889188"/>
        <s v="LD986041"/>
        <s v="LD200488"/>
        <s v="LD243601"/>
        <s v="LD456844"/>
        <s v="LD627835"/>
        <s v="LD823153"/>
        <s v="LD836378"/>
        <s v="LD222227"/>
        <s v="LD426708"/>
        <s v="LD648532"/>
        <s v="LD130156"/>
        <s v="LD821469"/>
        <s v="LD545440"/>
        <s v="LD912323"/>
        <s v="LD134385"/>
        <s v="LD224698"/>
        <s v="LD110771"/>
        <s v="LD716146"/>
        <s v="LD195189"/>
        <s v="LD464733"/>
        <s v="LD353569"/>
        <s v="LD114663"/>
        <s v="LD890645"/>
        <s v="LD628687"/>
        <s v="LD294118"/>
        <s v="LD498055"/>
        <s v="LD898395"/>
        <s v="LD242514"/>
        <s v="LD857215"/>
        <s v="LD397388"/>
        <s v="LD336845"/>
        <s v="LD998392"/>
        <s v="LD485290"/>
        <s v="LD210280"/>
        <s v="LD225008"/>
        <s v="LD877447"/>
        <s v="LD308757"/>
        <s v="LD344181"/>
        <s v="LD903180"/>
        <s v="LD473395"/>
        <s v="LD636256"/>
        <s v="LD362867"/>
        <s v="LD204441"/>
        <s v="LD128048"/>
        <s v="LD260155"/>
        <s v="LD904857"/>
        <s v="LD622084"/>
        <s v="LD666785"/>
        <s v="LD224921"/>
        <s v="LD581984"/>
        <s v="LD840356"/>
        <s v="LD507980"/>
        <s v="LD792142"/>
        <s v="LD689567"/>
        <s v="LD618721"/>
        <s v="LD903702"/>
        <s v="LD147310"/>
        <s v="LD128206"/>
        <s v="LD548945"/>
        <s v="LD793360"/>
        <s v="LD189067"/>
        <s v="LD453993"/>
        <s v="LD789719"/>
        <s v="LD121393"/>
        <s v="LD698059"/>
        <s v="LD824423"/>
        <s v="LD274721"/>
        <s v="LD621091"/>
        <s v="LD324479"/>
        <s v="LD943687"/>
        <s v="LD199335"/>
        <s v="LD656860"/>
        <s v="LD629152"/>
        <s v="LD309795"/>
        <s v="LD804181"/>
        <s v="LD837496"/>
        <s v="LD792905"/>
        <s v="LD768914"/>
        <s v="LD861911"/>
        <s v="LD254920"/>
        <s v="LD530189"/>
        <s v="LD987060"/>
        <s v="LD368903"/>
        <s v="LD257246"/>
        <s v="LD608960"/>
        <s v="LD311802"/>
        <s v="LD790666"/>
        <s v="LD609442"/>
        <s v="LD730823"/>
        <s v="LD804299"/>
        <s v="LD347507"/>
        <s v="LD796482"/>
        <s v="LD620566"/>
        <s v="LD445281"/>
        <s v="LD543410"/>
        <s v="LD560823"/>
        <s v="LD659383"/>
        <s v="LD544366"/>
        <s v="LD480631"/>
        <s v="LD776748"/>
        <s v="LD824233"/>
        <s v="LD503376"/>
        <s v="LD818534"/>
        <s v="LD108248"/>
        <s v="LD194634"/>
        <s v="LD268010"/>
        <s v="LD927659"/>
        <s v="LD872739"/>
        <s v="LD960085"/>
        <s v="LD169591"/>
        <s v="LD575279"/>
        <s v="LD760766"/>
        <s v="LD309794"/>
        <s v="LD265488"/>
        <s v="LD988102"/>
        <s v="LD601602"/>
        <s v="LD966929"/>
        <s v="LD485456"/>
        <s v="LD121741"/>
        <s v="LD757066"/>
        <s v="LD374499"/>
        <s v="LD549737"/>
        <s v="LD694797"/>
        <s v="LD967442"/>
        <s v="LD299800"/>
        <s v="LD882702"/>
        <s v="LD964119"/>
        <s v="LD528368"/>
        <s v="LD747684"/>
        <s v="LD778675"/>
        <s v="LD826687"/>
        <s v="LD871861"/>
        <s v="LD154644"/>
        <s v="LD803375"/>
        <s v="LD105621"/>
        <s v="LD803869"/>
        <s v="LD708684"/>
        <s v="LD590822"/>
        <s v="LD248683"/>
        <s v="LD975355"/>
        <s v="LD376002"/>
        <s v="LD428215"/>
        <s v="LD900771"/>
        <s v="LD155807"/>
        <s v="LD593090"/>
        <s v="LD618951"/>
        <s v="LD608768"/>
        <s v="LD229660"/>
        <s v="LD975512"/>
        <s v="LD795350"/>
        <s v="LD904098"/>
        <s v="LD905572"/>
        <s v="LD398090"/>
        <s v="LD719014"/>
        <s v="LD130277"/>
        <s v="LD576111"/>
        <s v="LD445429"/>
        <s v="LD867080"/>
        <s v="LD321634"/>
        <s v="LD936917"/>
        <s v="LD197046"/>
        <s v="LD121508"/>
        <s v="LD778604"/>
        <s v="LD614688"/>
        <s v="LD732829"/>
        <s v="LD309580"/>
        <s v="LD690408"/>
        <s v="LD743687"/>
        <s v="LD638277"/>
        <s v="LD619383"/>
        <s v="LD590963"/>
        <s v="LD255825"/>
        <s v="LD648501"/>
        <s v="LD147285"/>
        <s v="LD587227"/>
        <s v="LD367240"/>
        <s v="LD876487"/>
        <s v="LD147457"/>
        <s v="LD715732"/>
        <s v="LD947075"/>
        <s v="LD294078"/>
        <s v="LD211495"/>
        <s v="LD113950"/>
        <s v="LD789666"/>
        <s v="LD748543"/>
        <s v="LD943726"/>
        <s v="LD217348"/>
        <s v="LD319393"/>
        <s v="LD982995"/>
        <s v="LD415535"/>
        <s v="LD222115"/>
        <s v="LD608608"/>
        <s v="LD311118"/>
        <s v="LD450067"/>
        <s v="LD535878"/>
        <s v="LD681230"/>
        <s v="LD638292"/>
        <s v="LD343170"/>
        <s v="LD431192"/>
        <s v="LD596330"/>
        <s v="LD570103"/>
        <s v="LD301537"/>
        <s v="LD716204"/>
        <s v="LD983390"/>
        <s v="LD845941"/>
        <s v="LD934637"/>
        <s v="LD317273"/>
        <s v="LD235367"/>
        <s v="LD932026"/>
        <s v="LD319606"/>
        <s v="LD474387"/>
        <s v="LD946007"/>
        <s v="LD226550"/>
        <s v="LD472497"/>
        <s v="LD258522"/>
        <s v="LD209200"/>
        <s v="LD982478"/>
        <s v="LD920150"/>
        <s v="LD631948"/>
        <s v="LD264660"/>
        <s v="LD868136"/>
        <s v="LD958952"/>
        <s v="LD906584"/>
        <s v="LD400687"/>
        <s v="LD891512"/>
        <s v="LD889794"/>
        <s v="LD940715"/>
        <s v="LD933206"/>
        <s v="LD907562"/>
        <s v="LD454737"/>
        <s v="LD164454"/>
        <s v="LD702466"/>
        <s v="LD410089"/>
        <s v="LD419105"/>
        <s v="LD967176"/>
        <s v="LD567863"/>
        <s v="LD748216"/>
        <s v="LD913066"/>
        <s v="LD450741"/>
        <s v="LD667059"/>
        <s v="LD646660"/>
        <s v="LD935294"/>
        <s v="LD543281"/>
        <s v="LD372374"/>
        <s v="LD230809"/>
        <s v="LD455446"/>
        <s v="LD849361"/>
        <s v="LD345196"/>
        <s v="LD805097"/>
        <s v="LD210338"/>
        <s v="LD202747"/>
        <s v="LD196729"/>
        <s v="LD567836"/>
        <s v="LD686120"/>
        <s v="LD623058"/>
        <s v="LD867260"/>
        <s v="LD233299"/>
        <s v="LD654844"/>
        <s v="LD882758"/>
        <s v="LD993719"/>
        <s v="LD142238"/>
        <s v="LD417991"/>
        <s v="LD921866"/>
        <s v="LD326053"/>
        <s v="LD674134"/>
        <s v="LD700896"/>
        <s v="LD495633"/>
        <s v="LD898963"/>
        <s v="LD570888"/>
        <s v="LD796781"/>
        <s v="LD667273"/>
        <s v="LD390848"/>
        <s v="LD699780"/>
        <s v="LD776498"/>
        <s v="LD697944"/>
        <s v="LD226126"/>
        <s v="LD924974"/>
        <s v="LD188759"/>
        <s v="LD147168"/>
        <s v="LD289276"/>
        <s v="LD369670"/>
        <s v="LD399212"/>
        <s v="LD421697"/>
        <s v="LD441092"/>
        <s v="LD203540"/>
        <s v="LD493754"/>
        <s v="LD351262"/>
        <s v="LD888938"/>
        <s v="LD433799"/>
        <s v="LD527288"/>
        <s v="LD680990"/>
        <s v="LD419409"/>
        <s v="LD313340"/>
        <s v="LD920011"/>
        <s v="LD143822"/>
        <s v="LD784781"/>
        <s v="LD726909"/>
        <s v="LD762917"/>
        <s v="LD269257"/>
        <s v="LD514507"/>
        <s v="LD393033"/>
        <s v="LD815234"/>
        <s v="LD386275"/>
        <s v="LD582134"/>
        <s v="LD777844"/>
        <s v="LD805383"/>
        <s v="LD899502"/>
        <s v="LD664814"/>
        <s v="LD804900"/>
        <s v="LD475354"/>
        <s v="LD230824"/>
        <s v="LD332281"/>
        <s v="LD300814"/>
        <s v="LD331890"/>
        <s v="LD394394"/>
        <s v="LD107482"/>
        <s v="LD390819"/>
        <s v="LD791890"/>
        <s v="LD284055"/>
        <s v="LD372235"/>
        <s v="LD301170"/>
        <s v="LD744304"/>
        <s v="LD547861"/>
        <s v="LD553559"/>
        <s v="LD589251"/>
        <s v="LD335455"/>
        <s v="LD431603"/>
        <s v="LD946906"/>
        <s v="LD178056"/>
        <s v="LD165896"/>
        <s v="LD947311"/>
        <s v="LD362573"/>
        <s v="LD157076"/>
        <s v="LD913432"/>
        <s v="LD495727"/>
        <s v="LD165014"/>
        <s v="LD756602"/>
        <s v="LD154738"/>
        <s v="LD888490"/>
        <s v="LD111121"/>
        <s v="LD749310"/>
        <s v="LD576133"/>
        <s v="LD112885"/>
        <s v="LD768324"/>
        <s v="LD751009"/>
        <s v="LD233882"/>
        <s v="LD426304"/>
        <s v="LD592331"/>
        <s v="LD642827"/>
        <s v="LD631741"/>
        <s v="LD460517"/>
        <s v="LD458143"/>
        <s v="LD728896"/>
        <s v="LD746030"/>
        <s v="LD927527"/>
        <s v="LD333858"/>
        <s v="LD604098"/>
        <s v="LD876031"/>
        <s v="LD110372"/>
        <s v="LD404691"/>
        <s v="LD131127"/>
        <s v="LD853754"/>
        <s v="LD305507"/>
        <s v="LD971834"/>
        <s v="LD320449"/>
        <s v="LD279683"/>
        <s v="LD845476"/>
        <s v="LD300992"/>
        <s v="LD550405"/>
        <s v="LD715855"/>
        <s v="LD359178"/>
        <s v="LD712454"/>
        <s v="LD929420"/>
        <s v="LD887803"/>
        <s v="LD644098"/>
        <s v="LD828246"/>
        <s v="LD709418"/>
        <s v="LD138382"/>
        <s v="LD515131"/>
        <s v="LD264845"/>
        <s v="LD240855"/>
        <s v="LD341358"/>
        <s v="LD546800"/>
        <s v="LD621711"/>
        <s v="LD345147"/>
        <s v="LD983533"/>
        <s v="LD338804"/>
        <s v="LD310036"/>
        <s v="LD881410"/>
        <s v="LD839919"/>
        <s v="LD373820"/>
        <s v="LD523426"/>
        <s v="LD594932"/>
        <s v="LD338633"/>
        <s v="LD640882"/>
        <s v="LD953957"/>
        <s v="LD296971"/>
        <s v="LD559990"/>
        <s v="LD705561"/>
        <s v="LD624078"/>
        <s v="LD539507"/>
        <s v="LD414192"/>
        <s v="LD261156"/>
        <s v="LD937965"/>
        <s v="LD314124"/>
        <s v="LD597840"/>
        <s v="LD419443"/>
        <s v="LD133616"/>
        <s v="LD308665"/>
        <s v="LD344359"/>
        <s v="LD486559"/>
        <s v="LD264663"/>
        <s v="LD879241"/>
        <s v="LD315667"/>
        <s v="LD266494"/>
        <s v="LD626883"/>
        <s v="LD249623"/>
        <s v="LD358830"/>
        <s v="LD585171"/>
        <s v="LD578472"/>
        <s v="LD742805"/>
        <s v="LD288301"/>
        <s v="LD791095"/>
        <s v="LD351338"/>
        <s v="LD406068"/>
        <s v="LD617459"/>
        <s v="LD180251"/>
        <s v="LD572840"/>
        <s v="LD128015"/>
        <s v="LD499670"/>
        <s v="LD139609"/>
        <s v="LD802855"/>
        <s v="LD675069"/>
        <s v="LD593656"/>
        <s v="LD736473"/>
        <s v="LD276636"/>
        <s v="LD260952"/>
        <s v="LD807835"/>
        <s v="LD950931"/>
        <s v="LD509593"/>
        <s v="LD151028"/>
        <s v="LD350127"/>
        <s v="LD453492"/>
        <s v="LD201295"/>
        <s v="LD146150"/>
        <s v="LD689356"/>
        <s v="LD548665"/>
        <s v="LD282055"/>
        <s v="LD323103"/>
        <s v="LD754216"/>
        <s v="LD416181"/>
        <s v="LD929696"/>
        <s v="LD199346"/>
        <s v="LD810830"/>
        <s v="LD283847"/>
        <s v="LD798740"/>
        <s v="LD570717"/>
        <s v="LD343904"/>
        <s v="LD347879"/>
        <s v="LD162833"/>
        <s v="LD494000"/>
        <s v="LD565280"/>
        <s v="LD774865"/>
        <s v="LD887009"/>
        <s v="LD354016"/>
        <s v="LD940383"/>
        <s v="LD500016"/>
        <s v="LD167755"/>
        <s v="LD765181"/>
        <s v="LD282112"/>
        <s v="LD632073"/>
        <s v="LD856729"/>
        <s v="LD417824"/>
        <s v="LD385066"/>
        <s v="LD496065"/>
        <s v="LD870627"/>
        <s v="LD898940"/>
        <s v="LD663292"/>
        <s v="LD586173"/>
        <s v="LD604201"/>
        <s v="LD262240"/>
        <s v="LD615326"/>
        <s v="LD502692"/>
        <s v="LD528644"/>
        <s v="LD693083"/>
        <s v="LD465511"/>
        <s v="LD830286"/>
        <s v="LD354125"/>
        <s v="LD840880"/>
        <s v="LD374025"/>
        <s v="LD359433"/>
        <s v="LD222400"/>
        <s v="LD840367"/>
        <s v="LD543489"/>
        <s v="LD624966"/>
        <s v="LD422939"/>
        <s v="LD214582"/>
        <s v="LD249645"/>
        <s v="LD832964"/>
        <s v="LD201576"/>
        <s v="LD786315"/>
        <s v="LD295454"/>
        <s v="LD215593"/>
        <s v="LD161847"/>
        <s v="LD528649"/>
        <s v="LD183686"/>
        <s v="LD458772"/>
        <s v="LD897477"/>
        <s v="LD710738"/>
        <s v="LD493914"/>
      </sharedItems>
    </cacheField>
    <cacheField name="origem" numFmtId="0">
      <sharedItems containsBlank="1" count="6">
        <s v="online"/>
        <s v="loja"/>
        <m u="1"/>
        <s v="Telefone" u="1"/>
        <s v="PROGREDIR" u="1"/>
        <s v="CRCIC" u="1"/>
      </sharedItems>
    </cacheField>
    <cacheField name="midia" numFmtId="0">
      <sharedItems containsBlank="1" count="22">
        <s v="Instagram"/>
        <s v="Indicação"/>
        <s v="Outdoor"/>
        <s v="Panfleto"/>
        <m u="1"/>
        <s v="Facebook" u="1"/>
        <s v="Google Ads" u="1"/>
        <s v="LinkedIn" u="1"/>
        <s v="Call Center" u="1"/>
        <s v="CRM" u="1"/>
        <s v="Mailing" u="1"/>
        <s v="PLATAFORMA CADUNICO" u="1"/>
        <s v="INTERNET" u="1"/>
        <s v="AMIGOS (AS)" u="1"/>
        <s v="NÃO INFORMADO" u="1"/>
        <s v="TERCEIROS" u="1"/>
        <s v="TELEVISÃO" u="1"/>
        <s v="FAMILIARES" u="1"/>
        <s v="SEBRAE/SINDICATO" u="1"/>
        <s v="RÁDIO" u="1"/>
        <s v="AGÊNCIA/SITE - BNB" u="1"/>
        <s v="OUTDOOR/BUSDOOR" u="1"/>
      </sharedItems>
    </cacheField>
    <cacheField name="escritorio" numFmtId="0">
      <sharedItems containsBlank="1" count="42">
        <s v="AM-NAT"/>
        <s v="PA-SOL"/>
        <s v="PR-MNT"/>
        <s v="BA-AGRO"/>
        <s v="RS-MAR"/>
        <s v="RO-VER"/>
        <s v="CE-SER"/>
        <s v="RN-VAL"/>
        <s v="PE-URB"/>
        <s v="CE-LIT"/>
        <s v="PE-CEN"/>
        <s v="SC-RIO"/>
        <m u="1"/>
        <s v="FOR_CE" u="1"/>
        <s v="SLZ_MA" u="1"/>
        <s v="REC_PE" u="1"/>
        <s v="NAT_RN" u="1"/>
        <s v="JPA_PB" u="1"/>
        <s v="TER_PI" u="1"/>
        <s v="BEL_PA" u="1"/>
        <s v="MAC_AL" u="1"/>
        <s v="ARA_SE" u="1"/>
        <s v="SAO_SP" u="1"/>
        <s v="MA SLU" u="1"/>
        <s v="BA JUA" u="1"/>
        <s v="BA VTC" u="1"/>
        <s v="AL" u="1"/>
        <s v="PI FLO" u="1"/>
        <s v="RN" u="1"/>
        <s v="BA SSA" u="1"/>
        <s v="PE REC" u="1"/>
        <s v="PI TER" u="1"/>
        <s v="PB" u="1"/>
        <s v="CE SOB" u="1"/>
        <s v="SE" u="1"/>
        <s v="PE PET" u="1"/>
        <s v="CE FOR" u="1"/>
        <s v="PE CAR" u="1"/>
        <s v="MA IMP" u="1"/>
        <s v="MG" u="1"/>
        <s v="CE JUA" u="1"/>
        <s v="ES" u="1"/>
      </sharedItems>
    </cacheField>
    <cacheField name="cod_esc" numFmtId="0">
      <sharedItems containsSemiMixedTypes="0" containsString="0" containsNumber="1" containsInteger="1" minValue="3031" maxValue="3042"/>
    </cacheField>
    <cacheField name="cliente" numFmtId="0">
      <sharedItems/>
    </cacheField>
    <cacheField name="cpf" numFmtId="0">
      <sharedItems/>
    </cacheField>
    <cacheField name="cpf_tratado" numFmtId="0">
      <sharedItems/>
    </cacheField>
    <cacheField name="cidade" numFmtId="0">
      <sharedItems/>
    </cacheField>
    <cacheField name="uf" numFmtId="0">
      <sharedItems containsBlank="1" count="19">
        <s v="AM"/>
        <s v="PA"/>
        <s v="PR"/>
        <s v="BA"/>
        <s v="RS"/>
        <s v="RO"/>
        <s v="CE"/>
        <s v="RN"/>
        <s v="PE"/>
        <s v="SC"/>
        <m u="1"/>
        <s v="MA" u="1"/>
        <s v="PB" u="1"/>
        <s v="PI" u="1"/>
        <s v="AL" u="1"/>
        <s v="SE" u="1"/>
        <s v="SP" u="1"/>
        <s v="MG" u="1"/>
        <s v="ES" u="1"/>
      </sharedItems>
    </cacheField>
    <cacheField name="negocio" numFmtId="0">
      <sharedItems containsBlank="1"/>
    </cacheField>
    <cacheField name="desembolso" numFmtId="0">
      <sharedItems containsSemiMixedTypes="0" containsString="0" containsNumber="1" containsInteger="1" minValue="45658" maxValue="45746"/>
    </cacheField>
    <cacheField name="unidade_crediamigo" numFmtId="0">
      <sharedItems containsBlank="1" count="178">
        <s v="Estrela 6"/>
        <s v="Raio 8"/>
        <s v="Estrela 5"/>
        <s v="Horizonte 4"/>
        <s v="Raio 4"/>
        <s v="Oásis 2"/>
        <s v="Luz 1"/>
        <s v="Encanto 3"/>
        <s v="Brisa 2"/>
        <s v="Brisa 3"/>
        <s v="Oásis 3"/>
        <s v="Serenidade 3"/>
        <s v="Luz 7"/>
        <s v="Raio 1"/>
        <s v="Estrela 4"/>
        <s v="Serenidade 6"/>
        <s v="Luz 5"/>
        <s v="Oásis 5"/>
        <s v="Estrela 2"/>
        <s v="Serenidade 4"/>
        <s v="Aurora 6"/>
        <s v="Aurora 3"/>
        <s v="Serenidade 1"/>
        <s v="Luz 4"/>
        <s v="Horizonte 1"/>
        <s v="Aurora 9"/>
        <s v="Monte 5"/>
        <s v="Luz 2"/>
        <s v="Horizonte 3"/>
        <s v="Monte 4"/>
        <s v="Horizonte 6"/>
        <s v="Serenidade 5"/>
        <s v="Horizonte 5"/>
        <s v="Estrela 8"/>
        <s v="Monte 1"/>
        <s v="Horizonte 2"/>
        <s v="Serenidade 7"/>
        <s v="Brisa 4"/>
        <s v="Oásis 1"/>
        <s v="Aurora 2"/>
        <s v="Monte 3"/>
        <s v="Brisa 5"/>
        <s v="Raio 6"/>
        <s v="Encanto 4"/>
        <s v="Oásis 10"/>
        <s v="Serenidade 2"/>
        <s v="Oásis 6"/>
        <s v="Oásis 7"/>
        <s v="Brisa 7"/>
        <m u="1"/>
        <s v="Filial Cajuína" u="1"/>
        <s v="Filial Lençóis" u="1"/>
        <s v="Filial Lençóis  " u="1"/>
        <s v="Filial Frevo" u="1"/>
        <s v="Filial Mangue" u="1"/>
        <s v="Filial Areia" u="1"/>
        <s v="Filial Carnaúba" u="1"/>
        <s v="Filial Açaí" u="1"/>
        <s v="Filial Maré" u="1"/>
        <s v="Filial Coco" u="1"/>
        <s v="Filial Paulista" u="1"/>
        <s v="Filial Frevo  " u="1"/>
        <s v="Filial Cajuína  " u="1"/>
        <s v="Filial Mangue  " u="1"/>
        <s v="Filial Areia  " u="1"/>
        <s v="Filial Carnaúba  " u="1"/>
        <s v="Filial Açaí  " u="1"/>
        <s v="Filial Maré  " u="1"/>
        <s v="Filial Coco  " u="1"/>
        <s v="Filial Paulista  " u="1"/>
        <s v=" ZE DOCA                           " u="1"/>
        <s v=" XIQUE-XIQUE                       " u="1"/>
        <s v=" VITORIA DA CONQUISTA              " u="1"/>
        <s v=" VICOSA                            " u="1"/>
        <s v=" VIANA                             " u="1"/>
        <s v=" URUCUI                            " u="1"/>
        <s v=" UMARIZAL                          " u="1"/>
        <s v=" TOBIAS BARRETO                    " u="1"/>
        <s v=" TIMBAUBA                          " u="1"/>
        <s v=" TERESINA CENTRO                   " u="1"/>
        <s v=" SOLANEA                           " u="1"/>
        <s v=" SOBRAL                            " u="1"/>
        <s v=" SIMOES FILHO                      " u="1"/>
        <s v=" SENHOR DO BONFIM                  " u="1"/>
        <s v=" SAO RAIMUNDO NONATO               " u="1"/>
        <s v=" SAO LUIS SAO CRISTOVAO            " u="1"/>
        <s v=" SAO LUIS CENTRO                   " u="1"/>
        <s v=" SAO LOURENCO DA MATA              " u="1"/>
        <s v=" SAO JOSE DE RIBAMAR               " u="1"/>
        <s v=" SAO GONCALO DO AMARANTE           " u="1"/>
        <s v=" SANTO ANTONIO DE JESUS            " u="1"/>
        <s v=" SANTA RITA                        " u="1"/>
        <s v=" SANTA QUITERIA                    " u="1"/>
        <s v=" SANTA INES                        " u="1"/>
        <s v=" SALVADOR PITUBA                   " u="1"/>
        <s v=" SALVADOR COMERCIO                 " u="1"/>
        <s v=" SALGUEIRO                         " u="1"/>
        <s v=" RECIFE CENTRO                     " u="1"/>
        <s v=" QUIXADA                           " u="1"/>
        <s v=" PROPRIA                           " u="1"/>
        <s v=" PORTO SEGURO                      " u="1"/>
        <s v=" PIRACURUCA                        " u="1"/>
        <s v=" PINHEIRO                          " u="1"/>
        <s v=" PETROLINA                         " u="1"/>
        <s v=" PESQUEIRA                         " u="1"/>
        <s v=" PEDREIRAS                         " u="1"/>
        <s v=" PAULISTA                          " u="1"/>
        <s v=" PALMEIRA DOS INDIOS               " u="1"/>
        <s v=" OURICURI                          " u="1"/>
        <s v=" OLINDA                            " u="1"/>
        <s v=" NOVA RUSSAS                       " u="1"/>
        <s v=" NOSSA SENHORA DO SOCORRO          " u="1"/>
        <s v=" NATAL ROBERTO FREIRE              " u="1"/>
        <s v=" MUNDO NOVO                        " u="1"/>
        <s v=" MONTES CLAROS                     " u="1"/>
        <s v=" MONTEIRO                          " u="1"/>
        <s v=" MOMBACA                           " u="1"/>
        <s v=" MARANGUAPE                        " u="1"/>
        <s v=" MARACANAU                         " u="1"/>
        <s v=" MACEIO ANTARES                    " u="1"/>
        <s v=" LINHARES                          " u="1"/>
        <s v=" LIMOEIRO DO NORTE                 " u="1"/>
        <s v=" LIMOEIRO                          " u="1"/>
        <s v=" LAGARTO                           " u="1"/>
        <s v=" JUAZEIRO                          " u="1"/>
        <s v=" JAGUARIBE                         " u="1"/>
        <s v=" JAGUAQUARA                        " u="1"/>
        <s v=" JACOBINA                          " u="1"/>
        <s v=" ITAPAJE                           " u="1"/>
        <s v=" ITABUNA                           " u="1"/>
        <s v=" ITABERABA                         " u="1"/>
        <s v=" ITABAIANA                         " u="1"/>
        <s v=" IRECE                             " u="1"/>
        <s v=" ILHEUS                            " u="1"/>
        <s v=" GUANAMBI                          " u="1"/>
        <s v=" GOVERNADOR NUNES FREIRE           " u="1"/>
        <s v=" GOIANINHA                         " u="1"/>
        <s v=" FORTALEZA PASSARE                 " u="1"/>
        <s v=" FORTALEZA MONTESE                 " u="1"/>
        <s v=" FORTALEZA CENTRO                  " u="1"/>
        <s v=" FORTALEZA BEZERRA DE MENEZES      " u="1"/>
        <s v=" FLORIANO                          " u="1"/>
        <s v=" FEIRA DE SANTANA                  " u="1"/>
        <s v=" CURRAIS NOVOS                     " u="1"/>
        <s v=" CRATO                             " u="1"/>
        <s v=" CORRENTE                          " u="1"/>
        <s v=" COLINAS                           " u="1"/>
        <s v=" CICERO DANTAS                     " u="1"/>
        <s v=" CHAPADINHA                        " u="1"/>
        <s v=" CAUCAIA CENTRO                    " u="1"/>
        <s v=" CATOLE DO ROCHA                   " u="1"/>
        <s v=" CASA NOVA                         " u="1"/>
        <s v=" CANINDE                           " u="1"/>
        <s v=" CAMPOS SALES                      " u="1"/>
        <s v=" CAMPO MAIOR                       " u="1"/>
        <s v=" CAMPO FORMOSO                     " u="1"/>
        <s v=" CAMPINA GRANDE                    " u="1"/>
        <s v=" CAMACARI                          " u="1"/>
        <s v=" CAJAZEIRAS                        " u="1"/>
        <s v=" BREJO SANTO                       " u="1"/>
        <s v=" BOM JESUS DA LAPA                 " u="1"/>
        <s v=" BOCAIUVA                          " u="1"/>
        <s v=" BEZERROS                          " u="1"/>
        <s v=" BATURITE                          " u="1"/>
        <s v=" BALSAS                            " u="1"/>
        <s v=" ARAPIRACA                         " u="1"/>
        <s v=" ARACI                             " u="1"/>
        <s v=" ARACAJU SIQUEIRA CAMPOS           " u="1"/>
        <s v=" ARACAJU JARDINS                   " u="1"/>
        <s v=" ARACAJU                           " u="1"/>
        <s v=" APODI                             " u="1"/>
        <s v=" ALTOS                             " u="1"/>
        <s v=" ALAGOINHAS                        " u="1"/>
        <s v=" ALAGOA GRANDE                     " u="1"/>
        <s v=" AGUA BRANCA                       " u="1"/>
        <s v=" ACARAU                            " u="1"/>
        <s v=" ACAILANDIA                        " u="1"/>
        <s v="" u="1"/>
      </sharedItems>
    </cacheField>
  </cacheFields>
  <extLst>
    <ext xmlns:x14="http://schemas.microsoft.com/office/spreadsheetml/2009/9/main" uri="{725AE2AE-9491-48be-B2B4-4EB974FC3084}">
      <x14:pivotCacheDefinition pivotCacheId="122503344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x v="0"/>
    <x v="0"/>
    <n v="3031"/>
    <s v="Ana Sophia Araújo"/>
    <s v="43815092698"/>
    <s v="438.150.926-98"/>
    <s v="Amazonas"/>
    <x v="0"/>
    <m/>
    <n v="45661"/>
    <x v="0"/>
  </r>
  <r>
    <x v="1"/>
    <x v="1"/>
    <x v="1"/>
    <x v="1"/>
    <n v="3032"/>
    <s v="Bryan da Rosa"/>
    <s v="38041697593"/>
    <s v="380.416.975-93"/>
    <s v="Belém"/>
    <x v="1"/>
    <s v="Sim"/>
    <n v="45715"/>
    <x v="1"/>
  </r>
  <r>
    <x v="2"/>
    <x v="0"/>
    <x v="1"/>
    <x v="2"/>
    <n v="3033"/>
    <s v="Alexandre da Cruz"/>
    <s v="654.192.038-98"/>
    <s v="654.192.038-98"/>
    <s v="Tocantins"/>
    <x v="2"/>
    <m/>
    <n v="45667"/>
    <x v="2"/>
  </r>
  <r>
    <x v="3"/>
    <x v="1"/>
    <x v="2"/>
    <x v="0"/>
    <n v="3031"/>
    <s v="Dr. Otávio Ferreira"/>
    <s v="07139426813"/>
    <s v="071.394.268-13"/>
    <s v="Amazonas"/>
    <x v="0"/>
    <m/>
    <n v="45714"/>
    <x v="3"/>
  </r>
  <r>
    <x v="4"/>
    <x v="0"/>
    <x v="2"/>
    <x v="2"/>
    <n v="3033"/>
    <s v="Thales Campos"/>
    <s v="034.916.852-06"/>
    <s v="034.916.852-06"/>
    <s v="Tocantins"/>
    <x v="2"/>
    <m/>
    <n v="45719"/>
    <x v="4"/>
  </r>
  <r>
    <x v="5"/>
    <x v="1"/>
    <x v="3"/>
    <x v="3"/>
    <n v="3034"/>
    <s v="Sr. João Lucas Moraes"/>
    <s v="341.857.609-57"/>
    <s v="341.857.609-57"/>
    <s v="Salvador"/>
    <x v="3"/>
    <m/>
    <n v="45694"/>
    <x v="5"/>
  </r>
  <r>
    <x v="6"/>
    <x v="1"/>
    <x v="3"/>
    <x v="4"/>
    <n v="3035"/>
    <s v="Pedro Miguel das Neves"/>
    <s v="503.682.719-86"/>
    <s v="503.682.719-86"/>
    <s v="Porto Alegre"/>
    <x v="4"/>
    <m/>
    <n v="45678"/>
    <x v="4"/>
  </r>
  <r>
    <x v="7"/>
    <x v="0"/>
    <x v="3"/>
    <x v="2"/>
    <n v="3033"/>
    <s v="Raquel Lopes"/>
    <s v="376.591.208-59"/>
    <s v="376.591.208-59"/>
    <s v="Tocantins"/>
    <x v="2"/>
    <m/>
    <n v="45730"/>
    <x v="6"/>
  </r>
  <r>
    <x v="8"/>
    <x v="1"/>
    <x v="3"/>
    <x v="2"/>
    <n v="3033"/>
    <s v="Maria Alice Ferreira"/>
    <s v="968.215.307-77"/>
    <s v="968.215.307-77"/>
    <s v="Tocantins"/>
    <x v="2"/>
    <s v="Sim"/>
    <n v="45741"/>
    <x v="7"/>
  </r>
  <r>
    <x v="9"/>
    <x v="0"/>
    <x v="3"/>
    <x v="4"/>
    <n v="3035"/>
    <s v="Davi Lucas da Cruz"/>
    <s v="61934725099"/>
    <s v="619.347.250-99"/>
    <s v="Porto Alegre"/>
    <x v="4"/>
    <m/>
    <n v="45724"/>
    <x v="8"/>
  </r>
  <r>
    <x v="10"/>
    <x v="1"/>
    <x v="0"/>
    <x v="5"/>
    <n v="3036"/>
    <s v="Srta. Nina Teixeira"/>
    <s v="451.237.809-04"/>
    <s v="451.237.809-04"/>
    <s v="Porto Velho"/>
    <x v="5"/>
    <m/>
    <n v="45706"/>
    <x v="9"/>
  </r>
  <r>
    <x v="11"/>
    <x v="0"/>
    <x v="3"/>
    <x v="6"/>
    <n v="3037"/>
    <s v="Luiz Fernando Cavalcanti"/>
    <s v="483.126.059-24"/>
    <s v="483.126.059-24"/>
    <s v="Fortaleza"/>
    <x v="6"/>
    <m/>
    <n v="45705"/>
    <x v="10"/>
  </r>
  <r>
    <x v="12"/>
    <x v="1"/>
    <x v="2"/>
    <x v="3"/>
    <n v="3034"/>
    <s v="Carlos Eduardo Moreira"/>
    <s v="43019752680"/>
    <s v="430.197.526-80"/>
    <s v="Salvador"/>
    <x v="3"/>
    <m/>
    <n v="45737"/>
    <x v="11"/>
  </r>
  <r>
    <x v="13"/>
    <x v="0"/>
    <x v="0"/>
    <x v="2"/>
    <n v="3033"/>
    <s v="Vitor Hugo Teixeira"/>
    <s v="29741830696"/>
    <s v="297.418.306-96"/>
    <s v="Tocantins"/>
    <x v="2"/>
    <s v="Sim"/>
    <n v="45727"/>
    <x v="6"/>
  </r>
  <r>
    <x v="14"/>
    <x v="0"/>
    <x v="0"/>
    <x v="7"/>
    <n v="3038"/>
    <s v="João Moura"/>
    <s v="78901564300"/>
    <s v="789.015.643-00"/>
    <s v="Natal"/>
    <x v="7"/>
    <s v="Sim"/>
    <n v="45715"/>
    <x v="12"/>
  </r>
  <r>
    <x v="15"/>
    <x v="0"/>
    <x v="2"/>
    <x v="0"/>
    <n v="3031"/>
    <s v="Daniela das Neves"/>
    <s v="019.875.243-14"/>
    <s v="019.875.243-14"/>
    <s v="Amazonas"/>
    <x v="0"/>
    <m/>
    <n v="45685"/>
    <x v="13"/>
  </r>
  <r>
    <x v="16"/>
    <x v="0"/>
    <x v="0"/>
    <x v="2"/>
    <n v="3033"/>
    <s v="Luiza da Rosa"/>
    <s v="827.135.609-77"/>
    <s v="827.135.609-77"/>
    <s v="Tocantins"/>
    <x v="2"/>
    <m/>
    <n v="45721"/>
    <x v="8"/>
  </r>
  <r>
    <x v="17"/>
    <x v="0"/>
    <x v="3"/>
    <x v="3"/>
    <n v="3034"/>
    <s v="Isabella Pereira"/>
    <s v="670.598.412-02"/>
    <s v="670.598.412-02"/>
    <s v="Salvador"/>
    <x v="3"/>
    <m/>
    <n v="45735"/>
    <x v="11"/>
  </r>
  <r>
    <x v="18"/>
    <x v="1"/>
    <x v="3"/>
    <x v="8"/>
    <n v="3039"/>
    <s v="Felipe da Mota"/>
    <s v="38719624069"/>
    <s v="387.196.240-69"/>
    <s v="Recife"/>
    <x v="8"/>
    <m/>
    <n v="45742"/>
    <x v="14"/>
  </r>
  <r>
    <x v="19"/>
    <x v="0"/>
    <x v="2"/>
    <x v="1"/>
    <n v="3032"/>
    <s v="Leonardo Vieira"/>
    <s v="108.795.342-14"/>
    <s v="108.795.342-14"/>
    <s v="Belém"/>
    <x v="1"/>
    <m/>
    <n v="45678"/>
    <x v="15"/>
  </r>
  <r>
    <x v="20"/>
    <x v="0"/>
    <x v="2"/>
    <x v="8"/>
    <n v="3039"/>
    <s v="Ana Carolina da Cunha"/>
    <s v="60923754199"/>
    <s v="609.237.541-99"/>
    <s v="Recife"/>
    <x v="8"/>
    <m/>
    <n v="45673"/>
    <x v="14"/>
  </r>
  <r>
    <x v="21"/>
    <x v="0"/>
    <x v="2"/>
    <x v="8"/>
    <n v="3039"/>
    <s v="Gustavo da Rosa"/>
    <s v="08952746120"/>
    <s v="089.527.461-20"/>
    <s v="Recife"/>
    <x v="8"/>
    <m/>
    <n v="45706"/>
    <x v="14"/>
  </r>
  <r>
    <x v="22"/>
    <x v="0"/>
    <x v="3"/>
    <x v="8"/>
    <n v="3039"/>
    <s v="Bruna Caldeira"/>
    <s v="812.046.935-60"/>
    <s v="812.046.935-60"/>
    <s v="Recife"/>
    <x v="8"/>
    <s v="Sim"/>
    <n v="45744"/>
    <x v="8"/>
  </r>
  <r>
    <x v="23"/>
    <x v="1"/>
    <x v="1"/>
    <x v="8"/>
    <n v="3039"/>
    <s v="Elisa Barbosa"/>
    <s v="91654728020"/>
    <s v="916.547.280-20"/>
    <s v="Recife"/>
    <x v="8"/>
    <m/>
    <n v="45723"/>
    <x v="16"/>
  </r>
  <r>
    <x v="24"/>
    <x v="1"/>
    <x v="1"/>
    <x v="5"/>
    <n v="3036"/>
    <s v="Sra. Eduarda Ferreira"/>
    <s v="62438071931"/>
    <s v="624.380.719-31"/>
    <s v="Porto Velho"/>
    <x v="5"/>
    <m/>
    <n v="45665"/>
    <x v="17"/>
  </r>
  <r>
    <x v="25"/>
    <x v="1"/>
    <x v="3"/>
    <x v="4"/>
    <n v="3035"/>
    <s v="Clara Santos"/>
    <s v="42501896785"/>
    <s v="425.018.967-85"/>
    <s v="Porto Alegre"/>
    <x v="4"/>
    <m/>
    <n v="45738"/>
    <x v="8"/>
  </r>
  <r>
    <x v="26"/>
    <x v="0"/>
    <x v="2"/>
    <x v="4"/>
    <n v="3035"/>
    <s v="Rafaela Jesus"/>
    <s v="980.542.731-50"/>
    <s v="980.542.731-50"/>
    <s v="Porto Alegre"/>
    <x v="4"/>
    <s v="Sim"/>
    <n v="45669"/>
    <x v="4"/>
  </r>
  <r>
    <x v="27"/>
    <x v="0"/>
    <x v="3"/>
    <x v="1"/>
    <n v="3032"/>
    <s v="Vinicius Vieira"/>
    <s v="24871956300"/>
    <s v="248.719.563-00"/>
    <s v="Belém"/>
    <x v="1"/>
    <s v="Sim"/>
    <n v="45707"/>
    <x v="18"/>
  </r>
  <r>
    <x v="28"/>
    <x v="1"/>
    <x v="3"/>
    <x v="6"/>
    <n v="3037"/>
    <s v="Eloah Barros"/>
    <s v="16408297331"/>
    <s v="164.082.973-31"/>
    <s v="Fortaleza"/>
    <x v="6"/>
    <m/>
    <n v="45673"/>
    <x v="5"/>
  </r>
  <r>
    <x v="29"/>
    <x v="0"/>
    <x v="3"/>
    <x v="4"/>
    <n v="3035"/>
    <s v="Sra. Maria Clara Pereira"/>
    <s v="80195764366"/>
    <s v="801.957.643-66"/>
    <s v="Porto Alegre"/>
    <x v="4"/>
    <m/>
    <n v="45699"/>
    <x v="8"/>
  </r>
  <r>
    <x v="30"/>
    <x v="0"/>
    <x v="0"/>
    <x v="6"/>
    <n v="3037"/>
    <s v="Augusto Lima"/>
    <s v="509.176.842-49"/>
    <s v="509.176.842-49"/>
    <s v="Fortaleza"/>
    <x v="6"/>
    <m/>
    <n v="45718"/>
    <x v="19"/>
  </r>
  <r>
    <x v="31"/>
    <x v="0"/>
    <x v="0"/>
    <x v="9"/>
    <n v="3040"/>
    <s v="Srta. Eduarda da Cruz"/>
    <s v="260.159.347-43"/>
    <s v="260.159.347-43"/>
    <s v="Jericoacara"/>
    <x v="6"/>
    <m/>
    <n v="45683"/>
    <x v="20"/>
  </r>
  <r>
    <x v="32"/>
    <x v="0"/>
    <x v="3"/>
    <x v="8"/>
    <n v="3039"/>
    <s v="Yuri Cavalcanti"/>
    <s v="60719325803"/>
    <s v="607.193.258-03"/>
    <s v="Recife"/>
    <x v="8"/>
    <s v="Sim"/>
    <n v="45679"/>
    <x v="21"/>
  </r>
  <r>
    <x v="33"/>
    <x v="0"/>
    <x v="3"/>
    <x v="4"/>
    <n v="3035"/>
    <s v="Rafael da Mota"/>
    <s v="65490273143"/>
    <s v="654.902.731-43"/>
    <s v="Porto Alegre"/>
    <x v="4"/>
    <m/>
    <n v="45723"/>
    <x v="22"/>
  </r>
  <r>
    <x v="34"/>
    <x v="0"/>
    <x v="2"/>
    <x v="10"/>
    <n v="3041"/>
    <s v="Helena Araújo"/>
    <s v="14287065930"/>
    <s v="142.870.659-30"/>
    <s v="Petrolina"/>
    <x v="8"/>
    <m/>
    <n v="45691"/>
    <x v="23"/>
  </r>
  <r>
    <x v="35"/>
    <x v="0"/>
    <x v="2"/>
    <x v="2"/>
    <n v="3033"/>
    <s v="Sra. Larissa Silva"/>
    <s v="16320758490"/>
    <s v="163.207.584-90"/>
    <s v="Tocantins"/>
    <x v="2"/>
    <s v="Sim"/>
    <n v="45693"/>
    <x v="4"/>
  </r>
  <r>
    <x v="36"/>
    <x v="0"/>
    <x v="3"/>
    <x v="9"/>
    <n v="3040"/>
    <s v="Ana Clara Melo"/>
    <s v="951.824.637-82"/>
    <s v="951.824.637-82"/>
    <s v="Jericoacara"/>
    <x v="6"/>
    <m/>
    <n v="45689"/>
    <x v="16"/>
  </r>
  <r>
    <x v="37"/>
    <x v="1"/>
    <x v="0"/>
    <x v="9"/>
    <n v="3040"/>
    <s v="Pietra Gonçalves"/>
    <s v="82375619455"/>
    <s v="823.756.194-55"/>
    <s v="Jericoacara"/>
    <x v="6"/>
    <m/>
    <n v="45697"/>
    <x v="24"/>
  </r>
  <r>
    <x v="38"/>
    <x v="0"/>
    <x v="1"/>
    <x v="2"/>
    <n v="3033"/>
    <s v="Agatha Jesus"/>
    <s v="436.795.218-55"/>
    <s v="436.795.218-55"/>
    <s v="Tocantins"/>
    <x v="2"/>
    <s v="Sim"/>
    <n v="45700"/>
    <x v="8"/>
  </r>
  <r>
    <x v="39"/>
    <x v="0"/>
    <x v="0"/>
    <x v="3"/>
    <n v="3034"/>
    <s v="Clara Silva"/>
    <s v="72184560308"/>
    <s v="721.845.603-08"/>
    <s v="Salvador"/>
    <x v="3"/>
    <m/>
    <n v="45723"/>
    <x v="22"/>
  </r>
  <r>
    <x v="40"/>
    <x v="1"/>
    <x v="2"/>
    <x v="4"/>
    <n v="3035"/>
    <s v="Enzo Gabriel da Paz"/>
    <s v="20813476950"/>
    <s v="208.134.769-50"/>
    <s v="Porto Alegre"/>
    <x v="4"/>
    <m/>
    <n v="45744"/>
    <x v="22"/>
  </r>
  <r>
    <x v="41"/>
    <x v="1"/>
    <x v="1"/>
    <x v="0"/>
    <n v="3031"/>
    <s v="Maria Julia da Mota"/>
    <s v="679.180.453-00"/>
    <s v="679.180.453-00"/>
    <s v="Amazonas"/>
    <x v="0"/>
    <m/>
    <n v="45675"/>
    <x v="13"/>
  </r>
  <r>
    <x v="42"/>
    <x v="1"/>
    <x v="1"/>
    <x v="7"/>
    <n v="3038"/>
    <s v="Dra. Letícia Barros"/>
    <s v="831.976.254-55"/>
    <s v="831.976.254-55"/>
    <s v="Natal"/>
    <x v="7"/>
    <s v="Sim"/>
    <n v="45738"/>
    <x v="21"/>
  </r>
  <r>
    <x v="43"/>
    <x v="0"/>
    <x v="3"/>
    <x v="10"/>
    <n v="3041"/>
    <s v="Lavínia da Cruz"/>
    <s v="794.612.380-96"/>
    <s v="794.612.380-96"/>
    <s v="Petrolina"/>
    <x v="8"/>
    <s v="Sim"/>
    <n v="45684"/>
    <x v="23"/>
  </r>
  <r>
    <x v="44"/>
    <x v="1"/>
    <x v="3"/>
    <x v="7"/>
    <n v="3038"/>
    <s v="Ana Julia Gomes"/>
    <s v="34528017644"/>
    <s v="345.280.176-44"/>
    <s v="Natal"/>
    <x v="7"/>
    <m/>
    <n v="45695"/>
    <x v="12"/>
  </r>
  <r>
    <x v="45"/>
    <x v="0"/>
    <x v="3"/>
    <x v="0"/>
    <n v="3031"/>
    <s v="Srta. Rafaela da Rosa"/>
    <s v="168.243.507-53"/>
    <s v="168.243.507-53"/>
    <s v="Amazonas"/>
    <x v="0"/>
    <m/>
    <n v="45738"/>
    <x v="13"/>
  </r>
  <r>
    <x v="46"/>
    <x v="1"/>
    <x v="3"/>
    <x v="3"/>
    <n v="3034"/>
    <s v="Joana Aragão"/>
    <s v="967.025.318-77"/>
    <s v="967.025.318-77"/>
    <s v="Salvador"/>
    <x v="3"/>
    <s v="Sim"/>
    <n v="45705"/>
    <x v="11"/>
  </r>
  <r>
    <x v="47"/>
    <x v="0"/>
    <x v="1"/>
    <x v="3"/>
    <n v="3034"/>
    <s v="Gabriel Pinto"/>
    <s v="706.253.148-08"/>
    <s v="706.253.148-08"/>
    <s v="Salvador"/>
    <x v="3"/>
    <s v="Sim"/>
    <n v="45718"/>
    <x v="23"/>
  </r>
  <r>
    <x v="48"/>
    <x v="1"/>
    <x v="3"/>
    <x v="1"/>
    <n v="3032"/>
    <s v="Alice Novaes"/>
    <s v="901.537.682-40"/>
    <s v="901.537.682-40"/>
    <s v="Belém"/>
    <x v="1"/>
    <m/>
    <n v="45683"/>
    <x v="25"/>
  </r>
  <r>
    <x v="49"/>
    <x v="1"/>
    <x v="0"/>
    <x v="1"/>
    <n v="3032"/>
    <s v="Giovanna da Rosa"/>
    <s v="75863291095"/>
    <s v="758.632.910-95"/>
    <s v="Belém"/>
    <x v="1"/>
    <m/>
    <n v="45703"/>
    <x v="18"/>
  </r>
  <r>
    <x v="50"/>
    <x v="0"/>
    <x v="3"/>
    <x v="5"/>
    <n v="3036"/>
    <s v="Vinicius Viana"/>
    <s v="05389647238"/>
    <s v="053.896.472-38"/>
    <s v="Porto Velho"/>
    <x v="5"/>
    <m/>
    <n v="45739"/>
    <x v="17"/>
  </r>
  <r>
    <x v="51"/>
    <x v="0"/>
    <x v="2"/>
    <x v="5"/>
    <n v="3036"/>
    <s v="Pedro Henrique da Costa"/>
    <s v="327.504.198-32"/>
    <s v="327.504.198-32"/>
    <s v="Porto Velho"/>
    <x v="5"/>
    <m/>
    <n v="45732"/>
    <x v="9"/>
  </r>
  <r>
    <x v="52"/>
    <x v="0"/>
    <x v="2"/>
    <x v="2"/>
    <n v="3033"/>
    <s v="Sr. Otávio Correia"/>
    <s v="241.809.375-14"/>
    <s v="241.809.375-14"/>
    <s v="Tocantins"/>
    <x v="2"/>
    <m/>
    <n v="45665"/>
    <x v="4"/>
  </r>
  <r>
    <x v="53"/>
    <x v="1"/>
    <x v="3"/>
    <x v="6"/>
    <n v="3037"/>
    <s v="Olivia Farias"/>
    <s v="14968023731"/>
    <s v="149.680.237-31"/>
    <s v="Fortaleza"/>
    <x v="6"/>
    <s v="Sim"/>
    <n v="45722"/>
    <x v="19"/>
  </r>
  <r>
    <x v="54"/>
    <x v="1"/>
    <x v="2"/>
    <x v="3"/>
    <n v="3034"/>
    <s v="Sr. Luiz Fernando Mendes"/>
    <s v="067.932.548-47"/>
    <s v="067.932.548-47"/>
    <s v="Salvador"/>
    <x v="3"/>
    <m/>
    <n v="45700"/>
    <x v="11"/>
  </r>
  <r>
    <x v="55"/>
    <x v="1"/>
    <x v="3"/>
    <x v="4"/>
    <n v="3035"/>
    <s v="Thomas Silveira"/>
    <s v="48736921050"/>
    <s v="487.369.210-50"/>
    <s v="Porto Alegre"/>
    <x v="4"/>
    <m/>
    <n v="45738"/>
    <x v="26"/>
  </r>
  <r>
    <x v="56"/>
    <x v="0"/>
    <x v="2"/>
    <x v="5"/>
    <n v="3036"/>
    <s v="Guilherme Porto"/>
    <s v="37620985140"/>
    <s v="376.209.851-40"/>
    <s v="Porto Velho"/>
    <x v="5"/>
    <s v="Sim"/>
    <n v="45678"/>
    <x v="27"/>
  </r>
  <r>
    <x v="57"/>
    <x v="0"/>
    <x v="3"/>
    <x v="2"/>
    <n v="3033"/>
    <s v="Dr. Joaquim Freitas"/>
    <s v="94081752397"/>
    <s v="940.817.523-97"/>
    <s v="Tocantins"/>
    <x v="2"/>
    <s v="Sim"/>
    <n v="45705"/>
    <x v="8"/>
  </r>
  <r>
    <x v="58"/>
    <x v="1"/>
    <x v="0"/>
    <x v="9"/>
    <n v="3040"/>
    <s v="Sophie Duarte"/>
    <s v="798.605.241-49"/>
    <s v="798.605.241-49"/>
    <s v="Jericoacara"/>
    <x v="6"/>
    <m/>
    <n v="45725"/>
    <x v="28"/>
  </r>
  <r>
    <x v="59"/>
    <x v="1"/>
    <x v="0"/>
    <x v="7"/>
    <n v="3038"/>
    <s v="Henrique Moura"/>
    <s v="785.394.216-82"/>
    <s v="785.394.216-82"/>
    <s v="Natal"/>
    <x v="7"/>
    <m/>
    <n v="45684"/>
    <x v="12"/>
  </r>
  <r>
    <x v="60"/>
    <x v="1"/>
    <x v="2"/>
    <x v="0"/>
    <n v="3031"/>
    <s v="Fernando Dias"/>
    <s v="135.074.962-16"/>
    <s v="135.074.962-16"/>
    <s v="Amazonas"/>
    <x v="0"/>
    <s v="Sim"/>
    <n v="45729"/>
    <x v="0"/>
  </r>
  <r>
    <x v="61"/>
    <x v="0"/>
    <x v="2"/>
    <x v="3"/>
    <n v="3034"/>
    <s v="Emilly Souza"/>
    <s v="94167253070"/>
    <s v="941.672.530-70"/>
    <s v="Salvador"/>
    <x v="3"/>
    <m/>
    <n v="45687"/>
    <x v="5"/>
  </r>
  <r>
    <x v="62"/>
    <x v="1"/>
    <x v="1"/>
    <x v="7"/>
    <n v="3038"/>
    <s v="Thales Teixeira"/>
    <s v="240.789.153-88"/>
    <s v="240.789.153-88"/>
    <s v="Natal"/>
    <x v="7"/>
    <m/>
    <n v="45667"/>
    <x v="12"/>
  </r>
  <r>
    <x v="63"/>
    <x v="0"/>
    <x v="0"/>
    <x v="8"/>
    <n v="3039"/>
    <s v="Murilo Gomes"/>
    <s v="798.210.654-49"/>
    <s v="798.210.654-49"/>
    <s v="Recife"/>
    <x v="8"/>
    <s v="Sim"/>
    <n v="45737"/>
    <x v="16"/>
  </r>
  <r>
    <x v="64"/>
    <x v="1"/>
    <x v="1"/>
    <x v="9"/>
    <n v="3040"/>
    <s v="João Rodrigues"/>
    <s v="10294783504"/>
    <s v="102.947.835-04"/>
    <s v="Jericoacara"/>
    <x v="6"/>
    <m/>
    <n v="45712"/>
    <x v="29"/>
  </r>
  <r>
    <x v="65"/>
    <x v="1"/>
    <x v="3"/>
    <x v="7"/>
    <n v="3038"/>
    <s v="Maria das Neves"/>
    <s v="867.324.910-40"/>
    <s v="867.324.910-40"/>
    <s v="Natal"/>
    <x v="7"/>
    <s v="Sim"/>
    <n v="45717"/>
    <x v="21"/>
  </r>
  <r>
    <x v="66"/>
    <x v="1"/>
    <x v="1"/>
    <x v="9"/>
    <n v="3040"/>
    <s v="Srta. Sophie da Rocha"/>
    <s v="34176509252"/>
    <s v="341.765.092-52"/>
    <s v="Jericoacara"/>
    <x v="6"/>
    <s v="Sim"/>
    <n v="45697"/>
    <x v="20"/>
  </r>
  <r>
    <x v="67"/>
    <x v="0"/>
    <x v="1"/>
    <x v="6"/>
    <n v="3037"/>
    <s v="Olivia Ribeiro"/>
    <s v="403.256.789-10"/>
    <s v="403.256.789-10"/>
    <s v="Fortaleza"/>
    <x v="6"/>
    <m/>
    <n v="45683"/>
    <x v="10"/>
  </r>
  <r>
    <x v="68"/>
    <x v="1"/>
    <x v="1"/>
    <x v="2"/>
    <n v="3033"/>
    <s v="Maria Sophia da Paz"/>
    <s v="61358290415"/>
    <s v="613.582.904-15"/>
    <s v="Tocantins"/>
    <x v="2"/>
    <m/>
    <n v="45674"/>
    <x v="7"/>
  </r>
  <r>
    <x v="69"/>
    <x v="1"/>
    <x v="2"/>
    <x v="3"/>
    <n v="3034"/>
    <s v="Noah Gomes"/>
    <s v="71952364809"/>
    <s v="719.523.648-09"/>
    <s v="Salvador"/>
    <x v="3"/>
    <m/>
    <n v="45700"/>
    <x v="17"/>
  </r>
  <r>
    <x v="70"/>
    <x v="1"/>
    <x v="0"/>
    <x v="7"/>
    <n v="3038"/>
    <s v="Noah Barbosa"/>
    <s v="65409182758"/>
    <s v="654.091.827-58"/>
    <s v="Natal"/>
    <x v="7"/>
    <m/>
    <n v="45713"/>
    <x v="30"/>
  </r>
  <r>
    <x v="71"/>
    <x v="1"/>
    <x v="2"/>
    <x v="2"/>
    <n v="3033"/>
    <s v="Vitor Hugo da Luz"/>
    <s v="789.214.365-37"/>
    <s v="789.214.365-37"/>
    <s v="Tocantins"/>
    <x v="2"/>
    <s v="Sim"/>
    <n v="45666"/>
    <x v="6"/>
  </r>
  <r>
    <x v="72"/>
    <x v="1"/>
    <x v="1"/>
    <x v="9"/>
    <n v="3040"/>
    <s v="Isabel Oliveira"/>
    <s v="59167234828"/>
    <s v="591.672.348-28"/>
    <s v="Jericoacara"/>
    <x v="6"/>
    <m/>
    <n v="45685"/>
    <x v="20"/>
  </r>
  <r>
    <x v="73"/>
    <x v="1"/>
    <x v="3"/>
    <x v="2"/>
    <n v="3033"/>
    <s v="Juliana Vieira"/>
    <s v="07126598386"/>
    <s v="071.265.983-86"/>
    <s v="Tocantins"/>
    <x v="2"/>
    <m/>
    <n v="45721"/>
    <x v="8"/>
  </r>
  <r>
    <x v="74"/>
    <x v="0"/>
    <x v="2"/>
    <x v="7"/>
    <n v="3038"/>
    <s v="Letícia Oliveira"/>
    <s v="035.487.961-84"/>
    <s v="035.487.961-84"/>
    <s v="Natal"/>
    <x v="7"/>
    <s v="Sim"/>
    <n v="45711"/>
    <x v="31"/>
  </r>
  <r>
    <x v="75"/>
    <x v="0"/>
    <x v="0"/>
    <x v="10"/>
    <n v="3041"/>
    <s v="Gustavo Henrique Pires"/>
    <s v="710.548.639-20"/>
    <s v="710.548.639-20"/>
    <s v="Petrolina"/>
    <x v="8"/>
    <s v="Sim"/>
    <n v="45711"/>
    <x v="32"/>
  </r>
  <r>
    <x v="76"/>
    <x v="1"/>
    <x v="3"/>
    <x v="5"/>
    <n v="3036"/>
    <s v="Ana Laura das Neves"/>
    <s v="17958324600"/>
    <s v="179.583.246-00"/>
    <s v="Porto Velho"/>
    <x v="5"/>
    <m/>
    <n v="45698"/>
    <x v="9"/>
  </r>
  <r>
    <x v="77"/>
    <x v="0"/>
    <x v="2"/>
    <x v="4"/>
    <n v="3035"/>
    <s v="Lorena Farias"/>
    <s v="782.314.506-53"/>
    <s v="782.314.506-53"/>
    <s v="Porto Alegre"/>
    <x v="4"/>
    <m/>
    <n v="45733"/>
    <x v="8"/>
  </r>
  <r>
    <x v="78"/>
    <x v="1"/>
    <x v="2"/>
    <x v="9"/>
    <n v="3040"/>
    <s v="Heloísa Santos"/>
    <s v="40952738104"/>
    <s v="409.527.381-04"/>
    <s v="Jericoacara"/>
    <x v="6"/>
    <m/>
    <n v="45710"/>
    <x v="28"/>
  </r>
  <r>
    <x v="79"/>
    <x v="0"/>
    <x v="3"/>
    <x v="0"/>
    <n v="3031"/>
    <s v="Isabel Melo"/>
    <s v="89632145755"/>
    <s v="896.321.457-55"/>
    <s v="Amazonas"/>
    <x v="0"/>
    <m/>
    <n v="45680"/>
    <x v="0"/>
  </r>
  <r>
    <x v="80"/>
    <x v="1"/>
    <x v="0"/>
    <x v="8"/>
    <n v="3039"/>
    <s v="Amanda Lopes"/>
    <s v="768.591.302-02"/>
    <s v="768.591.302-02"/>
    <s v="Recife"/>
    <x v="8"/>
    <m/>
    <n v="45706"/>
    <x v="33"/>
  </r>
  <r>
    <x v="81"/>
    <x v="1"/>
    <x v="1"/>
    <x v="3"/>
    <n v="3034"/>
    <s v="Helena Castro"/>
    <s v="719.058.326-21"/>
    <s v="719.058.326-21"/>
    <s v="Salvador"/>
    <x v="3"/>
    <m/>
    <n v="45665"/>
    <x v="22"/>
  </r>
  <r>
    <x v="82"/>
    <x v="1"/>
    <x v="2"/>
    <x v="7"/>
    <n v="3038"/>
    <s v="Valentina Ferreira"/>
    <s v="561.824.379-28"/>
    <s v="561.824.379-28"/>
    <s v="Natal"/>
    <x v="7"/>
    <s v="Sim"/>
    <n v="45742"/>
    <x v="34"/>
  </r>
  <r>
    <x v="83"/>
    <x v="0"/>
    <x v="3"/>
    <x v="10"/>
    <n v="3041"/>
    <s v="Alícia Campos"/>
    <s v="34950762800"/>
    <s v="349.507.628-00"/>
    <s v="Petrolina"/>
    <x v="8"/>
    <s v="Sim"/>
    <n v="45701"/>
    <x v="35"/>
  </r>
  <r>
    <x v="84"/>
    <x v="1"/>
    <x v="2"/>
    <x v="8"/>
    <n v="3039"/>
    <s v="Ryan Jesus"/>
    <s v="095.682.413-70"/>
    <s v="095.682.413-70"/>
    <s v="Recife"/>
    <x v="8"/>
    <s v="Sim"/>
    <n v="45672"/>
    <x v="33"/>
  </r>
  <r>
    <x v="85"/>
    <x v="1"/>
    <x v="3"/>
    <x v="4"/>
    <n v="3035"/>
    <s v="Luiz Miguel Oliveira"/>
    <s v="928.104.375-05"/>
    <s v="928.104.375-05"/>
    <s v="Porto Alegre"/>
    <x v="4"/>
    <m/>
    <n v="45706"/>
    <x v="26"/>
  </r>
  <r>
    <x v="86"/>
    <x v="0"/>
    <x v="1"/>
    <x v="4"/>
    <n v="3035"/>
    <s v="Bianca Dias"/>
    <s v="749.250.318-05"/>
    <s v="749.250.318-05"/>
    <s v="Porto Alegre"/>
    <x v="4"/>
    <s v="Sim"/>
    <n v="45665"/>
    <x v="8"/>
  </r>
  <r>
    <x v="87"/>
    <x v="0"/>
    <x v="0"/>
    <x v="6"/>
    <n v="3037"/>
    <s v="Isabel Jesus"/>
    <s v="64792138078"/>
    <s v="647.921.380-78"/>
    <s v="Fortaleza"/>
    <x v="6"/>
    <m/>
    <n v="45681"/>
    <x v="19"/>
  </r>
  <r>
    <x v="88"/>
    <x v="0"/>
    <x v="0"/>
    <x v="2"/>
    <n v="3033"/>
    <s v="Maria Julia Moraes"/>
    <s v="948.053.267-00"/>
    <s v="948.053.267-00"/>
    <s v="Tocantins"/>
    <x v="2"/>
    <m/>
    <n v="45746"/>
    <x v="4"/>
  </r>
  <r>
    <x v="89"/>
    <x v="1"/>
    <x v="2"/>
    <x v="6"/>
    <n v="3037"/>
    <s v="Sofia Sales"/>
    <s v="435.176.280-26"/>
    <s v="435.176.280-26"/>
    <s v="Fortaleza"/>
    <x v="6"/>
    <m/>
    <n v="45718"/>
    <x v="19"/>
  </r>
  <r>
    <x v="90"/>
    <x v="0"/>
    <x v="0"/>
    <x v="2"/>
    <n v="3033"/>
    <s v="Pedro Lucas Barbosa"/>
    <s v="470.921.865-01"/>
    <s v="470.921.865-01"/>
    <s v="Tocantins"/>
    <x v="2"/>
    <m/>
    <n v="45730"/>
    <x v="2"/>
  </r>
  <r>
    <x v="91"/>
    <x v="0"/>
    <x v="1"/>
    <x v="0"/>
    <n v="3031"/>
    <s v="Camila da Paz"/>
    <s v="285.469.137-73"/>
    <s v="285.469.137-73"/>
    <s v="Amazonas"/>
    <x v="0"/>
    <m/>
    <n v="45736"/>
    <x v="36"/>
  </r>
  <r>
    <x v="92"/>
    <x v="1"/>
    <x v="3"/>
    <x v="2"/>
    <n v="3033"/>
    <s v="Vinicius Mendes"/>
    <s v="179.863.205-59"/>
    <s v="179.863.205-59"/>
    <s v="Tocantins"/>
    <x v="2"/>
    <m/>
    <n v="45659"/>
    <x v="4"/>
  </r>
  <r>
    <x v="93"/>
    <x v="0"/>
    <x v="1"/>
    <x v="10"/>
    <n v="3041"/>
    <s v="Luiz Otávio Costa"/>
    <s v="754.932.068-38"/>
    <s v="754.932.068-38"/>
    <s v="Petrolina"/>
    <x v="8"/>
    <m/>
    <n v="45703"/>
    <x v="35"/>
  </r>
  <r>
    <x v="94"/>
    <x v="1"/>
    <x v="2"/>
    <x v="2"/>
    <n v="3033"/>
    <s v="Pedro Henrique Martins"/>
    <s v="93158260433"/>
    <s v="931.582.604-33"/>
    <s v="Tocantins"/>
    <x v="2"/>
    <m/>
    <n v="45662"/>
    <x v="4"/>
  </r>
  <r>
    <x v="95"/>
    <x v="1"/>
    <x v="2"/>
    <x v="5"/>
    <n v="3036"/>
    <s v="Heitor Sales"/>
    <s v="19348765264"/>
    <s v="193.487.652-64"/>
    <s v="Porto Velho"/>
    <x v="5"/>
    <s v="Sim"/>
    <n v="45715"/>
    <x v="9"/>
  </r>
  <r>
    <x v="96"/>
    <x v="0"/>
    <x v="1"/>
    <x v="2"/>
    <n v="3033"/>
    <s v="Dra. Brenda Peixoto"/>
    <s v="17620893431"/>
    <s v="176.208.934-31"/>
    <s v="Tocantins"/>
    <x v="2"/>
    <m/>
    <n v="45680"/>
    <x v="6"/>
  </r>
  <r>
    <x v="97"/>
    <x v="0"/>
    <x v="3"/>
    <x v="3"/>
    <n v="3034"/>
    <s v="Sr. Rodrigo Moura"/>
    <s v="85032174653"/>
    <s v="850.321.746-53"/>
    <s v="Salvador"/>
    <x v="3"/>
    <s v="Sim"/>
    <n v="45722"/>
    <x v="5"/>
  </r>
  <r>
    <x v="98"/>
    <x v="1"/>
    <x v="3"/>
    <x v="11"/>
    <n v="3042"/>
    <s v="Pedro Aragão"/>
    <s v="05314692716"/>
    <s v="053.146.927-16"/>
    <s v="Santa Catarina"/>
    <x v="9"/>
    <m/>
    <n v="45714"/>
    <x v="37"/>
  </r>
  <r>
    <x v="99"/>
    <x v="0"/>
    <x v="2"/>
    <x v="0"/>
    <n v="3031"/>
    <s v="Enzo Melo"/>
    <s v="204.615.983-70"/>
    <s v="204.615.983-70"/>
    <s v="Amazonas"/>
    <x v="0"/>
    <m/>
    <n v="45722"/>
    <x v="0"/>
  </r>
  <r>
    <x v="100"/>
    <x v="0"/>
    <x v="0"/>
    <x v="4"/>
    <n v="3035"/>
    <s v="Cauê Alves"/>
    <s v="539.012.687-40"/>
    <s v="539.012.687-40"/>
    <s v="Porto Alegre"/>
    <x v="4"/>
    <s v="Sim"/>
    <n v="45709"/>
    <x v="4"/>
  </r>
  <r>
    <x v="101"/>
    <x v="0"/>
    <x v="3"/>
    <x v="4"/>
    <n v="3035"/>
    <s v="Vinicius Campos"/>
    <s v="795.460.328-83"/>
    <s v="795.460.328-83"/>
    <s v="Porto Alegre"/>
    <x v="4"/>
    <m/>
    <n v="45717"/>
    <x v="4"/>
  </r>
  <r>
    <x v="102"/>
    <x v="0"/>
    <x v="1"/>
    <x v="0"/>
    <n v="3031"/>
    <s v="Thomas Silveira"/>
    <s v="47083592683"/>
    <s v="470.835.926-83"/>
    <s v="Amazonas"/>
    <x v="0"/>
    <m/>
    <n v="45705"/>
    <x v="5"/>
  </r>
  <r>
    <x v="103"/>
    <x v="1"/>
    <x v="2"/>
    <x v="9"/>
    <n v="3040"/>
    <s v="Sra. Ana Julia Cardoso"/>
    <s v="521.784.963-00"/>
    <s v="521.784.963-00"/>
    <s v="Jericoacara"/>
    <x v="6"/>
    <m/>
    <n v="45702"/>
    <x v="29"/>
  </r>
  <r>
    <x v="104"/>
    <x v="1"/>
    <x v="0"/>
    <x v="5"/>
    <n v="3036"/>
    <s v="Maria Pinto"/>
    <s v="19376854209"/>
    <s v="193.768.542-09"/>
    <s v="Porto Velho"/>
    <x v="5"/>
    <s v="Sim"/>
    <n v="45696"/>
    <x v="27"/>
  </r>
  <r>
    <x v="105"/>
    <x v="1"/>
    <x v="1"/>
    <x v="0"/>
    <n v="3031"/>
    <s v="Sabrina Castro"/>
    <s v="569.728.143-91"/>
    <s v="569.728.143-91"/>
    <s v="Amazonas"/>
    <x v="0"/>
    <m/>
    <n v="45664"/>
    <x v="26"/>
  </r>
  <r>
    <x v="106"/>
    <x v="0"/>
    <x v="0"/>
    <x v="1"/>
    <n v="3032"/>
    <s v="Bruno Carvalho"/>
    <s v="615.984.027-49"/>
    <s v="615.984.027-49"/>
    <s v="Belém"/>
    <x v="1"/>
    <s v="Sim"/>
    <n v="45723"/>
    <x v="38"/>
  </r>
  <r>
    <x v="107"/>
    <x v="0"/>
    <x v="1"/>
    <x v="11"/>
    <n v="3042"/>
    <s v="Juan Moraes"/>
    <s v="60472589300"/>
    <s v="604.725.893-00"/>
    <s v="Santa Catarina"/>
    <x v="9"/>
    <s v="Sim"/>
    <n v="45673"/>
    <x v="39"/>
  </r>
  <r>
    <x v="108"/>
    <x v="1"/>
    <x v="2"/>
    <x v="11"/>
    <n v="3042"/>
    <s v="Luana das Neves"/>
    <s v="158.024.936-15"/>
    <s v="158.024.936-15"/>
    <s v="Santa Catarina"/>
    <x v="9"/>
    <s v="Sim"/>
    <n v="45717"/>
    <x v="10"/>
  </r>
  <r>
    <x v="109"/>
    <x v="1"/>
    <x v="1"/>
    <x v="4"/>
    <n v="3035"/>
    <s v="Olivia Fogaça"/>
    <s v="02458679374"/>
    <s v="024.586.793-74"/>
    <s v="Porto Alegre"/>
    <x v="4"/>
    <s v="Sim"/>
    <n v="45742"/>
    <x v="40"/>
  </r>
  <r>
    <x v="110"/>
    <x v="0"/>
    <x v="2"/>
    <x v="2"/>
    <n v="3033"/>
    <s v="Miguel Nunes"/>
    <s v="12075493804"/>
    <s v="120.754.938-04"/>
    <s v="Tocantins"/>
    <x v="2"/>
    <s v="Sim"/>
    <n v="45702"/>
    <x v="6"/>
  </r>
  <r>
    <x v="111"/>
    <x v="1"/>
    <x v="3"/>
    <x v="1"/>
    <n v="3032"/>
    <s v="Sr. João Lucas Lima"/>
    <s v="51086472390"/>
    <s v="510.864.723-90"/>
    <s v="Belém"/>
    <x v="1"/>
    <s v="Sim"/>
    <n v="45684"/>
    <x v="38"/>
  </r>
  <r>
    <x v="112"/>
    <x v="0"/>
    <x v="2"/>
    <x v="9"/>
    <n v="3040"/>
    <s v="Mirella Pereira"/>
    <s v="79621405858"/>
    <s v="796.214.058-58"/>
    <s v="Jericoacara"/>
    <x v="6"/>
    <m/>
    <n v="45668"/>
    <x v="16"/>
  </r>
  <r>
    <x v="113"/>
    <x v="0"/>
    <x v="2"/>
    <x v="6"/>
    <n v="3037"/>
    <s v="Renan Rodrigues"/>
    <s v="84013975297"/>
    <s v="840.139.752-97"/>
    <s v="Fortaleza"/>
    <x v="6"/>
    <s v="Sim"/>
    <n v="45687"/>
    <x v="26"/>
  </r>
  <r>
    <x v="114"/>
    <x v="1"/>
    <x v="0"/>
    <x v="7"/>
    <n v="3038"/>
    <s v="Vitor Cunha"/>
    <s v="495.063.872-65"/>
    <s v="495.063.872-65"/>
    <s v="Natal"/>
    <x v="7"/>
    <m/>
    <n v="45694"/>
    <x v="8"/>
  </r>
  <r>
    <x v="115"/>
    <x v="0"/>
    <x v="2"/>
    <x v="6"/>
    <n v="3037"/>
    <s v="Rafaela Dias"/>
    <s v="89503674166"/>
    <s v="895.036.741-66"/>
    <s v="Fortaleza"/>
    <x v="6"/>
    <s v="Sim"/>
    <n v="45665"/>
    <x v="5"/>
  </r>
  <r>
    <x v="116"/>
    <x v="0"/>
    <x v="2"/>
    <x v="10"/>
    <n v="3041"/>
    <s v="Dr. Murilo Nunes"/>
    <s v="641.302.789-40"/>
    <s v="641.302.789-40"/>
    <s v="Petrolina"/>
    <x v="8"/>
    <s v="Sim"/>
    <n v="45738"/>
    <x v="32"/>
  </r>
  <r>
    <x v="117"/>
    <x v="0"/>
    <x v="0"/>
    <x v="5"/>
    <n v="3036"/>
    <s v="Sra. Ana Laura Pinto"/>
    <s v="136.487.092-40"/>
    <s v="136.487.092-40"/>
    <s v="Porto Velho"/>
    <x v="5"/>
    <m/>
    <n v="45730"/>
    <x v="27"/>
  </r>
  <r>
    <x v="118"/>
    <x v="1"/>
    <x v="1"/>
    <x v="8"/>
    <n v="3039"/>
    <s v="Sr. Isaac da Cunha"/>
    <s v="189.467.250-01"/>
    <s v="189.467.250-01"/>
    <s v="Recife"/>
    <x v="8"/>
    <m/>
    <n v="45680"/>
    <x v="8"/>
  </r>
  <r>
    <x v="119"/>
    <x v="1"/>
    <x v="0"/>
    <x v="0"/>
    <n v="3031"/>
    <s v="Danilo Fernandes"/>
    <s v="328.650.179-40"/>
    <s v="328.650.179-40"/>
    <s v="Amazonas"/>
    <x v="0"/>
    <m/>
    <n v="45703"/>
    <x v="36"/>
  </r>
  <r>
    <x v="120"/>
    <x v="0"/>
    <x v="2"/>
    <x v="9"/>
    <n v="3040"/>
    <s v="Sophie Porto"/>
    <s v="95813076212"/>
    <s v="958.130.762-12"/>
    <s v="Jericoacara"/>
    <x v="6"/>
    <s v="Sim"/>
    <n v="45735"/>
    <x v="28"/>
  </r>
  <r>
    <x v="121"/>
    <x v="1"/>
    <x v="3"/>
    <x v="2"/>
    <n v="3033"/>
    <s v="Nicolas Caldeira"/>
    <s v="581.239.047-97"/>
    <s v="581.239.047-97"/>
    <s v="Tocantins"/>
    <x v="2"/>
    <m/>
    <n v="45738"/>
    <x v="7"/>
  </r>
  <r>
    <x v="122"/>
    <x v="1"/>
    <x v="1"/>
    <x v="6"/>
    <n v="3037"/>
    <s v="Breno Carvalho"/>
    <s v="986.345.017-01"/>
    <s v="986.345.017-01"/>
    <s v="Fortaleza"/>
    <x v="6"/>
    <m/>
    <n v="45689"/>
    <x v="19"/>
  </r>
  <r>
    <x v="123"/>
    <x v="1"/>
    <x v="2"/>
    <x v="5"/>
    <n v="3036"/>
    <s v="Lorena Santos"/>
    <s v="20789614502"/>
    <s v="207.896.145-02"/>
    <s v="Porto Velho"/>
    <x v="5"/>
    <m/>
    <n v="45726"/>
    <x v="27"/>
  </r>
  <r>
    <x v="124"/>
    <x v="0"/>
    <x v="1"/>
    <x v="1"/>
    <n v="3032"/>
    <s v="Laura Souza"/>
    <s v="825.963.410-42"/>
    <s v="825.963.410-42"/>
    <s v="Belém"/>
    <x v="1"/>
    <m/>
    <n v="45734"/>
    <x v="41"/>
  </r>
  <r>
    <x v="125"/>
    <x v="1"/>
    <x v="1"/>
    <x v="11"/>
    <n v="3042"/>
    <s v="Melissa Melo"/>
    <s v="159.483.270-60"/>
    <s v="159.483.270-60"/>
    <s v="Santa Catarina"/>
    <x v="9"/>
    <m/>
    <n v="45690"/>
    <x v="37"/>
  </r>
  <r>
    <x v="126"/>
    <x v="1"/>
    <x v="2"/>
    <x v="7"/>
    <n v="3038"/>
    <s v="Nathan da Conceição"/>
    <s v="546.180.237-08"/>
    <s v="546.180.237-08"/>
    <s v="Natal"/>
    <x v="7"/>
    <s v="Sim"/>
    <n v="45720"/>
    <x v="12"/>
  </r>
  <r>
    <x v="127"/>
    <x v="1"/>
    <x v="3"/>
    <x v="11"/>
    <n v="3042"/>
    <s v="Sr. Raul Souza"/>
    <s v="16502798330"/>
    <s v="165.027.983-30"/>
    <s v="Santa Catarina"/>
    <x v="9"/>
    <m/>
    <n v="45732"/>
    <x v="39"/>
  </r>
  <r>
    <x v="128"/>
    <x v="0"/>
    <x v="2"/>
    <x v="4"/>
    <n v="3035"/>
    <s v="Caroline das Neves"/>
    <s v="29180456758"/>
    <s v="291.804.567-58"/>
    <s v="Porto Alegre"/>
    <x v="4"/>
    <s v="Sim"/>
    <n v="45743"/>
    <x v="40"/>
  </r>
  <r>
    <x v="129"/>
    <x v="1"/>
    <x v="1"/>
    <x v="11"/>
    <n v="3042"/>
    <s v="Ana Nascimento"/>
    <s v="298.654.173-91"/>
    <s v="298.654.173-91"/>
    <s v="Santa Catarina"/>
    <x v="9"/>
    <s v="Sim"/>
    <n v="45662"/>
    <x v="39"/>
  </r>
  <r>
    <x v="130"/>
    <x v="1"/>
    <x v="0"/>
    <x v="0"/>
    <n v="3031"/>
    <s v="Isabelly Duarte"/>
    <s v="749.186.250-02"/>
    <s v="749.186.250-02"/>
    <s v="Amazonas"/>
    <x v="0"/>
    <m/>
    <n v="45693"/>
    <x v="0"/>
  </r>
  <r>
    <x v="131"/>
    <x v="1"/>
    <x v="1"/>
    <x v="8"/>
    <n v="3039"/>
    <s v="Maria Julia Pires"/>
    <s v="746.893.102-03"/>
    <s v="746.893.102-03"/>
    <s v="Recife"/>
    <x v="8"/>
    <m/>
    <n v="45742"/>
    <x v="8"/>
  </r>
  <r>
    <x v="132"/>
    <x v="0"/>
    <x v="3"/>
    <x v="8"/>
    <n v="3039"/>
    <s v="Benjamin Rocha"/>
    <s v="581.940.263-42"/>
    <s v="581.940.263-42"/>
    <s v="Recife"/>
    <x v="8"/>
    <m/>
    <n v="45684"/>
    <x v="33"/>
  </r>
  <r>
    <x v="133"/>
    <x v="0"/>
    <x v="1"/>
    <x v="9"/>
    <n v="3040"/>
    <s v="Maitê da Conceição"/>
    <s v="61397208503"/>
    <s v="613.972.085-03"/>
    <s v="Jericoacara"/>
    <x v="6"/>
    <m/>
    <n v="45696"/>
    <x v="24"/>
  </r>
  <r>
    <x v="134"/>
    <x v="1"/>
    <x v="0"/>
    <x v="10"/>
    <n v="3041"/>
    <s v="Isadora Duarte"/>
    <s v="61580274994"/>
    <s v="615.802.749-94"/>
    <s v="Petrolina"/>
    <x v="8"/>
    <m/>
    <n v="45734"/>
    <x v="42"/>
  </r>
  <r>
    <x v="135"/>
    <x v="0"/>
    <x v="1"/>
    <x v="7"/>
    <n v="3038"/>
    <s v="Daniel Azevedo"/>
    <s v="472.653.980-92"/>
    <s v="472.653.980-92"/>
    <s v="Natal"/>
    <x v="7"/>
    <s v="Sim"/>
    <n v="45745"/>
    <x v="43"/>
  </r>
  <r>
    <x v="136"/>
    <x v="0"/>
    <x v="3"/>
    <x v="11"/>
    <n v="3042"/>
    <s v="Anthony Fernandes"/>
    <s v="32608157912"/>
    <s v="326.081.579-12"/>
    <s v="Santa Catarina"/>
    <x v="9"/>
    <s v="Sim"/>
    <n v="45681"/>
    <x v="10"/>
  </r>
  <r>
    <x v="137"/>
    <x v="1"/>
    <x v="1"/>
    <x v="8"/>
    <n v="3039"/>
    <s v="Maysa Ramos"/>
    <s v="197.460.825-58"/>
    <s v="197.460.825-58"/>
    <s v="Recife"/>
    <x v="8"/>
    <m/>
    <n v="45686"/>
    <x v="42"/>
  </r>
  <r>
    <x v="138"/>
    <x v="1"/>
    <x v="2"/>
    <x v="5"/>
    <n v="3036"/>
    <s v="Agatha Moraes"/>
    <s v="36258074910"/>
    <s v="362.580.749-10"/>
    <s v="Porto Velho"/>
    <x v="5"/>
    <m/>
    <n v="45695"/>
    <x v="27"/>
  </r>
  <r>
    <x v="139"/>
    <x v="0"/>
    <x v="2"/>
    <x v="5"/>
    <n v="3036"/>
    <s v="Amanda Nogueira"/>
    <s v="540.276.189-20"/>
    <s v="540.276.189-20"/>
    <s v="Porto Velho"/>
    <x v="5"/>
    <s v="Sim"/>
    <n v="45732"/>
    <x v="17"/>
  </r>
  <r>
    <x v="140"/>
    <x v="0"/>
    <x v="3"/>
    <x v="6"/>
    <n v="3037"/>
    <s v="Sarah Melo"/>
    <s v="20549137661"/>
    <s v="205.491.376-61"/>
    <s v="Fortaleza"/>
    <x v="6"/>
    <s v="Sim"/>
    <n v="45719"/>
    <x v="5"/>
  </r>
  <r>
    <x v="141"/>
    <x v="0"/>
    <x v="2"/>
    <x v="9"/>
    <n v="3040"/>
    <s v="Daniel Campos"/>
    <s v="70418659249"/>
    <s v="704.186.592-49"/>
    <s v="Jericoacara"/>
    <x v="6"/>
    <s v="Sim"/>
    <n v="45708"/>
    <x v="20"/>
  </r>
  <r>
    <x v="142"/>
    <x v="1"/>
    <x v="2"/>
    <x v="9"/>
    <n v="3040"/>
    <s v="Maria Cecília Ribeiro"/>
    <s v="403.268.519-33"/>
    <s v="403.268.519-33"/>
    <s v="Jericoacara"/>
    <x v="6"/>
    <s v="Sim"/>
    <n v="45735"/>
    <x v="16"/>
  </r>
  <r>
    <x v="143"/>
    <x v="0"/>
    <x v="3"/>
    <x v="11"/>
    <n v="3042"/>
    <s v="Dr. João Pires"/>
    <s v="652.389.741-91"/>
    <s v="652.389.741-91"/>
    <s v="Santa Catarina"/>
    <x v="9"/>
    <m/>
    <n v="45735"/>
    <x v="24"/>
  </r>
  <r>
    <x v="144"/>
    <x v="0"/>
    <x v="3"/>
    <x v="11"/>
    <n v="3042"/>
    <s v="Thomas Pereira"/>
    <s v="162.475.039-70"/>
    <s v="162.475.039-70"/>
    <s v="Santa Catarina"/>
    <x v="9"/>
    <s v="Sim"/>
    <n v="45722"/>
    <x v="10"/>
  </r>
  <r>
    <x v="145"/>
    <x v="0"/>
    <x v="0"/>
    <x v="11"/>
    <n v="3042"/>
    <s v="Henrique Porto"/>
    <s v="96253780140"/>
    <s v="962.537.801-40"/>
    <s v="Santa Catarina"/>
    <x v="9"/>
    <m/>
    <n v="45717"/>
    <x v="24"/>
  </r>
  <r>
    <x v="146"/>
    <x v="1"/>
    <x v="1"/>
    <x v="0"/>
    <n v="3031"/>
    <s v="Emilly Caldeira"/>
    <s v="16547903893"/>
    <s v="165.479.038-93"/>
    <s v="Amazonas"/>
    <x v="0"/>
    <s v="Sim"/>
    <n v="45661"/>
    <x v="0"/>
  </r>
  <r>
    <x v="147"/>
    <x v="1"/>
    <x v="2"/>
    <x v="0"/>
    <n v="3031"/>
    <s v="Bernardo Duarte"/>
    <s v="596.407.123-61"/>
    <s v="596.407.123-61"/>
    <s v="Amazonas"/>
    <x v="0"/>
    <s v="Sim"/>
    <n v="45694"/>
    <x v="9"/>
  </r>
  <r>
    <x v="148"/>
    <x v="1"/>
    <x v="1"/>
    <x v="4"/>
    <n v="3035"/>
    <s v="Dr. Vitor Hugo Cardoso"/>
    <s v="925.387.104-05"/>
    <s v="925.387.104-05"/>
    <s v="Porto Alegre"/>
    <x v="4"/>
    <s v="Sim"/>
    <n v="45729"/>
    <x v="26"/>
  </r>
  <r>
    <x v="149"/>
    <x v="1"/>
    <x v="3"/>
    <x v="2"/>
    <n v="3033"/>
    <s v="Luiz Felipe Silveira"/>
    <s v="681.293.754-19"/>
    <s v="681.293.754-19"/>
    <s v="Tocantins"/>
    <x v="2"/>
    <s v="Sim"/>
    <n v="45725"/>
    <x v="4"/>
  </r>
  <r>
    <x v="150"/>
    <x v="0"/>
    <x v="2"/>
    <x v="0"/>
    <n v="3031"/>
    <s v="Catarina Costa"/>
    <s v="217.853.096-68"/>
    <s v="217.853.096-68"/>
    <s v="Amazonas"/>
    <x v="0"/>
    <s v="Sim"/>
    <n v="45722"/>
    <x v="3"/>
  </r>
  <r>
    <x v="151"/>
    <x v="1"/>
    <x v="3"/>
    <x v="5"/>
    <n v="3036"/>
    <s v="Sr. Marcos Vinicius Viana"/>
    <s v="49256173034"/>
    <s v="492.561.730-34"/>
    <s v="Porto Velho"/>
    <x v="5"/>
    <s v="Sim"/>
    <n v="45669"/>
    <x v="13"/>
  </r>
  <r>
    <x v="152"/>
    <x v="0"/>
    <x v="2"/>
    <x v="1"/>
    <n v="3032"/>
    <s v="Daniel Duarte"/>
    <s v="70546239838"/>
    <s v="705.462.398-38"/>
    <s v="Belém"/>
    <x v="1"/>
    <m/>
    <n v="45717"/>
    <x v="18"/>
  </r>
  <r>
    <x v="153"/>
    <x v="0"/>
    <x v="3"/>
    <x v="3"/>
    <n v="3034"/>
    <s v="Bernardo Lima"/>
    <s v="67983405120"/>
    <s v="679.834.051-20"/>
    <s v="Salvador"/>
    <x v="3"/>
    <m/>
    <n v="45720"/>
    <x v="22"/>
  </r>
  <r>
    <x v="154"/>
    <x v="0"/>
    <x v="0"/>
    <x v="10"/>
    <n v="3041"/>
    <s v="Levi Rezende"/>
    <s v="85264910324"/>
    <s v="852.649.103-24"/>
    <s v="Petrolina"/>
    <x v="8"/>
    <s v="Sim"/>
    <n v="45706"/>
    <x v="13"/>
  </r>
  <r>
    <x v="155"/>
    <x v="0"/>
    <x v="0"/>
    <x v="11"/>
    <n v="3042"/>
    <s v="Cauã Silveira"/>
    <s v="24917653819"/>
    <s v="249.176.538-19"/>
    <s v="Santa Catarina"/>
    <x v="9"/>
    <s v="Sim"/>
    <n v="45740"/>
    <x v="24"/>
  </r>
  <r>
    <x v="156"/>
    <x v="0"/>
    <x v="2"/>
    <x v="1"/>
    <n v="3032"/>
    <s v="Fernando da Paz"/>
    <s v="842.579.063-83"/>
    <s v="842.579.063-83"/>
    <s v="Belém"/>
    <x v="1"/>
    <s v="Sim"/>
    <n v="45715"/>
    <x v="44"/>
  </r>
  <r>
    <x v="157"/>
    <x v="0"/>
    <x v="3"/>
    <x v="6"/>
    <n v="3037"/>
    <s v="Brenda da Cunha"/>
    <s v="950.678.421-30"/>
    <s v="950.678.421-30"/>
    <s v="Fortaleza"/>
    <x v="6"/>
    <m/>
    <n v="45721"/>
    <x v="26"/>
  </r>
  <r>
    <x v="158"/>
    <x v="0"/>
    <x v="1"/>
    <x v="3"/>
    <n v="3034"/>
    <s v="Vitor Peixoto"/>
    <s v="90754261867"/>
    <s v="907.542.618-67"/>
    <s v="Salvador"/>
    <x v="3"/>
    <s v="Sim"/>
    <n v="45736"/>
    <x v="22"/>
  </r>
  <r>
    <x v="159"/>
    <x v="1"/>
    <x v="3"/>
    <x v="5"/>
    <n v="3036"/>
    <s v="Juliana Jesus"/>
    <s v="71083546910"/>
    <s v="710.835.469-10"/>
    <s v="Porto Velho"/>
    <x v="5"/>
    <m/>
    <n v="45691"/>
    <x v="17"/>
  </r>
  <r>
    <x v="160"/>
    <x v="1"/>
    <x v="0"/>
    <x v="10"/>
    <n v="3041"/>
    <s v="Bianca Lopes"/>
    <s v="596.124.073-80"/>
    <s v="596.124.073-80"/>
    <s v="Petrolina"/>
    <x v="8"/>
    <m/>
    <n v="45703"/>
    <x v="42"/>
  </r>
  <r>
    <x v="161"/>
    <x v="0"/>
    <x v="0"/>
    <x v="11"/>
    <n v="3042"/>
    <s v="Gabriel Porto"/>
    <s v="321.089.465-51"/>
    <s v="321.089.465-51"/>
    <s v="Santa Catarina"/>
    <x v="9"/>
    <m/>
    <n v="45736"/>
    <x v="37"/>
  </r>
  <r>
    <x v="162"/>
    <x v="1"/>
    <x v="2"/>
    <x v="5"/>
    <n v="3036"/>
    <s v="Dr. Diogo da Cruz"/>
    <s v="78932604169"/>
    <s v="789.326.041-69"/>
    <s v="Porto Velho"/>
    <x v="5"/>
    <s v="Sim"/>
    <n v="45707"/>
    <x v="9"/>
  </r>
  <r>
    <x v="163"/>
    <x v="0"/>
    <x v="2"/>
    <x v="1"/>
    <n v="3032"/>
    <s v="Eduarda da Rosa"/>
    <s v="950.723.416-07"/>
    <s v="950.723.416-07"/>
    <s v="Belém"/>
    <x v="1"/>
    <m/>
    <n v="45740"/>
    <x v="44"/>
  </r>
  <r>
    <x v="164"/>
    <x v="0"/>
    <x v="1"/>
    <x v="1"/>
    <n v="3032"/>
    <s v="Leandro Cunha"/>
    <s v="45620387992"/>
    <s v="456.203.879-92"/>
    <s v="Belém"/>
    <x v="1"/>
    <m/>
    <n v="45693"/>
    <x v="41"/>
  </r>
  <r>
    <x v="165"/>
    <x v="1"/>
    <x v="1"/>
    <x v="11"/>
    <n v="3042"/>
    <s v="Esther Cardoso"/>
    <s v="68794203547"/>
    <s v="687.942.035-47"/>
    <s v="Santa Catarina"/>
    <x v="9"/>
    <s v="Sim"/>
    <n v="45696"/>
    <x v="32"/>
  </r>
  <r>
    <x v="166"/>
    <x v="1"/>
    <x v="3"/>
    <x v="0"/>
    <n v="3031"/>
    <s v="Dr. Matheus Moreira"/>
    <s v="236.405.781-71"/>
    <s v="236.405.781-71"/>
    <s v="Amazonas"/>
    <x v="0"/>
    <m/>
    <n v="45736"/>
    <x v="3"/>
  </r>
  <r>
    <x v="167"/>
    <x v="1"/>
    <x v="0"/>
    <x v="11"/>
    <n v="3042"/>
    <s v="Manuela Ramos"/>
    <s v="28974613573"/>
    <s v="289.746.135-73"/>
    <s v="Santa Catarina"/>
    <x v="9"/>
    <m/>
    <n v="45715"/>
    <x v="10"/>
  </r>
  <r>
    <x v="168"/>
    <x v="0"/>
    <x v="1"/>
    <x v="3"/>
    <n v="3034"/>
    <s v="Dr. Thales Jesus"/>
    <s v="705.298.361-30"/>
    <s v="705.298.361-30"/>
    <s v="Salvador"/>
    <x v="3"/>
    <s v="Sim"/>
    <n v="45735"/>
    <x v="11"/>
  </r>
  <r>
    <x v="169"/>
    <x v="1"/>
    <x v="0"/>
    <x v="4"/>
    <n v="3035"/>
    <s v="Dra. Marina Araújo"/>
    <s v="97458612002"/>
    <s v="974.586.120-02"/>
    <s v="Porto Alegre"/>
    <x v="4"/>
    <s v="Sim"/>
    <n v="45714"/>
    <x v="26"/>
  </r>
  <r>
    <x v="170"/>
    <x v="0"/>
    <x v="2"/>
    <x v="7"/>
    <n v="3038"/>
    <s v="Bárbara Souza"/>
    <s v="96285107386"/>
    <s v="962.851.073-86"/>
    <s v="Natal"/>
    <x v="7"/>
    <m/>
    <n v="45676"/>
    <x v="34"/>
  </r>
  <r>
    <x v="171"/>
    <x v="1"/>
    <x v="1"/>
    <x v="9"/>
    <n v="3040"/>
    <s v="Leonardo Lopes"/>
    <s v="62951348070"/>
    <s v="629.513.480-70"/>
    <s v="Jericoacara"/>
    <x v="6"/>
    <s v="Sim"/>
    <n v="45726"/>
    <x v="20"/>
  </r>
  <r>
    <x v="172"/>
    <x v="0"/>
    <x v="2"/>
    <x v="2"/>
    <n v="3033"/>
    <s v="Luiz Henrique da Rocha"/>
    <s v="857.432.196-64"/>
    <s v="857.432.196-64"/>
    <s v="Tocantins"/>
    <x v="2"/>
    <m/>
    <n v="45711"/>
    <x v="7"/>
  </r>
  <r>
    <x v="173"/>
    <x v="0"/>
    <x v="0"/>
    <x v="9"/>
    <n v="3040"/>
    <s v="Dr. Paulo Rocha"/>
    <s v="394.721.560-61"/>
    <s v="394.721.560-61"/>
    <s v="Jericoacara"/>
    <x v="6"/>
    <m/>
    <n v="45725"/>
    <x v="45"/>
  </r>
  <r>
    <x v="174"/>
    <x v="0"/>
    <x v="2"/>
    <x v="11"/>
    <n v="3042"/>
    <s v="Sra. Gabrielly Rocha"/>
    <s v="58420731617"/>
    <s v="584.207.316-17"/>
    <s v="Santa Catarina"/>
    <x v="9"/>
    <m/>
    <n v="45733"/>
    <x v="46"/>
  </r>
  <r>
    <x v="175"/>
    <x v="1"/>
    <x v="0"/>
    <x v="0"/>
    <n v="3031"/>
    <s v="Gustavo Barbosa"/>
    <s v="415.372.609-52"/>
    <s v="415.372.609-52"/>
    <s v="Amazonas"/>
    <x v="0"/>
    <s v="Sim"/>
    <n v="45738"/>
    <x v="36"/>
  </r>
  <r>
    <x v="176"/>
    <x v="0"/>
    <x v="3"/>
    <x v="9"/>
    <n v="3040"/>
    <s v="Emanuelly Fogaça"/>
    <s v="21380469589"/>
    <s v="213.804.695-89"/>
    <s v="Jericoacara"/>
    <x v="6"/>
    <m/>
    <n v="45663"/>
    <x v="16"/>
  </r>
  <r>
    <x v="177"/>
    <x v="1"/>
    <x v="0"/>
    <x v="6"/>
    <n v="3037"/>
    <s v="Juan Melo"/>
    <s v="712.048.395-14"/>
    <s v="712.048.395-14"/>
    <s v="Fortaleza"/>
    <x v="6"/>
    <s v="Sim"/>
    <n v="45704"/>
    <x v="19"/>
  </r>
  <r>
    <x v="178"/>
    <x v="0"/>
    <x v="3"/>
    <x v="5"/>
    <n v="3036"/>
    <s v="Catarina Gomes"/>
    <s v="540.678.129-49"/>
    <s v="540.678.129-49"/>
    <s v="Porto Velho"/>
    <x v="5"/>
    <m/>
    <n v="45746"/>
    <x v="9"/>
  </r>
  <r>
    <x v="179"/>
    <x v="1"/>
    <x v="2"/>
    <x v="11"/>
    <n v="3042"/>
    <s v="Kaique da Luz"/>
    <s v="06715293821"/>
    <s v="067.152.938-21"/>
    <s v="Santa Catarina"/>
    <x v="9"/>
    <s v="Sim"/>
    <n v="45713"/>
    <x v="37"/>
  </r>
  <r>
    <x v="180"/>
    <x v="1"/>
    <x v="2"/>
    <x v="8"/>
    <n v="3039"/>
    <s v="Ana Lívia Melo"/>
    <s v="47819320532"/>
    <s v="478.193.205-32"/>
    <s v="Recife"/>
    <x v="8"/>
    <m/>
    <n v="45690"/>
    <x v="21"/>
  </r>
  <r>
    <x v="181"/>
    <x v="0"/>
    <x v="2"/>
    <x v="4"/>
    <n v="3035"/>
    <s v="Thomas Ramos"/>
    <s v="420.586.173-71"/>
    <s v="420.586.173-71"/>
    <s v="Porto Alegre"/>
    <x v="4"/>
    <m/>
    <n v="45738"/>
    <x v="40"/>
  </r>
  <r>
    <x v="182"/>
    <x v="0"/>
    <x v="3"/>
    <x v="10"/>
    <n v="3041"/>
    <s v="Maitê Martins"/>
    <s v="169.783.204-04"/>
    <s v="169.783.204-04"/>
    <s v="Petrolina"/>
    <x v="8"/>
    <m/>
    <n v="45683"/>
    <x v="42"/>
  </r>
  <r>
    <x v="183"/>
    <x v="0"/>
    <x v="3"/>
    <x v="1"/>
    <n v="3032"/>
    <s v="Eduarda Porto"/>
    <s v="45978601267"/>
    <s v="459.786.012-67"/>
    <s v="Belém"/>
    <x v="1"/>
    <m/>
    <n v="45725"/>
    <x v="1"/>
  </r>
  <r>
    <x v="184"/>
    <x v="0"/>
    <x v="3"/>
    <x v="7"/>
    <n v="3038"/>
    <s v="Benício Costa"/>
    <s v="742.358.960-83"/>
    <s v="742.358.960-83"/>
    <s v="Natal"/>
    <x v="7"/>
    <m/>
    <n v="45720"/>
    <x v="31"/>
  </r>
  <r>
    <x v="185"/>
    <x v="0"/>
    <x v="1"/>
    <x v="7"/>
    <n v="3038"/>
    <s v="João Lucas das Neves"/>
    <s v="327.194.865-82"/>
    <s v="327.194.865-82"/>
    <s v="Natal"/>
    <x v="7"/>
    <s v="Sim"/>
    <n v="45731"/>
    <x v="12"/>
  </r>
  <r>
    <x v="186"/>
    <x v="1"/>
    <x v="2"/>
    <x v="4"/>
    <n v="3035"/>
    <s v="Yasmin da Rosa"/>
    <s v="317.452.069-06"/>
    <s v="317.452.069-06"/>
    <s v="Porto Alegre"/>
    <x v="4"/>
    <s v="Sim"/>
    <n v="45663"/>
    <x v="8"/>
  </r>
  <r>
    <x v="187"/>
    <x v="1"/>
    <x v="2"/>
    <x v="5"/>
    <n v="3036"/>
    <s v="Lívia da Paz"/>
    <s v="982.174.305-60"/>
    <s v="982.174.305-60"/>
    <s v="Porto Velho"/>
    <x v="5"/>
    <m/>
    <n v="45727"/>
    <x v="3"/>
  </r>
  <r>
    <x v="188"/>
    <x v="1"/>
    <x v="3"/>
    <x v="1"/>
    <n v="3032"/>
    <s v="Luiza Carvalho"/>
    <s v="870.314.659-66"/>
    <s v="870.314.659-66"/>
    <s v="Belém"/>
    <x v="1"/>
    <s v="Sim"/>
    <n v="45712"/>
    <x v="7"/>
  </r>
  <r>
    <x v="189"/>
    <x v="1"/>
    <x v="1"/>
    <x v="0"/>
    <n v="3031"/>
    <s v="Nicole Lima"/>
    <s v="064.891.537-93"/>
    <s v="064.891.537-93"/>
    <s v="Amazonas"/>
    <x v="0"/>
    <m/>
    <n v="45691"/>
    <x v="9"/>
  </r>
  <r>
    <x v="190"/>
    <x v="1"/>
    <x v="2"/>
    <x v="2"/>
    <n v="3033"/>
    <s v="Srta. Maria Cecília Caldeira"/>
    <s v="170.239.465-43"/>
    <s v="170.239.465-43"/>
    <s v="Tocantins"/>
    <x v="2"/>
    <m/>
    <n v="45694"/>
    <x v="4"/>
  </r>
  <r>
    <x v="191"/>
    <x v="0"/>
    <x v="0"/>
    <x v="1"/>
    <n v="3032"/>
    <s v="Lavínia Nascimento"/>
    <s v="61257089340"/>
    <s v="612.570.893-40"/>
    <s v="Belém"/>
    <x v="1"/>
    <m/>
    <n v="45709"/>
    <x v="7"/>
  </r>
  <r>
    <x v="192"/>
    <x v="1"/>
    <x v="1"/>
    <x v="7"/>
    <n v="3038"/>
    <s v="Thomas das Neves"/>
    <s v="09435762107"/>
    <s v="094.357.621-07"/>
    <s v="Natal"/>
    <x v="7"/>
    <s v="Sim"/>
    <n v="45737"/>
    <x v="31"/>
  </r>
  <r>
    <x v="193"/>
    <x v="1"/>
    <x v="0"/>
    <x v="7"/>
    <n v="3038"/>
    <s v="Felipe Ramos"/>
    <s v="524.190.786-67"/>
    <s v="524.190.786-67"/>
    <s v="Natal"/>
    <x v="7"/>
    <m/>
    <n v="45717"/>
    <x v="12"/>
  </r>
  <r>
    <x v="194"/>
    <x v="0"/>
    <x v="3"/>
    <x v="7"/>
    <n v="3038"/>
    <s v="Erick da Rocha"/>
    <s v="190.347.825-14"/>
    <s v="190.347.825-14"/>
    <s v="Natal"/>
    <x v="7"/>
    <m/>
    <n v="45697"/>
    <x v="30"/>
  </r>
  <r>
    <x v="195"/>
    <x v="0"/>
    <x v="0"/>
    <x v="2"/>
    <n v="3033"/>
    <s v="Daniela Viana"/>
    <s v="30247159670"/>
    <s v="302.471.596-70"/>
    <s v="Tocantins"/>
    <x v="2"/>
    <m/>
    <n v="45681"/>
    <x v="6"/>
  </r>
  <r>
    <x v="196"/>
    <x v="1"/>
    <x v="2"/>
    <x v="10"/>
    <n v="3041"/>
    <s v="Danilo Silveira"/>
    <s v="36420718996"/>
    <s v="364.207.189-96"/>
    <s v="Petrolina"/>
    <x v="8"/>
    <m/>
    <n v="45711"/>
    <x v="35"/>
  </r>
  <r>
    <x v="197"/>
    <x v="0"/>
    <x v="0"/>
    <x v="1"/>
    <n v="3032"/>
    <s v="Ana Beatriz Monteiro"/>
    <s v="68573914246"/>
    <s v="685.739.142-46"/>
    <s v="Belém"/>
    <x v="1"/>
    <s v="Sim"/>
    <n v="45675"/>
    <x v="18"/>
  </r>
  <r>
    <x v="198"/>
    <x v="1"/>
    <x v="2"/>
    <x v="9"/>
    <n v="3040"/>
    <s v="Lorena Duarte"/>
    <s v="342.690.518-33"/>
    <s v="342.690.518-33"/>
    <s v="Jericoacara"/>
    <x v="6"/>
    <s v="Sim"/>
    <n v="45695"/>
    <x v="24"/>
  </r>
  <r>
    <x v="199"/>
    <x v="0"/>
    <x v="2"/>
    <x v="7"/>
    <n v="3038"/>
    <s v="Fernando da Rocha"/>
    <s v="51762084317"/>
    <s v="517.620.843-17"/>
    <s v="Natal"/>
    <x v="7"/>
    <m/>
    <n v="45694"/>
    <x v="43"/>
  </r>
  <r>
    <x v="200"/>
    <x v="1"/>
    <x v="1"/>
    <x v="1"/>
    <n v="3032"/>
    <s v="Maria Barbosa"/>
    <s v="13879240604"/>
    <s v="138.792.406-04"/>
    <s v="Belém"/>
    <x v="1"/>
    <m/>
    <n v="45676"/>
    <x v="7"/>
  </r>
  <r>
    <x v="201"/>
    <x v="1"/>
    <x v="2"/>
    <x v="4"/>
    <n v="3035"/>
    <s v="Srta. Sofia Rocha"/>
    <s v="39614257873"/>
    <s v="396.142.578-73"/>
    <s v="Porto Alegre"/>
    <x v="4"/>
    <m/>
    <n v="45709"/>
    <x v="26"/>
  </r>
  <r>
    <x v="202"/>
    <x v="1"/>
    <x v="1"/>
    <x v="3"/>
    <n v="3034"/>
    <s v="Isabella Lima"/>
    <s v="457.306.281-53"/>
    <s v="457.306.281-53"/>
    <s v="Salvador"/>
    <x v="3"/>
    <m/>
    <n v="45688"/>
    <x v="5"/>
  </r>
  <r>
    <x v="203"/>
    <x v="1"/>
    <x v="2"/>
    <x v="1"/>
    <n v="3032"/>
    <s v="Amanda das Neves"/>
    <s v="20476531853"/>
    <s v="204.765.318-53"/>
    <s v="Belém"/>
    <x v="1"/>
    <s v="Sim"/>
    <n v="45677"/>
    <x v="38"/>
  </r>
  <r>
    <x v="204"/>
    <x v="0"/>
    <x v="0"/>
    <x v="2"/>
    <n v="3033"/>
    <s v="Sr. João Miguel Farias"/>
    <s v="78523940197"/>
    <s v="785.239.401-97"/>
    <s v="Tocantins"/>
    <x v="2"/>
    <s v="Sim"/>
    <n v="45674"/>
    <x v="8"/>
  </r>
  <r>
    <x v="205"/>
    <x v="1"/>
    <x v="1"/>
    <x v="0"/>
    <n v="3031"/>
    <s v="Thiago Viana"/>
    <s v="720.495.631-16"/>
    <s v="720.495.631-16"/>
    <s v="Amazonas"/>
    <x v="0"/>
    <m/>
    <n v="45671"/>
    <x v="9"/>
  </r>
  <r>
    <x v="206"/>
    <x v="1"/>
    <x v="0"/>
    <x v="11"/>
    <n v="3042"/>
    <s v="Daniela Campos"/>
    <s v="203.479.861-96"/>
    <s v="203.479.861-96"/>
    <s v="Santa Catarina"/>
    <x v="9"/>
    <m/>
    <n v="45722"/>
    <x v="10"/>
  </r>
  <r>
    <x v="207"/>
    <x v="1"/>
    <x v="1"/>
    <x v="6"/>
    <n v="3037"/>
    <s v="Alexia Almeida"/>
    <s v="896.074.231-78"/>
    <s v="896.074.231-78"/>
    <s v="Fortaleza"/>
    <x v="6"/>
    <m/>
    <n v="45659"/>
    <x v="5"/>
  </r>
  <r>
    <x v="208"/>
    <x v="0"/>
    <x v="0"/>
    <x v="5"/>
    <n v="3036"/>
    <s v="Pietra Pinto"/>
    <s v="218.475.693-82"/>
    <s v="218.475.693-82"/>
    <s v="Porto Velho"/>
    <x v="5"/>
    <m/>
    <n v="45737"/>
    <x v="9"/>
  </r>
  <r>
    <x v="209"/>
    <x v="0"/>
    <x v="0"/>
    <x v="10"/>
    <n v="3041"/>
    <s v="Dr. João Vitor Cardoso"/>
    <s v="567.419.230-80"/>
    <s v="567.419.230-80"/>
    <s v="Petrolina"/>
    <x v="8"/>
    <m/>
    <n v="45721"/>
    <x v="13"/>
  </r>
  <r>
    <x v="210"/>
    <x v="1"/>
    <x v="2"/>
    <x v="9"/>
    <n v="3040"/>
    <s v="Sophie Azevedo"/>
    <s v="16834702571"/>
    <s v="168.347.025-71"/>
    <s v="Jericoacara"/>
    <x v="6"/>
    <m/>
    <n v="45726"/>
    <x v="16"/>
  </r>
  <r>
    <x v="211"/>
    <x v="1"/>
    <x v="2"/>
    <x v="10"/>
    <n v="3041"/>
    <s v="Bruno Sales"/>
    <s v="651.407.923-70"/>
    <s v="651.407.923-70"/>
    <s v="Petrolina"/>
    <x v="8"/>
    <s v="Sim"/>
    <n v="45684"/>
    <x v="35"/>
  </r>
  <r>
    <x v="212"/>
    <x v="0"/>
    <x v="1"/>
    <x v="8"/>
    <n v="3039"/>
    <s v="Breno Freitas"/>
    <s v="802.679.154-11"/>
    <s v="802.679.154-11"/>
    <s v="Recife"/>
    <x v="8"/>
    <m/>
    <n v="45731"/>
    <x v="16"/>
  </r>
  <r>
    <x v="213"/>
    <x v="1"/>
    <x v="2"/>
    <x v="1"/>
    <n v="3032"/>
    <s v="Sra. Ana Julia Jesus"/>
    <s v="23654987010"/>
    <s v="236.549.870-10"/>
    <s v="Belém"/>
    <x v="1"/>
    <m/>
    <n v="45734"/>
    <x v="7"/>
  </r>
  <r>
    <x v="214"/>
    <x v="0"/>
    <x v="3"/>
    <x v="9"/>
    <n v="3040"/>
    <s v="Dra. Ana Júlia Santos"/>
    <s v="50137826940"/>
    <s v="501.378.269-40"/>
    <s v="Jericoacara"/>
    <x v="6"/>
    <m/>
    <n v="45733"/>
    <x v="28"/>
  </r>
  <r>
    <x v="215"/>
    <x v="1"/>
    <x v="1"/>
    <x v="5"/>
    <n v="3036"/>
    <s v="Sr. Pedro Miguel Fogaça"/>
    <s v="793.248.501-05"/>
    <s v="793.248.501-05"/>
    <s v="Porto Velho"/>
    <x v="5"/>
    <s v="Sim"/>
    <n v="45666"/>
    <x v="27"/>
  </r>
  <r>
    <x v="216"/>
    <x v="0"/>
    <x v="3"/>
    <x v="4"/>
    <n v="3035"/>
    <s v="Evelyn Farias"/>
    <s v="19483657237"/>
    <s v="194.836.572-37"/>
    <s v="Porto Alegre"/>
    <x v="4"/>
    <m/>
    <n v="45668"/>
    <x v="8"/>
  </r>
  <r>
    <x v="217"/>
    <x v="0"/>
    <x v="2"/>
    <x v="7"/>
    <n v="3038"/>
    <s v="Alexandre Lima"/>
    <s v="754.016.832-35"/>
    <s v="754.016.832-35"/>
    <s v="Natal"/>
    <x v="7"/>
    <m/>
    <n v="45712"/>
    <x v="31"/>
  </r>
  <r>
    <x v="218"/>
    <x v="1"/>
    <x v="3"/>
    <x v="10"/>
    <n v="3041"/>
    <s v="Maitê Oliveira"/>
    <s v="10924867558"/>
    <s v="109.248.675-58"/>
    <s v="Petrolina"/>
    <x v="8"/>
    <m/>
    <n v="45686"/>
    <x v="23"/>
  </r>
  <r>
    <x v="219"/>
    <x v="0"/>
    <x v="1"/>
    <x v="6"/>
    <n v="3037"/>
    <s v="Joana Cardoso"/>
    <s v="83259146709"/>
    <s v="832.591.467-09"/>
    <s v="Fortaleza"/>
    <x v="6"/>
    <m/>
    <n v="45684"/>
    <x v="19"/>
  </r>
  <r>
    <x v="220"/>
    <x v="0"/>
    <x v="0"/>
    <x v="1"/>
    <n v="3032"/>
    <s v="Bianca Campos"/>
    <s v="264.398.015-89"/>
    <s v="264.398.015-89"/>
    <s v="Belém"/>
    <x v="1"/>
    <s v="Sim"/>
    <n v="45681"/>
    <x v="47"/>
  </r>
  <r>
    <x v="221"/>
    <x v="0"/>
    <x v="1"/>
    <x v="4"/>
    <n v="3035"/>
    <s v="Dra. Luna da Paz"/>
    <s v="712.903.648-69"/>
    <s v="712.903.648-69"/>
    <s v="Porto Alegre"/>
    <x v="4"/>
    <m/>
    <n v="45736"/>
    <x v="22"/>
  </r>
  <r>
    <x v="222"/>
    <x v="0"/>
    <x v="2"/>
    <x v="1"/>
    <n v="3032"/>
    <s v="Dr. Isaac Pinto"/>
    <s v="92487135050"/>
    <s v="924.871.350-50"/>
    <s v="Belém"/>
    <x v="1"/>
    <m/>
    <n v="45696"/>
    <x v="41"/>
  </r>
  <r>
    <x v="223"/>
    <x v="0"/>
    <x v="2"/>
    <x v="7"/>
    <n v="3038"/>
    <s v="Dr. Vicente Rodrigues"/>
    <s v="93582670465"/>
    <s v="935.826.704-65"/>
    <s v="Natal"/>
    <x v="7"/>
    <s v="Sim"/>
    <n v="45715"/>
    <x v="34"/>
  </r>
  <r>
    <x v="224"/>
    <x v="0"/>
    <x v="2"/>
    <x v="2"/>
    <n v="3033"/>
    <s v="Carolina Vieira"/>
    <s v="07382965112"/>
    <s v="073.829.651-12"/>
    <s v="Tocantins"/>
    <x v="2"/>
    <s v="Sim"/>
    <n v="45671"/>
    <x v="7"/>
  </r>
  <r>
    <x v="225"/>
    <x v="0"/>
    <x v="3"/>
    <x v="11"/>
    <n v="3042"/>
    <s v="Fernanda Duarte"/>
    <s v="426.730.581-17"/>
    <s v="426.730.581-17"/>
    <s v="Santa Catarina"/>
    <x v="9"/>
    <s v="Sim"/>
    <n v="45714"/>
    <x v="46"/>
  </r>
  <r>
    <x v="226"/>
    <x v="1"/>
    <x v="0"/>
    <x v="9"/>
    <n v="3040"/>
    <s v="Maria Alice Santos"/>
    <s v="680.924.735-10"/>
    <s v="680.924.735-10"/>
    <s v="Jericoacara"/>
    <x v="6"/>
    <s v="Sim"/>
    <n v="45721"/>
    <x v="24"/>
  </r>
  <r>
    <x v="227"/>
    <x v="1"/>
    <x v="2"/>
    <x v="8"/>
    <n v="3039"/>
    <s v="Isabella da Cunha"/>
    <s v="90672384574"/>
    <s v="906.723.845-74"/>
    <s v="Recife"/>
    <x v="8"/>
    <m/>
    <n v="45683"/>
    <x v="21"/>
  </r>
  <r>
    <x v="228"/>
    <x v="0"/>
    <x v="2"/>
    <x v="5"/>
    <n v="3036"/>
    <s v="Luiz Gustavo Silveira"/>
    <s v="837.295.140-32"/>
    <s v="837.295.140-32"/>
    <s v="Porto Velho"/>
    <x v="5"/>
    <m/>
    <n v="45704"/>
    <x v="17"/>
  </r>
  <r>
    <x v="229"/>
    <x v="0"/>
    <x v="1"/>
    <x v="4"/>
    <n v="3035"/>
    <s v="Gustavo Peixoto"/>
    <s v="19276530886"/>
    <s v="192.765.308-86"/>
    <s v="Porto Alegre"/>
    <x v="4"/>
    <m/>
    <n v="45691"/>
    <x v="22"/>
  </r>
  <r>
    <x v="230"/>
    <x v="1"/>
    <x v="1"/>
    <x v="10"/>
    <n v="3041"/>
    <s v="Ana Luiza Pires"/>
    <s v="75120849350"/>
    <s v="751.208.493-50"/>
    <s v="Petrolina"/>
    <x v="8"/>
    <m/>
    <n v="45723"/>
    <x v="13"/>
  </r>
  <r>
    <x v="231"/>
    <x v="0"/>
    <x v="1"/>
    <x v="8"/>
    <n v="3039"/>
    <s v="Vicente Farias"/>
    <s v="829.743.501-60"/>
    <s v="829.743.501-60"/>
    <s v="Recife"/>
    <x v="8"/>
    <s v="Sim"/>
    <n v="45719"/>
    <x v="42"/>
  </r>
  <r>
    <x v="232"/>
    <x v="0"/>
    <x v="2"/>
    <x v="1"/>
    <n v="3032"/>
    <s v="Diego Pinto"/>
    <s v="60374958238"/>
    <s v="603.749.582-38"/>
    <s v="Belém"/>
    <x v="1"/>
    <s v="Sim"/>
    <n v="45677"/>
    <x v="15"/>
  </r>
  <r>
    <x v="233"/>
    <x v="1"/>
    <x v="0"/>
    <x v="6"/>
    <n v="3037"/>
    <s v="Vitor Gabriel Campos"/>
    <s v="912.768.304-40"/>
    <s v="912.768.304-40"/>
    <s v="Fortaleza"/>
    <x v="6"/>
    <m/>
    <n v="45723"/>
    <x v="19"/>
  </r>
  <r>
    <x v="234"/>
    <x v="1"/>
    <x v="1"/>
    <x v="0"/>
    <n v="3031"/>
    <s v="Marcela Lopes"/>
    <s v="968.402.715-01"/>
    <s v="968.402.715-01"/>
    <s v="Amazonas"/>
    <x v="0"/>
    <s v="Sim"/>
    <n v="45737"/>
    <x v="13"/>
  </r>
  <r>
    <x v="235"/>
    <x v="0"/>
    <x v="0"/>
    <x v="3"/>
    <n v="3034"/>
    <s v="Rafaela Jesus"/>
    <s v="91270865340"/>
    <s v="912.708.653-40"/>
    <s v="Salvador"/>
    <x v="3"/>
    <m/>
    <n v="45694"/>
    <x v="17"/>
  </r>
  <r>
    <x v="236"/>
    <x v="1"/>
    <x v="0"/>
    <x v="8"/>
    <n v="3039"/>
    <s v="Srta. Maitê Nogueira"/>
    <s v="629.317.580-86"/>
    <s v="629.317.580-86"/>
    <s v="Recife"/>
    <x v="8"/>
    <s v="Sim"/>
    <n v="45705"/>
    <x v="14"/>
  </r>
  <r>
    <x v="237"/>
    <x v="1"/>
    <x v="0"/>
    <x v="3"/>
    <n v="3034"/>
    <s v="Daniel da Mata"/>
    <s v="57062834947"/>
    <s v="570.628.349-47"/>
    <s v="Salvador"/>
    <x v="3"/>
    <m/>
    <n v="45737"/>
    <x v="17"/>
  </r>
  <r>
    <x v="238"/>
    <x v="1"/>
    <x v="0"/>
    <x v="3"/>
    <n v="3034"/>
    <s v="Maria Eduarda Santos"/>
    <s v="769.358.402-10"/>
    <s v="769.358.402-10"/>
    <s v="Salvador"/>
    <x v="3"/>
    <s v="Sim"/>
    <n v="45712"/>
    <x v="17"/>
  </r>
  <r>
    <x v="239"/>
    <x v="0"/>
    <x v="2"/>
    <x v="9"/>
    <n v="3040"/>
    <s v="Vitor Hugo das Neves"/>
    <s v="40917263561"/>
    <s v="409.172.635-61"/>
    <s v="Jericoacara"/>
    <x v="6"/>
    <m/>
    <n v="45711"/>
    <x v="45"/>
  </r>
  <r>
    <x v="240"/>
    <x v="0"/>
    <x v="0"/>
    <x v="0"/>
    <n v="3031"/>
    <s v="Ana Sophia Correia"/>
    <s v="48590316793"/>
    <s v="485.903.167-93"/>
    <s v="Amazonas"/>
    <x v="0"/>
    <s v="Sim"/>
    <n v="45729"/>
    <x v="9"/>
  </r>
  <r>
    <x v="241"/>
    <x v="1"/>
    <x v="1"/>
    <x v="5"/>
    <n v="3036"/>
    <s v="Sophia Farias"/>
    <s v="40726839574"/>
    <s v="407.268.395-74"/>
    <s v="Porto Velho"/>
    <x v="5"/>
    <s v="Sim"/>
    <n v="45678"/>
    <x v="3"/>
  </r>
  <r>
    <x v="242"/>
    <x v="0"/>
    <x v="1"/>
    <x v="11"/>
    <n v="3042"/>
    <s v="Dra. Olivia Monteiro"/>
    <s v="962.415.803-70"/>
    <s v="962.415.803-70"/>
    <s v="Santa Catarina"/>
    <x v="9"/>
    <m/>
    <n v="45709"/>
    <x v="10"/>
  </r>
  <r>
    <x v="243"/>
    <x v="0"/>
    <x v="2"/>
    <x v="8"/>
    <n v="3039"/>
    <s v="Noah Teixeira"/>
    <s v="254.976.031-06"/>
    <s v="254.976.031-06"/>
    <s v="Recife"/>
    <x v="8"/>
    <m/>
    <n v="45663"/>
    <x v="34"/>
  </r>
  <r>
    <x v="244"/>
    <x v="0"/>
    <x v="0"/>
    <x v="2"/>
    <n v="3033"/>
    <s v="Pietro Costela"/>
    <s v="239.571.840-88"/>
    <s v="239.571.840-88"/>
    <s v="Tocantins"/>
    <x v="2"/>
    <s v="Sim"/>
    <n v="45714"/>
    <x v="7"/>
  </r>
  <r>
    <x v="245"/>
    <x v="1"/>
    <x v="3"/>
    <x v="11"/>
    <n v="3042"/>
    <s v="Emanuelly Peixoto"/>
    <s v="671.503.248-35"/>
    <s v="671.503.248-35"/>
    <s v="Santa Catarina"/>
    <x v="9"/>
    <m/>
    <n v="45702"/>
    <x v="37"/>
  </r>
  <r>
    <x v="246"/>
    <x v="0"/>
    <x v="3"/>
    <x v="11"/>
    <n v="3042"/>
    <s v="Giovanna Almeida"/>
    <s v="17560438920"/>
    <s v="175.604.389-20"/>
    <s v="Santa Catarina"/>
    <x v="9"/>
    <s v="Sim"/>
    <n v="45738"/>
    <x v="24"/>
  </r>
  <r>
    <x v="247"/>
    <x v="1"/>
    <x v="2"/>
    <x v="3"/>
    <n v="3034"/>
    <s v="Luiz Felipe Fogaça"/>
    <s v="549.861.370-93"/>
    <s v="549.861.370-93"/>
    <s v="Salvador"/>
    <x v="3"/>
    <m/>
    <n v="45662"/>
    <x v="11"/>
  </r>
  <r>
    <x v="248"/>
    <x v="0"/>
    <x v="0"/>
    <x v="7"/>
    <n v="3038"/>
    <s v="Pedro Lucas Ramos"/>
    <s v="012.369.547-34"/>
    <s v="012.369.547-34"/>
    <s v="Natal"/>
    <x v="7"/>
    <m/>
    <n v="45743"/>
    <x v="43"/>
  </r>
  <r>
    <x v="249"/>
    <x v="0"/>
    <x v="0"/>
    <x v="0"/>
    <n v="3031"/>
    <s v="Fernanda da Cruz"/>
    <s v="415.206.873-62"/>
    <s v="415.206.873-62"/>
    <s v="Amazonas"/>
    <x v="0"/>
    <s v="Sim"/>
    <n v="45718"/>
    <x v="3"/>
  </r>
  <r>
    <x v="250"/>
    <x v="1"/>
    <x v="2"/>
    <x v="1"/>
    <n v="3032"/>
    <s v="Thiago Dias"/>
    <s v="618.073.942-04"/>
    <s v="618.073.942-04"/>
    <s v="Belém"/>
    <x v="1"/>
    <m/>
    <n v="45708"/>
    <x v="25"/>
  </r>
  <r>
    <x v="251"/>
    <x v="0"/>
    <x v="2"/>
    <x v="8"/>
    <n v="3039"/>
    <s v="Laura Alves"/>
    <s v="051.637.892-95"/>
    <s v="051.637.892-95"/>
    <s v="Recife"/>
    <x v="8"/>
    <m/>
    <n v="45695"/>
    <x v="48"/>
  </r>
  <r>
    <x v="252"/>
    <x v="0"/>
    <x v="2"/>
    <x v="5"/>
    <n v="3036"/>
    <s v="Thomas Cavalcanti"/>
    <s v="15829376059"/>
    <s v="158.293.760-59"/>
    <s v="Porto Velho"/>
    <x v="5"/>
    <m/>
    <n v="45664"/>
    <x v="13"/>
  </r>
  <r>
    <x v="253"/>
    <x v="1"/>
    <x v="0"/>
    <x v="7"/>
    <n v="3038"/>
    <s v="Maria Fernanda Alves"/>
    <s v="927.851.436-55"/>
    <s v="927.851.436-55"/>
    <s v="Natal"/>
    <x v="7"/>
    <s v="Sim"/>
    <n v="45741"/>
    <x v="8"/>
  </r>
  <r>
    <x v="254"/>
    <x v="1"/>
    <x v="1"/>
    <x v="6"/>
    <n v="3037"/>
    <s v="Bryan Castro"/>
    <s v="21693780577"/>
    <s v="216.937.805-77"/>
    <s v="Fortaleza"/>
    <x v="6"/>
    <m/>
    <n v="45720"/>
    <x v="24"/>
  </r>
  <r>
    <x v="255"/>
    <x v="1"/>
    <x v="0"/>
    <x v="3"/>
    <n v="3034"/>
    <s v="Felipe Vieira"/>
    <s v="940.652.187-30"/>
    <s v="940.652.187-30"/>
    <s v="Salvador"/>
    <x v="3"/>
    <m/>
    <n v="45730"/>
    <x v="17"/>
  </r>
  <r>
    <x v="256"/>
    <x v="1"/>
    <x v="2"/>
    <x v="7"/>
    <n v="3038"/>
    <s v="Evelyn Barros"/>
    <s v="37601982440"/>
    <s v="376.019.824-40"/>
    <s v="Natal"/>
    <x v="7"/>
    <m/>
    <n v="45693"/>
    <x v="30"/>
  </r>
  <r>
    <x v="257"/>
    <x v="1"/>
    <x v="1"/>
    <x v="4"/>
    <n v="3035"/>
    <s v="Sr. João Pedro Peixoto"/>
    <s v="582.630.479-00"/>
    <s v="582.630.479-00"/>
    <s v="Porto Alegre"/>
    <x v="4"/>
    <s v="Sim"/>
    <n v="45659"/>
    <x v="22"/>
  </r>
  <r>
    <x v="258"/>
    <x v="0"/>
    <x v="2"/>
    <x v="0"/>
    <n v="3031"/>
    <s v="Enrico Barbosa"/>
    <s v="06458731280"/>
    <s v="064.587.312-80"/>
    <s v="Amazonas"/>
    <x v="0"/>
    <m/>
    <n v="45666"/>
    <x v="26"/>
  </r>
  <r>
    <x v="259"/>
    <x v="0"/>
    <x v="0"/>
    <x v="6"/>
    <n v="3037"/>
    <s v="Maria Alice Teixeira"/>
    <s v="924.086.173-40"/>
    <s v="924.086.173-40"/>
    <s v="Fortaleza"/>
    <x v="6"/>
    <s v="Sim"/>
    <n v="45695"/>
    <x v="10"/>
  </r>
  <r>
    <x v="260"/>
    <x v="1"/>
    <x v="2"/>
    <x v="10"/>
    <n v="3041"/>
    <s v="Maysa Campos"/>
    <s v="463.018.795-20"/>
    <s v="463.018.795-20"/>
    <s v="Petrolina"/>
    <x v="8"/>
    <m/>
    <n v="45717"/>
    <x v="32"/>
  </r>
  <r>
    <x v="261"/>
    <x v="1"/>
    <x v="1"/>
    <x v="0"/>
    <n v="3031"/>
    <s v="Ana Carolina Lima"/>
    <s v="210.587.639-03"/>
    <s v="210.587.639-03"/>
    <s v="Amazonas"/>
    <x v="0"/>
    <s v="Sim"/>
    <n v="45708"/>
    <x v="26"/>
  </r>
  <r>
    <x v="262"/>
    <x v="0"/>
    <x v="3"/>
    <x v="1"/>
    <n v="3032"/>
    <s v="Valentina Ferreira"/>
    <s v="25987041694"/>
    <s v="259.870.416-94"/>
    <s v="Belém"/>
    <x v="1"/>
    <m/>
    <n v="45684"/>
    <x v="41"/>
  </r>
  <r>
    <x v="263"/>
    <x v="0"/>
    <x v="3"/>
    <x v="10"/>
    <n v="3041"/>
    <s v="Ana Clara Ferreira"/>
    <s v="91734208678"/>
    <s v="917.342.086-78"/>
    <s v="Petrolina"/>
    <x v="8"/>
    <m/>
    <n v="45693"/>
    <x v="28"/>
  </r>
  <r>
    <x v="264"/>
    <x v="1"/>
    <x v="2"/>
    <x v="0"/>
    <n v="3031"/>
    <s v="Fernando Cavalcanti"/>
    <s v="91354067207"/>
    <s v="913.540.672-07"/>
    <s v="Amazonas"/>
    <x v="0"/>
    <m/>
    <n v="45662"/>
    <x v="0"/>
  </r>
  <r>
    <x v="265"/>
    <x v="0"/>
    <x v="0"/>
    <x v="9"/>
    <n v="3040"/>
    <s v="Isabelly Nogueira"/>
    <s v="290.453.167-06"/>
    <s v="290.453.167-06"/>
    <s v="Jericoacara"/>
    <x v="6"/>
    <s v="Sim"/>
    <n v="45698"/>
    <x v="24"/>
  </r>
  <r>
    <x v="266"/>
    <x v="0"/>
    <x v="1"/>
    <x v="11"/>
    <n v="3042"/>
    <s v="Sra. Emanuelly Cardoso"/>
    <s v="95148076267"/>
    <s v="951.480.762-67"/>
    <s v="Santa Catarina"/>
    <x v="9"/>
    <m/>
    <n v="45696"/>
    <x v="10"/>
  </r>
  <r>
    <x v="267"/>
    <x v="1"/>
    <x v="2"/>
    <x v="0"/>
    <n v="3031"/>
    <s v="Lucas Gabriel Gomes"/>
    <s v="451.930.267-61"/>
    <s v="451.930.267-61"/>
    <s v="Amazonas"/>
    <x v="0"/>
    <s v="Sim"/>
    <n v="45712"/>
    <x v="26"/>
  </r>
  <r>
    <x v="268"/>
    <x v="0"/>
    <x v="2"/>
    <x v="0"/>
    <n v="3031"/>
    <s v="Vicente Farias"/>
    <s v="75961480267"/>
    <s v="759.614.802-67"/>
    <s v="Amazonas"/>
    <x v="0"/>
    <m/>
    <n v="45697"/>
    <x v="13"/>
  </r>
  <r>
    <x v="269"/>
    <x v="1"/>
    <x v="0"/>
    <x v="4"/>
    <n v="3035"/>
    <s v="Enzo Viana"/>
    <s v="50987326465"/>
    <s v="509.873.264-65"/>
    <s v="Porto Alegre"/>
    <x v="4"/>
    <s v="Sim"/>
    <n v="45709"/>
    <x v="4"/>
  </r>
  <r>
    <x v="270"/>
    <x v="0"/>
    <x v="1"/>
    <x v="2"/>
    <n v="3033"/>
    <s v="Kaique Rodrigues"/>
    <s v="02496138750"/>
    <s v="024.961.387-50"/>
    <s v="Tocantins"/>
    <x v="2"/>
    <s v="Sim"/>
    <n v="45702"/>
    <x v="6"/>
  </r>
  <r>
    <x v="271"/>
    <x v="0"/>
    <x v="2"/>
    <x v="1"/>
    <n v="3032"/>
    <s v="Srta. Maria Luiza Castro"/>
    <s v="826.045.713-07"/>
    <s v="826.045.713-07"/>
    <s v="Belém"/>
    <x v="1"/>
    <s v="Sim"/>
    <n v="45680"/>
    <x v="44"/>
  </r>
  <r>
    <x v="272"/>
    <x v="0"/>
    <x v="3"/>
    <x v="8"/>
    <n v="3039"/>
    <s v="Francisco Lopes"/>
    <s v="65832109759"/>
    <s v="658.321.097-59"/>
    <s v="Recife"/>
    <x v="8"/>
    <s v="Sim"/>
    <n v="45733"/>
    <x v="48"/>
  </r>
  <r>
    <x v="273"/>
    <x v="0"/>
    <x v="1"/>
    <x v="8"/>
    <n v="3039"/>
    <s v="Ana Lívia da Costa"/>
    <s v="12738605940"/>
    <s v="127.386.059-40"/>
    <s v="Recife"/>
    <x v="8"/>
    <s v="Sim"/>
    <n v="45732"/>
    <x v="21"/>
  </r>
  <r>
    <x v="274"/>
    <x v="1"/>
    <x v="2"/>
    <x v="9"/>
    <n v="3040"/>
    <s v="Levi Lima"/>
    <s v="74109263506"/>
    <s v="741.092.635-06"/>
    <s v="Jericoacara"/>
    <x v="6"/>
    <s v="Sim"/>
    <n v="45672"/>
    <x v="29"/>
  </r>
  <r>
    <x v="275"/>
    <x v="0"/>
    <x v="3"/>
    <x v="2"/>
    <n v="3033"/>
    <s v="Theo Farias"/>
    <s v="560.928.173-30"/>
    <s v="560.928.173-30"/>
    <s v="Tocantins"/>
    <x v="2"/>
    <m/>
    <n v="45740"/>
    <x v="8"/>
  </r>
  <r>
    <x v="276"/>
    <x v="0"/>
    <x v="1"/>
    <x v="7"/>
    <n v="3038"/>
    <s v="Maria Eduarda Vieira"/>
    <s v="317.086.492-04"/>
    <s v="317.086.492-04"/>
    <s v="Natal"/>
    <x v="7"/>
    <s v="Sim"/>
    <n v="45670"/>
    <x v="34"/>
  </r>
  <r>
    <x v="277"/>
    <x v="1"/>
    <x v="1"/>
    <x v="9"/>
    <n v="3040"/>
    <s v="João Moura"/>
    <s v="149.067.352-07"/>
    <s v="149.067.352-07"/>
    <s v="Jericoacara"/>
    <x v="6"/>
    <m/>
    <n v="45745"/>
    <x v="29"/>
  </r>
  <r>
    <x v="278"/>
    <x v="1"/>
    <x v="2"/>
    <x v="0"/>
    <n v="3031"/>
    <s v="Sr. Augusto Rezende"/>
    <s v="026.753.491-43"/>
    <s v="026.753.491-43"/>
    <s v="Amazonas"/>
    <x v="0"/>
    <s v="Sim"/>
    <n v="45724"/>
    <x v="3"/>
  </r>
  <r>
    <x v="279"/>
    <x v="1"/>
    <x v="0"/>
    <x v="4"/>
    <n v="3035"/>
    <s v="Camila Moraes"/>
    <s v="32489106589"/>
    <s v="324.891.065-89"/>
    <s v="Porto Alegre"/>
    <x v="4"/>
    <m/>
    <n v="45720"/>
    <x v="22"/>
  </r>
  <r>
    <x v="280"/>
    <x v="0"/>
    <x v="3"/>
    <x v="11"/>
    <n v="3042"/>
    <s v="Luiz Felipe Oliveira"/>
    <s v="87092314631"/>
    <s v="870.923.146-31"/>
    <s v="Santa Catarina"/>
    <x v="9"/>
    <m/>
    <n v="45720"/>
    <x v="46"/>
  </r>
  <r>
    <x v="281"/>
    <x v="0"/>
    <x v="0"/>
    <x v="8"/>
    <n v="3039"/>
    <s v="Elisa Viana"/>
    <s v="06534827107"/>
    <s v="065.348.271-07"/>
    <s v="Recife"/>
    <x v="8"/>
    <s v="Sim"/>
    <n v="45695"/>
    <x v="48"/>
  </r>
  <r>
    <x v="282"/>
    <x v="0"/>
    <x v="2"/>
    <x v="10"/>
    <n v="3041"/>
    <s v="Diego Araújo"/>
    <s v="53062789140"/>
    <s v="530.627.891-40"/>
    <s v="Petrolina"/>
    <x v="8"/>
    <m/>
    <n v="45732"/>
    <x v="42"/>
  </r>
  <r>
    <x v="283"/>
    <x v="1"/>
    <x v="2"/>
    <x v="6"/>
    <n v="3037"/>
    <s v="Daniela da Cruz"/>
    <s v="13824096722"/>
    <s v="138.240.967-22"/>
    <s v="Fortaleza"/>
    <x v="6"/>
    <m/>
    <n v="45692"/>
    <x v="26"/>
  </r>
  <r>
    <x v="284"/>
    <x v="0"/>
    <x v="3"/>
    <x v="7"/>
    <n v="3038"/>
    <s v="Davi Duarte"/>
    <s v="958.402.167-20"/>
    <s v="958.402.167-20"/>
    <s v="Natal"/>
    <x v="7"/>
    <m/>
    <n v="45739"/>
    <x v="21"/>
  </r>
  <r>
    <x v="285"/>
    <x v="1"/>
    <x v="2"/>
    <x v="3"/>
    <n v="3034"/>
    <s v="Maria Cecília Lima"/>
    <s v="27086145335"/>
    <s v="270.861.453-35"/>
    <s v="Salvador"/>
    <x v="3"/>
    <s v="Sim"/>
    <n v="45658"/>
    <x v="5"/>
  </r>
  <r>
    <x v="286"/>
    <x v="0"/>
    <x v="2"/>
    <x v="0"/>
    <n v="3031"/>
    <s v="Sr. Cauê Mendes"/>
    <s v="250.714.863-26"/>
    <s v="250.714.863-26"/>
    <s v="Amazonas"/>
    <x v="0"/>
    <s v="Sim"/>
    <n v="45665"/>
    <x v="5"/>
  </r>
  <r>
    <x v="287"/>
    <x v="0"/>
    <x v="1"/>
    <x v="1"/>
    <n v="3032"/>
    <s v="Dr. Nicolas Castro"/>
    <s v="549.163.827-73"/>
    <s v="549.163.827-73"/>
    <s v="Belém"/>
    <x v="1"/>
    <m/>
    <n v="45674"/>
    <x v="1"/>
  </r>
  <r>
    <x v="288"/>
    <x v="1"/>
    <x v="3"/>
    <x v="11"/>
    <n v="3042"/>
    <s v="Dra. Olivia Moraes"/>
    <s v="326.857.104-26"/>
    <s v="326.857.104-26"/>
    <s v="Santa Catarina"/>
    <x v="9"/>
    <m/>
    <n v="45726"/>
    <x v="46"/>
  </r>
  <r>
    <x v="289"/>
    <x v="1"/>
    <x v="0"/>
    <x v="7"/>
    <n v="3038"/>
    <s v="Julia Azevedo"/>
    <s v="25384076135"/>
    <s v="253.840.761-35"/>
    <s v="Natal"/>
    <x v="7"/>
    <m/>
    <n v="45730"/>
    <x v="12"/>
  </r>
  <r>
    <x v="290"/>
    <x v="1"/>
    <x v="2"/>
    <x v="11"/>
    <n v="3042"/>
    <s v="Erick Monteiro"/>
    <s v="52169830740"/>
    <s v="521.698.307-40"/>
    <s v="Santa Catarina"/>
    <x v="9"/>
    <s v="Sim"/>
    <n v="45678"/>
    <x v="37"/>
  </r>
  <r>
    <x v="291"/>
    <x v="0"/>
    <x v="0"/>
    <x v="9"/>
    <n v="3040"/>
    <s v="Ryan Campos"/>
    <s v="54190637270"/>
    <s v="541.906.372-70"/>
    <s v="Jericoacara"/>
    <x v="6"/>
    <m/>
    <n v="45674"/>
    <x v="28"/>
  </r>
  <r>
    <x v="292"/>
    <x v="0"/>
    <x v="0"/>
    <x v="9"/>
    <n v="3040"/>
    <s v="Luna Nascimento"/>
    <s v="586.034.179-20"/>
    <s v="586.034.179-20"/>
    <s v="Jericoacara"/>
    <x v="6"/>
    <s v="Sim"/>
    <n v="45665"/>
    <x v="24"/>
  </r>
  <r>
    <x v="293"/>
    <x v="1"/>
    <x v="0"/>
    <x v="6"/>
    <n v="3037"/>
    <s v="Gustavo Aragão"/>
    <s v="541.027.369-99"/>
    <s v="541.027.369-99"/>
    <s v="Fortaleza"/>
    <x v="6"/>
    <m/>
    <n v="45711"/>
    <x v="26"/>
  </r>
  <r>
    <x v="294"/>
    <x v="0"/>
    <x v="0"/>
    <x v="2"/>
    <n v="3033"/>
    <s v="Joaquim Rocha"/>
    <s v="062.431.958-05"/>
    <s v="062.431.958-05"/>
    <s v="Tocantins"/>
    <x v="2"/>
    <m/>
    <n v="45677"/>
    <x v="6"/>
  </r>
  <r>
    <x v="295"/>
    <x v="1"/>
    <x v="1"/>
    <x v="8"/>
    <n v="3039"/>
    <s v="Juan Vieira"/>
    <s v="84921075611"/>
    <s v="849.210.756-11"/>
    <s v="Recife"/>
    <x v="8"/>
    <s v="Sim"/>
    <n v="45672"/>
    <x v="42"/>
  </r>
  <r>
    <x v="296"/>
    <x v="1"/>
    <x v="0"/>
    <x v="9"/>
    <n v="3040"/>
    <s v="João Guilherme Almeida"/>
    <s v="614.957.302-80"/>
    <s v="614.957.302-80"/>
    <s v="Jericoacara"/>
    <x v="6"/>
    <m/>
    <n v="45660"/>
    <x v="29"/>
  </r>
  <r>
    <x v="297"/>
    <x v="0"/>
    <x v="2"/>
    <x v="5"/>
    <n v="3036"/>
    <s v="Davi Luiz Gonçalves"/>
    <s v="179.235.468-19"/>
    <s v="179.235.468-19"/>
    <s v="Porto Velho"/>
    <x v="5"/>
    <s v="Sim"/>
    <n v="45666"/>
    <x v="13"/>
  </r>
  <r>
    <x v="298"/>
    <x v="1"/>
    <x v="1"/>
    <x v="5"/>
    <n v="3036"/>
    <s v="Maria Cecília Nogueira"/>
    <s v="256.913.087-77"/>
    <s v="256.913.087-77"/>
    <s v="Porto Velho"/>
    <x v="5"/>
    <m/>
    <n v="45703"/>
    <x v="3"/>
  </r>
  <r>
    <x v="299"/>
    <x v="0"/>
    <x v="1"/>
    <x v="7"/>
    <n v="3038"/>
    <s v="Enzo Gabriel Fogaça"/>
    <s v="90265847176"/>
    <s v="902.658.471-76"/>
    <s v="Natal"/>
    <x v="7"/>
    <m/>
    <n v="45736"/>
    <x v="21"/>
  </r>
  <r>
    <x v="300"/>
    <x v="1"/>
    <x v="3"/>
    <x v="1"/>
    <n v="3032"/>
    <s v="Júlia Dias"/>
    <s v="806.743.529-47"/>
    <s v="806.743.529-47"/>
    <s v="Belém"/>
    <x v="1"/>
    <m/>
    <n v="45704"/>
    <x v="44"/>
  </r>
  <r>
    <x v="301"/>
    <x v="0"/>
    <x v="1"/>
    <x v="6"/>
    <n v="3037"/>
    <s v="Bruno Novaes"/>
    <s v="082.931.467-96"/>
    <s v="082.931.467-96"/>
    <s v="Fortaleza"/>
    <x v="6"/>
    <m/>
    <n v="45670"/>
    <x v="10"/>
  </r>
  <r>
    <x v="302"/>
    <x v="0"/>
    <x v="3"/>
    <x v="10"/>
    <n v="3041"/>
    <s v="Kevin Cardoso"/>
    <s v="632.947.580-65"/>
    <s v="632.947.580-65"/>
    <s v="Petrolina"/>
    <x v="8"/>
    <m/>
    <n v="45666"/>
    <x v="42"/>
  </r>
  <r>
    <x v="303"/>
    <x v="1"/>
    <x v="3"/>
    <x v="3"/>
    <n v="3034"/>
    <s v="Maria Eduarda Novaes"/>
    <s v="854.730.961-66"/>
    <s v="854.730.961-66"/>
    <s v="Salvador"/>
    <x v="3"/>
    <s v="Sim"/>
    <n v="45672"/>
    <x v="11"/>
  </r>
  <r>
    <x v="304"/>
    <x v="0"/>
    <x v="1"/>
    <x v="7"/>
    <n v="3038"/>
    <s v="Miguel Castro"/>
    <s v="194.672.385-19"/>
    <s v="194.672.385-19"/>
    <s v="Natal"/>
    <x v="7"/>
    <m/>
    <n v="45721"/>
    <x v="21"/>
  </r>
  <r>
    <x v="305"/>
    <x v="1"/>
    <x v="0"/>
    <x v="0"/>
    <n v="3031"/>
    <s v="Maria Julia Ribeiro"/>
    <s v="02431769534"/>
    <s v="024.317.695-34"/>
    <s v="Amazonas"/>
    <x v="0"/>
    <s v="Sim"/>
    <n v="45744"/>
    <x v="0"/>
  </r>
  <r>
    <x v="306"/>
    <x v="0"/>
    <x v="0"/>
    <x v="7"/>
    <n v="3038"/>
    <s v="Sr. Benjamin Ribeiro"/>
    <s v="450.268.917-30"/>
    <s v="450.268.917-30"/>
    <s v="Natal"/>
    <x v="7"/>
    <m/>
    <n v="45742"/>
    <x v="12"/>
  </r>
  <r>
    <x v="307"/>
    <x v="0"/>
    <x v="1"/>
    <x v="5"/>
    <n v="3036"/>
    <s v="Daniel Jesus"/>
    <s v="754.839.061-01"/>
    <s v="754.839.061-01"/>
    <s v="Porto Velho"/>
    <x v="5"/>
    <m/>
    <n v="45678"/>
    <x v="17"/>
  </r>
  <r>
    <x v="308"/>
    <x v="1"/>
    <x v="2"/>
    <x v="7"/>
    <n v="3038"/>
    <s v="Sarah Rodrigues"/>
    <s v="85041723923"/>
    <s v="850.417.239-23"/>
    <s v="Natal"/>
    <x v="7"/>
    <m/>
    <n v="45671"/>
    <x v="34"/>
  </r>
  <r>
    <x v="309"/>
    <x v="0"/>
    <x v="2"/>
    <x v="7"/>
    <n v="3038"/>
    <s v="Maria Fernanda Araújo"/>
    <s v="23860154753"/>
    <s v="238.601.547-53"/>
    <s v="Natal"/>
    <x v="7"/>
    <m/>
    <n v="45692"/>
    <x v="12"/>
  </r>
  <r>
    <x v="310"/>
    <x v="0"/>
    <x v="2"/>
    <x v="3"/>
    <n v="3034"/>
    <s v="Srta. Emilly Moura"/>
    <s v="786.509.132-02"/>
    <s v="786.509.132-02"/>
    <s v="Salvador"/>
    <x v="3"/>
    <s v="Sim"/>
    <n v="45715"/>
    <x v="22"/>
  </r>
  <r>
    <x v="311"/>
    <x v="0"/>
    <x v="3"/>
    <x v="2"/>
    <n v="3033"/>
    <s v="Camila Ribeiro"/>
    <s v="985.216.073-77"/>
    <s v="985.216.073-77"/>
    <s v="Tocantins"/>
    <x v="2"/>
    <m/>
    <n v="45695"/>
    <x v="2"/>
  </r>
  <r>
    <x v="312"/>
    <x v="0"/>
    <x v="1"/>
    <x v="0"/>
    <n v="3031"/>
    <s v="Davi Lucca da Rosa"/>
    <s v="39825706465"/>
    <s v="398.257.064-65"/>
    <s v="Amazonas"/>
    <x v="0"/>
    <s v="Sim"/>
    <n v="45704"/>
    <x v="5"/>
  </r>
  <r>
    <x v="313"/>
    <x v="1"/>
    <x v="0"/>
    <x v="5"/>
    <n v="3036"/>
    <s v="Pedro da Luz"/>
    <s v="903.246.517-16"/>
    <s v="903.246.517-16"/>
    <s v="Porto Velho"/>
    <x v="5"/>
    <m/>
    <n v="45740"/>
    <x v="17"/>
  </r>
  <r>
    <x v="314"/>
    <x v="1"/>
    <x v="1"/>
    <x v="9"/>
    <n v="3040"/>
    <s v="Dr. Fernando da Rosa"/>
    <s v="746.805.231-07"/>
    <s v="746.805.231-07"/>
    <s v="Jericoacara"/>
    <x v="6"/>
    <s v="Sim"/>
    <n v="45686"/>
    <x v="29"/>
  </r>
  <r>
    <x v="315"/>
    <x v="1"/>
    <x v="0"/>
    <x v="11"/>
    <n v="3042"/>
    <s v="Ana Lívia Rocha"/>
    <s v="154.826.739-28"/>
    <s v="154.826.739-28"/>
    <s v="Santa Catarina"/>
    <x v="9"/>
    <m/>
    <n v="45676"/>
    <x v="32"/>
  </r>
  <r>
    <x v="316"/>
    <x v="1"/>
    <x v="0"/>
    <x v="8"/>
    <n v="3039"/>
    <s v="Luiz Henrique Duarte"/>
    <s v="065.719.382-86"/>
    <s v="065.719.382-86"/>
    <s v="Recife"/>
    <x v="8"/>
    <m/>
    <n v="45746"/>
    <x v="14"/>
  </r>
  <r>
    <x v="317"/>
    <x v="1"/>
    <x v="2"/>
    <x v="8"/>
    <n v="3039"/>
    <s v="Juliana Nogueira"/>
    <s v="035.761.824-62"/>
    <s v="035.761.824-62"/>
    <s v="Recife"/>
    <x v="8"/>
    <m/>
    <n v="45707"/>
    <x v="42"/>
  </r>
  <r>
    <x v="318"/>
    <x v="0"/>
    <x v="0"/>
    <x v="11"/>
    <n v="3042"/>
    <s v="Davi Luiz da Mata"/>
    <s v="41785269364"/>
    <s v="417.852.693-64"/>
    <s v="Santa Catarina"/>
    <x v="9"/>
    <m/>
    <n v="45721"/>
    <x v="10"/>
  </r>
  <r>
    <x v="319"/>
    <x v="1"/>
    <x v="3"/>
    <x v="3"/>
    <n v="3034"/>
    <s v="Enzo Gabriel Moraes"/>
    <s v="346.725.891-37"/>
    <s v="346.725.891-37"/>
    <s v="Salvador"/>
    <x v="3"/>
    <m/>
    <n v="45703"/>
    <x v="5"/>
  </r>
  <r>
    <x v="320"/>
    <x v="0"/>
    <x v="2"/>
    <x v="9"/>
    <n v="3040"/>
    <s v="Lucas Barros"/>
    <s v="917.840.326-03"/>
    <s v="917.840.326-03"/>
    <s v="Jericoacara"/>
    <x v="6"/>
    <m/>
    <n v="45698"/>
    <x v="20"/>
  </r>
  <r>
    <x v="321"/>
    <x v="1"/>
    <x v="2"/>
    <x v="6"/>
    <n v="3037"/>
    <s v="Davi Lucas Cunha"/>
    <s v="35649128006"/>
    <s v="356.491.280-06"/>
    <s v="Fortaleza"/>
    <x v="6"/>
    <s v="Sim"/>
    <n v="45733"/>
    <x v="26"/>
  </r>
  <r>
    <x v="322"/>
    <x v="1"/>
    <x v="3"/>
    <x v="3"/>
    <n v="3034"/>
    <s v="Luigi Melo"/>
    <s v="250.739.164-25"/>
    <s v="250.739.164-25"/>
    <s v="Salvador"/>
    <x v="3"/>
    <s v="Sim"/>
    <n v="45705"/>
    <x v="11"/>
  </r>
  <r>
    <x v="323"/>
    <x v="0"/>
    <x v="3"/>
    <x v="4"/>
    <n v="3035"/>
    <s v="Cauê Pinto"/>
    <s v="698.370.425-83"/>
    <s v="698.370.425-83"/>
    <s v="Porto Alegre"/>
    <x v="4"/>
    <m/>
    <n v="45728"/>
    <x v="22"/>
  </r>
  <r>
    <x v="324"/>
    <x v="1"/>
    <x v="0"/>
    <x v="9"/>
    <n v="3040"/>
    <s v="Sr. Igor Souza"/>
    <s v="30856142905"/>
    <s v="308.561.429-05"/>
    <s v="Jericoacara"/>
    <x v="6"/>
    <s v="Sim"/>
    <n v="45688"/>
    <x v="29"/>
  </r>
  <r>
    <x v="325"/>
    <x v="1"/>
    <x v="3"/>
    <x v="4"/>
    <n v="3035"/>
    <s v="Calebe Nogueira"/>
    <s v="84206791350"/>
    <s v="842.067.913-50"/>
    <s v="Porto Alegre"/>
    <x v="4"/>
    <s v="Sim"/>
    <n v="45700"/>
    <x v="22"/>
  </r>
  <r>
    <x v="326"/>
    <x v="1"/>
    <x v="2"/>
    <x v="6"/>
    <n v="3037"/>
    <s v="Beatriz Mendes"/>
    <s v="75319064225"/>
    <s v="753.190.642-25"/>
    <s v="Fortaleza"/>
    <x v="6"/>
    <s v="Sim"/>
    <n v="45678"/>
    <x v="10"/>
  </r>
  <r>
    <x v="327"/>
    <x v="0"/>
    <x v="3"/>
    <x v="11"/>
    <n v="3042"/>
    <s v="Srta. Maria Sophia Santos"/>
    <s v="21576039803"/>
    <s v="215.760.398-03"/>
    <s v="Santa Catarina"/>
    <x v="9"/>
    <m/>
    <n v="45732"/>
    <x v="46"/>
  </r>
  <r>
    <x v="328"/>
    <x v="0"/>
    <x v="0"/>
    <x v="11"/>
    <n v="3042"/>
    <s v="Mariane Barros"/>
    <s v="901.586.472-11"/>
    <s v="901.586.472-11"/>
    <s v="Santa Catarina"/>
    <x v="9"/>
    <s v="Sim"/>
    <n v="45694"/>
    <x v="32"/>
  </r>
  <r>
    <x v="329"/>
    <x v="0"/>
    <x v="1"/>
    <x v="8"/>
    <n v="3039"/>
    <s v="Marcos Vinicius Fernandes"/>
    <s v="723.560.814-53"/>
    <s v="723.560.814-53"/>
    <s v="Recife"/>
    <x v="8"/>
    <m/>
    <n v="45722"/>
    <x v="21"/>
  </r>
  <r>
    <x v="330"/>
    <x v="0"/>
    <x v="2"/>
    <x v="4"/>
    <n v="3035"/>
    <s v="Emanuelly Cunha"/>
    <s v="61820534960"/>
    <s v="618.205.349-60"/>
    <s v="Porto Alegre"/>
    <x v="4"/>
    <s v="Sim"/>
    <n v="45733"/>
    <x v="22"/>
  </r>
  <r>
    <x v="331"/>
    <x v="1"/>
    <x v="0"/>
    <x v="9"/>
    <n v="3040"/>
    <s v="Luiz Henrique da Paz"/>
    <s v="564.107.398-93"/>
    <s v="564.107.398-93"/>
    <s v="Jericoacara"/>
    <x v="6"/>
    <m/>
    <n v="45690"/>
    <x v="45"/>
  </r>
  <r>
    <x v="332"/>
    <x v="0"/>
    <x v="3"/>
    <x v="6"/>
    <n v="3037"/>
    <s v="Alexandre Alves"/>
    <s v="197.804.523-97"/>
    <s v="197.804.523-97"/>
    <s v="Fortaleza"/>
    <x v="6"/>
    <m/>
    <n v="45745"/>
    <x v="24"/>
  </r>
  <r>
    <x v="333"/>
    <x v="1"/>
    <x v="0"/>
    <x v="9"/>
    <n v="3040"/>
    <s v="Pedro Dias"/>
    <s v="748.305.196-57"/>
    <s v="748.305.196-57"/>
    <s v="Jericoacara"/>
    <x v="6"/>
    <m/>
    <n v="45692"/>
    <x v="20"/>
  </r>
  <r>
    <x v="334"/>
    <x v="0"/>
    <x v="3"/>
    <x v="10"/>
    <n v="3041"/>
    <s v="Gabrielly Pereira"/>
    <s v="190.785.243-32"/>
    <s v="190.785.243-32"/>
    <s v="Petrolina"/>
    <x v="8"/>
    <s v="Sim"/>
    <n v="45718"/>
    <x v="23"/>
  </r>
  <r>
    <x v="335"/>
    <x v="1"/>
    <x v="3"/>
    <x v="4"/>
    <n v="3035"/>
    <s v="Thomas Carvalho"/>
    <s v="592.038.417-41"/>
    <s v="592.038.417-41"/>
    <s v="Porto Alegre"/>
    <x v="4"/>
    <m/>
    <n v="45724"/>
    <x v="8"/>
  </r>
  <r>
    <x v="336"/>
    <x v="1"/>
    <x v="2"/>
    <x v="7"/>
    <n v="3038"/>
    <s v="Yasmin Peixoto"/>
    <s v="219.560.843-98"/>
    <s v="219.560.843-98"/>
    <s v="Natal"/>
    <x v="7"/>
    <m/>
    <n v="45746"/>
    <x v="34"/>
  </r>
  <r>
    <x v="337"/>
    <x v="0"/>
    <x v="3"/>
    <x v="2"/>
    <n v="3033"/>
    <s v="Luana Pires"/>
    <s v="26540138717"/>
    <s v="265.401.387-17"/>
    <s v="Tocantins"/>
    <x v="2"/>
    <m/>
    <n v="45744"/>
    <x v="2"/>
  </r>
  <r>
    <x v="338"/>
    <x v="0"/>
    <x v="2"/>
    <x v="1"/>
    <n v="3032"/>
    <s v="Laura Barbosa"/>
    <s v="14507892341"/>
    <s v="145.078.923-41"/>
    <s v="Belém"/>
    <x v="1"/>
    <s v="Sim"/>
    <n v="45708"/>
    <x v="47"/>
  </r>
  <r>
    <x v="339"/>
    <x v="0"/>
    <x v="3"/>
    <x v="6"/>
    <n v="3037"/>
    <s v="Olivia Castro"/>
    <s v="637.258.190-68"/>
    <s v="637.258.190-68"/>
    <s v="Fortaleza"/>
    <x v="6"/>
    <m/>
    <n v="45659"/>
    <x v="10"/>
  </r>
  <r>
    <x v="340"/>
    <x v="1"/>
    <x v="3"/>
    <x v="0"/>
    <n v="3031"/>
    <s v="Bruna Santos"/>
    <s v="79203815414"/>
    <s v="792.038.154-14"/>
    <s v="Amazonas"/>
    <x v="0"/>
    <s v="Sim"/>
    <n v="45662"/>
    <x v="0"/>
  </r>
  <r>
    <x v="341"/>
    <x v="1"/>
    <x v="1"/>
    <x v="2"/>
    <n v="3033"/>
    <s v="Clarice Vieira"/>
    <s v="693.075.481-10"/>
    <s v="693.075.481-10"/>
    <s v="Tocantins"/>
    <x v="2"/>
    <m/>
    <n v="45701"/>
    <x v="7"/>
  </r>
  <r>
    <x v="342"/>
    <x v="1"/>
    <x v="0"/>
    <x v="1"/>
    <n v="3032"/>
    <s v="Sr. Luiz Felipe Aragão"/>
    <s v="16804573900"/>
    <s v="168.045.739-00"/>
    <s v="Belém"/>
    <x v="1"/>
    <s v="Sim"/>
    <n v="45744"/>
    <x v="1"/>
  </r>
  <r>
    <x v="343"/>
    <x v="0"/>
    <x v="1"/>
    <x v="3"/>
    <n v="3034"/>
    <s v="Maria Eduarda da Rocha"/>
    <s v="758.601.342-07"/>
    <s v="758.601.342-07"/>
    <s v="Salvador"/>
    <x v="3"/>
    <m/>
    <n v="45727"/>
    <x v="22"/>
  </r>
  <r>
    <x v="344"/>
    <x v="1"/>
    <x v="1"/>
    <x v="10"/>
    <n v="3041"/>
    <s v="Isabelly Porto"/>
    <s v="193.025.478-41"/>
    <s v="193.025.478-41"/>
    <s v="Petrolina"/>
    <x v="8"/>
    <m/>
    <n v="45726"/>
    <x v="35"/>
  </r>
  <r>
    <x v="345"/>
    <x v="0"/>
    <x v="2"/>
    <x v="7"/>
    <n v="3038"/>
    <s v="Augusto da Cunha"/>
    <s v="72608419585"/>
    <s v="726.084.195-85"/>
    <s v="Natal"/>
    <x v="7"/>
    <m/>
    <n v="45740"/>
    <x v="21"/>
  </r>
  <r>
    <x v="346"/>
    <x v="0"/>
    <x v="1"/>
    <x v="11"/>
    <n v="3042"/>
    <s v="Clara Ramos"/>
    <s v="351.690.472-07"/>
    <s v="351.690.472-07"/>
    <s v="Santa Catarina"/>
    <x v="9"/>
    <s v="Sim"/>
    <n v="45721"/>
    <x v="10"/>
  </r>
  <r>
    <x v="347"/>
    <x v="0"/>
    <x v="1"/>
    <x v="7"/>
    <n v="3038"/>
    <s v="Lívia Cunha"/>
    <s v="70843652900"/>
    <s v="708.436.529-00"/>
    <s v="Natal"/>
    <x v="7"/>
    <m/>
    <n v="45725"/>
    <x v="12"/>
  </r>
  <r>
    <x v="348"/>
    <x v="0"/>
    <x v="0"/>
    <x v="10"/>
    <n v="3041"/>
    <s v="Camila Costela"/>
    <s v="16543798246"/>
    <s v="165.437.982-46"/>
    <s v="Petrolina"/>
    <x v="8"/>
    <m/>
    <n v="45691"/>
    <x v="13"/>
  </r>
  <r>
    <x v="349"/>
    <x v="1"/>
    <x v="0"/>
    <x v="5"/>
    <n v="3036"/>
    <s v="Levi Cunha"/>
    <s v="26485793038"/>
    <s v="264.857.930-38"/>
    <s v="Porto Velho"/>
    <x v="5"/>
    <s v="Sim"/>
    <n v="45677"/>
    <x v="3"/>
  </r>
  <r>
    <x v="350"/>
    <x v="0"/>
    <x v="2"/>
    <x v="5"/>
    <n v="3036"/>
    <s v="Pedro Henrique Gonçalves"/>
    <s v="528.467.019-11"/>
    <s v="528.467.019-11"/>
    <s v="Porto Velho"/>
    <x v="5"/>
    <m/>
    <n v="45714"/>
    <x v="3"/>
  </r>
  <r>
    <x v="351"/>
    <x v="0"/>
    <x v="0"/>
    <x v="6"/>
    <n v="3037"/>
    <s v="Natália Peixoto"/>
    <s v="84670953184"/>
    <s v="846.709.531-84"/>
    <s v="Fortaleza"/>
    <x v="6"/>
    <m/>
    <n v="45672"/>
    <x v="19"/>
  </r>
  <r>
    <x v="352"/>
    <x v="0"/>
    <x v="1"/>
    <x v="3"/>
    <n v="3034"/>
    <s v="Raul Caldeira"/>
    <s v="34275610970"/>
    <s v="342.756.109-70"/>
    <s v="Salvador"/>
    <x v="3"/>
    <s v="Sim"/>
    <n v="45677"/>
    <x v="17"/>
  </r>
  <r>
    <x v="353"/>
    <x v="1"/>
    <x v="1"/>
    <x v="1"/>
    <n v="3032"/>
    <s v="Alícia Moraes"/>
    <s v="71356490875"/>
    <s v="713.564.908-75"/>
    <s v="Belém"/>
    <x v="1"/>
    <m/>
    <n v="45725"/>
    <x v="41"/>
  </r>
  <r>
    <x v="354"/>
    <x v="1"/>
    <x v="1"/>
    <x v="3"/>
    <n v="3034"/>
    <s v="Ana Beatriz Nascimento"/>
    <s v="69540728185"/>
    <s v="695.407.281-85"/>
    <s v="Salvador"/>
    <x v="3"/>
    <m/>
    <n v="45738"/>
    <x v="23"/>
  </r>
  <r>
    <x v="355"/>
    <x v="0"/>
    <x v="1"/>
    <x v="7"/>
    <n v="3038"/>
    <s v="Pedro Miguel Moura"/>
    <s v="98365124033"/>
    <s v="983.651.240-33"/>
    <s v="Natal"/>
    <x v="7"/>
    <m/>
    <n v="45724"/>
    <x v="31"/>
  </r>
  <r>
    <x v="356"/>
    <x v="1"/>
    <x v="2"/>
    <x v="9"/>
    <n v="3040"/>
    <s v="Diego da Luz"/>
    <s v="816.032.475-80"/>
    <s v="816.032.475-80"/>
    <s v="Jericoacara"/>
    <x v="6"/>
    <s v="Sim"/>
    <n v="45714"/>
    <x v="24"/>
  </r>
  <r>
    <x v="357"/>
    <x v="0"/>
    <x v="0"/>
    <x v="5"/>
    <n v="3036"/>
    <s v="Alexandre Melo"/>
    <s v="72018495658"/>
    <s v="720.184.956-58"/>
    <s v="Porto Velho"/>
    <x v="5"/>
    <m/>
    <n v="45705"/>
    <x v="27"/>
  </r>
  <r>
    <x v="358"/>
    <x v="0"/>
    <x v="0"/>
    <x v="11"/>
    <n v="3042"/>
    <s v="Maria Clara Moraes"/>
    <s v="15394067252"/>
    <s v="153.940.672-52"/>
    <s v="Santa Catarina"/>
    <x v="9"/>
    <m/>
    <n v="45666"/>
    <x v="24"/>
  </r>
  <r>
    <x v="359"/>
    <x v="1"/>
    <x v="2"/>
    <x v="7"/>
    <n v="3038"/>
    <s v="Sr. Enrico Melo"/>
    <s v="594.178.320-50"/>
    <s v="594.178.320-50"/>
    <s v="Natal"/>
    <x v="7"/>
    <s v="Sim"/>
    <n v="45669"/>
    <x v="21"/>
  </r>
  <r>
    <x v="360"/>
    <x v="0"/>
    <x v="2"/>
    <x v="3"/>
    <n v="3034"/>
    <s v="Isabel Porto"/>
    <s v="39052871612"/>
    <s v="390.528.716-12"/>
    <s v="Salvador"/>
    <x v="3"/>
    <m/>
    <n v="45710"/>
    <x v="23"/>
  </r>
  <r>
    <x v="361"/>
    <x v="0"/>
    <x v="3"/>
    <x v="0"/>
    <n v="3031"/>
    <s v="Sra. Alice Silveira"/>
    <s v="58730216940"/>
    <s v="587.302.169-40"/>
    <s v="Amazonas"/>
    <x v="0"/>
    <s v="Sim"/>
    <n v="45667"/>
    <x v="5"/>
  </r>
  <r>
    <x v="362"/>
    <x v="0"/>
    <x v="2"/>
    <x v="10"/>
    <n v="3041"/>
    <s v="Vitor Teixeira"/>
    <s v="80175639221"/>
    <s v="801.756.392-21"/>
    <s v="Petrolina"/>
    <x v="8"/>
    <s v="Sim"/>
    <n v="45710"/>
    <x v="35"/>
  </r>
  <r>
    <x v="363"/>
    <x v="1"/>
    <x v="2"/>
    <x v="2"/>
    <n v="3033"/>
    <s v="Dra. Stephany Pinto"/>
    <s v="12035876435"/>
    <s v="120.358.764-35"/>
    <s v="Tocantins"/>
    <x v="2"/>
    <m/>
    <n v="45663"/>
    <x v="4"/>
  </r>
  <r>
    <x v="364"/>
    <x v="1"/>
    <x v="1"/>
    <x v="5"/>
    <n v="3036"/>
    <s v="Fernando Cardoso"/>
    <s v="934.865.712-73"/>
    <s v="934.865.712-73"/>
    <s v="Porto Velho"/>
    <x v="5"/>
    <s v="Sim"/>
    <n v="45659"/>
    <x v="3"/>
  </r>
  <r>
    <x v="365"/>
    <x v="0"/>
    <x v="1"/>
    <x v="11"/>
    <n v="3042"/>
    <s v="Nicole Costa"/>
    <s v="80165492333"/>
    <s v="801.654.923-33"/>
    <s v="Santa Catarina"/>
    <x v="9"/>
    <s v="Sim"/>
    <n v="45692"/>
    <x v="39"/>
  </r>
  <r>
    <x v="366"/>
    <x v="0"/>
    <x v="2"/>
    <x v="3"/>
    <n v="3034"/>
    <s v="Ana Lívia Gonçalves"/>
    <s v="419.635.720-25"/>
    <s v="419.635.720-25"/>
    <s v="Salvador"/>
    <x v="3"/>
    <m/>
    <n v="45704"/>
    <x v="23"/>
  </r>
  <r>
    <x v="367"/>
    <x v="1"/>
    <x v="0"/>
    <x v="7"/>
    <n v="3038"/>
    <s v="Luiz Otávio das Neves"/>
    <s v="264.519.703-52"/>
    <s v="264.519.703-52"/>
    <s v="Natal"/>
    <x v="7"/>
    <m/>
    <n v="45669"/>
    <x v="30"/>
  </r>
  <r>
    <x v="368"/>
    <x v="1"/>
    <x v="0"/>
    <x v="10"/>
    <n v="3041"/>
    <s v="Alexandre Novaes"/>
    <s v="89127653021"/>
    <s v="891.276.530-21"/>
    <s v="Petrolina"/>
    <x v="8"/>
    <m/>
    <n v="45673"/>
    <x v="28"/>
  </r>
  <r>
    <x v="369"/>
    <x v="0"/>
    <x v="2"/>
    <x v="5"/>
    <n v="3036"/>
    <s v="Enzo Gabriel Fernandes"/>
    <s v="31254097643"/>
    <s v="312.540.976-43"/>
    <s v="Porto Velho"/>
    <x v="5"/>
    <s v="Sim"/>
    <n v="45686"/>
    <x v="27"/>
  </r>
  <r>
    <x v="370"/>
    <x v="1"/>
    <x v="0"/>
    <x v="8"/>
    <n v="3039"/>
    <s v="Ana Clara Fernandes"/>
    <s v="137.269.408-04"/>
    <s v="137.269.408-04"/>
    <s v="Recife"/>
    <x v="8"/>
    <s v="Sim"/>
    <n v="45718"/>
    <x v="21"/>
  </r>
  <r>
    <x v="371"/>
    <x v="1"/>
    <x v="3"/>
    <x v="2"/>
    <n v="3033"/>
    <s v="Diogo Lopes"/>
    <s v="79548216337"/>
    <s v="795.482.163-37"/>
    <s v="Tocantins"/>
    <x v="2"/>
    <m/>
    <n v="45736"/>
    <x v="2"/>
  </r>
  <r>
    <x v="372"/>
    <x v="0"/>
    <x v="2"/>
    <x v="3"/>
    <n v="3034"/>
    <s v="Dr. Davi Luiz Almeida"/>
    <s v="53896721003"/>
    <s v="538.967.210-03"/>
    <s v="Salvador"/>
    <x v="3"/>
    <m/>
    <n v="45723"/>
    <x v="17"/>
  </r>
  <r>
    <x v="373"/>
    <x v="1"/>
    <x v="1"/>
    <x v="5"/>
    <n v="3036"/>
    <s v="Sra. Luana Rezende"/>
    <s v="75439012850"/>
    <s v="754.390.128-50"/>
    <s v="Porto Velho"/>
    <x v="5"/>
    <m/>
    <n v="45739"/>
    <x v="3"/>
  </r>
  <r>
    <x v="374"/>
    <x v="0"/>
    <x v="1"/>
    <x v="0"/>
    <n v="3031"/>
    <s v="Daniel Teixeira"/>
    <s v="341.506.827-71"/>
    <s v="341.506.827-71"/>
    <s v="Amazonas"/>
    <x v="0"/>
    <m/>
    <n v="45732"/>
    <x v="13"/>
  </r>
  <r>
    <x v="375"/>
    <x v="0"/>
    <x v="1"/>
    <x v="11"/>
    <n v="3042"/>
    <s v="Clara Azevedo"/>
    <s v="847.512.306-62"/>
    <s v="847.512.306-62"/>
    <s v="Santa Catarina"/>
    <x v="9"/>
    <s v="Sim"/>
    <n v="45670"/>
    <x v="37"/>
  </r>
  <r>
    <x v="376"/>
    <x v="1"/>
    <x v="1"/>
    <x v="2"/>
    <n v="3033"/>
    <s v="Lívia Silva"/>
    <s v="165.409.827-20"/>
    <s v="165.409.827-20"/>
    <s v="Tocantins"/>
    <x v="2"/>
    <s v="Sim"/>
    <n v="45701"/>
    <x v="2"/>
  </r>
  <r>
    <x v="377"/>
    <x v="1"/>
    <x v="2"/>
    <x v="2"/>
    <n v="3033"/>
    <s v="Davi da Conceição"/>
    <s v="75013694299"/>
    <s v="750.136.942-99"/>
    <s v="Tocantins"/>
    <x v="2"/>
    <s v="Sim"/>
    <n v="45680"/>
    <x v="6"/>
  </r>
  <r>
    <x v="378"/>
    <x v="1"/>
    <x v="3"/>
    <x v="3"/>
    <n v="3034"/>
    <s v="Raul da Rocha"/>
    <s v="856.370.421-44"/>
    <s v="856.370.421-44"/>
    <s v="Salvador"/>
    <x v="3"/>
    <s v="Sim"/>
    <n v="45668"/>
    <x v="5"/>
  </r>
  <r>
    <x v="379"/>
    <x v="1"/>
    <x v="2"/>
    <x v="2"/>
    <n v="3033"/>
    <s v="Dra. Maysa Freitas"/>
    <s v="48235679000"/>
    <s v="482.356.790-00"/>
    <s v="Tocantins"/>
    <x v="2"/>
    <s v="Sim"/>
    <n v="45708"/>
    <x v="7"/>
  </r>
  <r>
    <x v="380"/>
    <x v="0"/>
    <x v="2"/>
    <x v="2"/>
    <n v="3033"/>
    <s v="João Miguel das Neves"/>
    <s v="865.923.470-74"/>
    <s v="865.923.470-74"/>
    <s v="Tocantins"/>
    <x v="2"/>
    <m/>
    <n v="45706"/>
    <x v="7"/>
  </r>
  <r>
    <x v="381"/>
    <x v="0"/>
    <x v="3"/>
    <x v="6"/>
    <n v="3037"/>
    <s v="Leonardo da Cunha"/>
    <s v="31486579000"/>
    <s v="314.865.790-00"/>
    <s v="Fortaleza"/>
    <x v="6"/>
    <m/>
    <n v="45722"/>
    <x v="26"/>
  </r>
  <r>
    <x v="382"/>
    <x v="0"/>
    <x v="3"/>
    <x v="3"/>
    <n v="3034"/>
    <s v="Kaique Melo"/>
    <s v="178.394.526-55"/>
    <s v="178.394.526-55"/>
    <s v="Salvador"/>
    <x v="3"/>
    <m/>
    <n v="45660"/>
    <x v="5"/>
  </r>
  <r>
    <x v="383"/>
    <x v="0"/>
    <x v="1"/>
    <x v="7"/>
    <n v="3038"/>
    <s v="Augusto Costela"/>
    <s v="92854016785"/>
    <s v="928.540.167-85"/>
    <s v="Natal"/>
    <x v="7"/>
    <m/>
    <n v="45683"/>
    <x v="12"/>
  </r>
  <r>
    <x v="384"/>
    <x v="1"/>
    <x v="2"/>
    <x v="6"/>
    <n v="3037"/>
    <s v="Luiz Henrique Nunes"/>
    <s v="904.813.756-00"/>
    <s v="904.813.756-00"/>
    <s v="Fortaleza"/>
    <x v="6"/>
    <s v="Sim"/>
    <n v="45679"/>
    <x v="24"/>
  </r>
  <r>
    <x v="385"/>
    <x v="0"/>
    <x v="3"/>
    <x v="8"/>
    <n v="3039"/>
    <s v="Maria Vitória da Conceição"/>
    <s v="924.158.370-32"/>
    <s v="924.158.370-32"/>
    <s v="Recife"/>
    <x v="8"/>
    <m/>
    <n v="45680"/>
    <x v="48"/>
  </r>
  <r>
    <x v="386"/>
    <x v="0"/>
    <x v="1"/>
    <x v="1"/>
    <n v="3032"/>
    <s v="Joana Costela"/>
    <s v="103.467.928-78"/>
    <s v="103.467.928-78"/>
    <s v="Belém"/>
    <x v="1"/>
    <s v="Sim"/>
    <n v="45675"/>
    <x v="25"/>
  </r>
  <r>
    <x v="387"/>
    <x v="0"/>
    <x v="1"/>
    <x v="8"/>
    <n v="3039"/>
    <s v="Mariana Azevedo"/>
    <s v="89103762440"/>
    <s v="891.037.624-40"/>
    <s v="Recife"/>
    <x v="8"/>
    <m/>
    <n v="45708"/>
    <x v="48"/>
  </r>
  <r>
    <x v="388"/>
    <x v="0"/>
    <x v="2"/>
    <x v="3"/>
    <n v="3034"/>
    <s v="Isadora Barbosa"/>
    <s v="86397524000"/>
    <s v="863.975.240-00"/>
    <s v="Salvador"/>
    <x v="3"/>
    <s v="Sim"/>
    <n v="45699"/>
    <x v="23"/>
  </r>
  <r>
    <x v="389"/>
    <x v="0"/>
    <x v="3"/>
    <x v="0"/>
    <n v="3031"/>
    <s v="Fernando Rocha"/>
    <s v="314.769.205-16"/>
    <s v="314.769.205-16"/>
    <s v="Amazonas"/>
    <x v="0"/>
    <s v="Sim"/>
    <n v="45726"/>
    <x v="5"/>
  </r>
  <r>
    <x v="390"/>
    <x v="0"/>
    <x v="2"/>
    <x v="7"/>
    <n v="3038"/>
    <s v="Srta. Maria Julia Silveira"/>
    <s v="180.359.246-05"/>
    <s v="180.359.246-05"/>
    <s v="Natal"/>
    <x v="7"/>
    <m/>
    <n v="45668"/>
    <x v="43"/>
  </r>
  <r>
    <x v="391"/>
    <x v="0"/>
    <x v="0"/>
    <x v="6"/>
    <n v="3037"/>
    <s v="Kevin Fernandes"/>
    <s v="48692753173"/>
    <s v="486.927.531-73"/>
    <s v="Fortaleza"/>
    <x v="6"/>
    <s v="Sim"/>
    <n v="45731"/>
    <x v="10"/>
  </r>
  <r>
    <x v="392"/>
    <x v="0"/>
    <x v="3"/>
    <x v="8"/>
    <n v="3039"/>
    <s v="Juan Vieira"/>
    <s v="87294531609"/>
    <s v="872.945.316-09"/>
    <s v="Recife"/>
    <x v="8"/>
    <m/>
    <n v="45714"/>
    <x v="21"/>
  </r>
  <r>
    <x v="393"/>
    <x v="0"/>
    <x v="2"/>
    <x v="0"/>
    <n v="3031"/>
    <s v="Dr. Vicente Cunha"/>
    <s v="137.659.084-01"/>
    <s v="137.659.084-01"/>
    <s v="Amazonas"/>
    <x v="0"/>
    <m/>
    <n v="45734"/>
    <x v="3"/>
  </r>
  <r>
    <x v="394"/>
    <x v="1"/>
    <x v="3"/>
    <x v="7"/>
    <n v="3038"/>
    <s v="Sr. Davi Lucca Nogueira"/>
    <s v="01234695898"/>
    <s v="012.346.958-98"/>
    <s v="Natal"/>
    <x v="7"/>
    <m/>
    <n v="45679"/>
    <x v="31"/>
  </r>
  <r>
    <x v="395"/>
    <x v="0"/>
    <x v="2"/>
    <x v="11"/>
    <n v="3042"/>
    <s v="Sr. Otávio Azevedo"/>
    <s v="69457012399"/>
    <s v="694.570.123-99"/>
    <s v="Santa Catarina"/>
    <x v="9"/>
    <s v="Sim"/>
    <n v="45700"/>
    <x v="32"/>
  </r>
  <r>
    <x v="396"/>
    <x v="0"/>
    <x v="2"/>
    <x v="9"/>
    <n v="3040"/>
    <s v="Eduardo Silveira"/>
    <s v="430.695.127-80"/>
    <s v="430.695.127-80"/>
    <s v="Jericoacara"/>
    <x v="6"/>
    <m/>
    <n v="45723"/>
    <x v="24"/>
  </r>
  <r>
    <x v="397"/>
    <x v="0"/>
    <x v="0"/>
    <x v="8"/>
    <n v="3039"/>
    <s v="João Guilherme Duarte"/>
    <s v="02183657995"/>
    <s v="021.836.579-95"/>
    <s v="Recife"/>
    <x v="8"/>
    <m/>
    <n v="45708"/>
    <x v="42"/>
  </r>
  <r>
    <x v="398"/>
    <x v="0"/>
    <x v="1"/>
    <x v="1"/>
    <n v="3032"/>
    <s v="Vicente Campos"/>
    <s v="184.576.293-28"/>
    <s v="184.576.293-28"/>
    <s v="Belém"/>
    <x v="1"/>
    <m/>
    <n v="45679"/>
    <x v="1"/>
  </r>
  <r>
    <x v="399"/>
    <x v="1"/>
    <x v="2"/>
    <x v="4"/>
    <n v="3035"/>
    <s v="Caroline Ramos"/>
    <s v="604.137.825-90"/>
    <s v="604.137.825-90"/>
    <s v="Porto Alegre"/>
    <x v="4"/>
    <m/>
    <n v="45706"/>
    <x v="8"/>
  </r>
  <r>
    <x v="400"/>
    <x v="1"/>
    <x v="1"/>
    <x v="7"/>
    <n v="3038"/>
    <s v="Joaquim Correia"/>
    <s v="84953670175"/>
    <s v="849.536.701-75"/>
    <s v="Natal"/>
    <x v="7"/>
    <m/>
    <n v="45733"/>
    <x v="34"/>
  </r>
  <r>
    <x v="401"/>
    <x v="1"/>
    <x v="2"/>
    <x v="7"/>
    <n v="3038"/>
    <s v="Nina Ramos"/>
    <s v="90782635474"/>
    <s v="907.826.354-74"/>
    <s v="Natal"/>
    <x v="7"/>
    <m/>
    <n v="45723"/>
    <x v="31"/>
  </r>
  <r>
    <x v="402"/>
    <x v="0"/>
    <x v="1"/>
    <x v="2"/>
    <n v="3033"/>
    <s v="Srta. Yasmin Lopes"/>
    <s v="650.821.974-01"/>
    <s v="650.821.974-01"/>
    <s v="Tocantins"/>
    <x v="2"/>
    <m/>
    <n v="45723"/>
    <x v="7"/>
  </r>
  <r>
    <x v="403"/>
    <x v="1"/>
    <x v="3"/>
    <x v="6"/>
    <n v="3037"/>
    <s v="Sra. Ana Julia Vieira"/>
    <s v="27591460307"/>
    <s v="275.914.603-07"/>
    <s v="Fortaleza"/>
    <x v="6"/>
    <m/>
    <n v="45706"/>
    <x v="5"/>
  </r>
  <r>
    <x v="404"/>
    <x v="1"/>
    <x v="2"/>
    <x v="7"/>
    <n v="3038"/>
    <s v="Srta. Eduarda Duarte"/>
    <s v="438.169.207-13"/>
    <s v="438.169.207-13"/>
    <s v="Natal"/>
    <x v="7"/>
    <s v="Sim"/>
    <n v="45669"/>
    <x v="31"/>
  </r>
  <r>
    <x v="405"/>
    <x v="1"/>
    <x v="0"/>
    <x v="2"/>
    <n v="3033"/>
    <s v="Renan Sales"/>
    <s v="90863241506"/>
    <s v="908.632.415-06"/>
    <s v="Tocantins"/>
    <x v="2"/>
    <s v="Sim"/>
    <n v="45705"/>
    <x v="4"/>
  </r>
  <r>
    <x v="406"/>
    <x v="1"/>
    <x v="2"/>
    <x v="5"/>
    <n v="3036"/>
    <s v="Vitor Hugo Silva"/>
    <s v="46389102542"/>
    <s v="463.891.025-42"/>
    <s v="Porto Velho"/>
    <x v="5"/>
    <m/>
    <n v="45704"/>
    <x v="9"/>
  </r>
  <r>
    <x v="407"/>
    <x v="1"/>
    <x v="2"/>
    <x v="0"/>
    <n v="3031"/>
    <s v="Alícia Santos"/>
    <s v="56230481960"/>
    <s v="562.304.819-60"/>
    <s v="Amazonas"/>
    <x v="0"/>
    <m/>
    <n v="45659"/>
    <x v="26"/>
  </r>
  <r>
    <x v="408"/>
    <x v="0"/>
    <x v="3"/>
    <x v="3"/>
    <n v="3034"/>
    <s v="Cecília Nascimento"/>
    <s v="915.246.873-91"/>
    <s v="915.246.873-91"/>
    <s v="Salvador"/>
    <x v="3"/>
    <s v="Sim"/>
    <n v="45681"/>
    <x v="23"/>
  </r>
  <r>
    <x v="409"/>
    <x v="0"/>
    <x v="1"/>
    <x v="7"/>
    <n v="3038"/>
    <s v="Lucas Mendes"/>
    <s v="527.316.894-55"/>
    <s v="527.316.894-55"/>
    <s v="Natal"/>
    <x v="7"/>
    <m/>
    <n v="45685"/>
    <x v="31"/>
  </r>
  <r>
    <x v="410"/>
    <x v="1"/>
    <x v="3"/>
    <x v="0"/>
    <n v="3031"/>
    <s v="Carolina Costela"/>
    <s v="931.527.840-23"/>
    <s v="931.527.840-23"/>
    <s v="Amazonas"/>
    <x v="0"/>
    <s v="Sim"/>
    <n v="45672"/>
    <x v="9"/>
  </r>
  <r>
    <x v="411"/>
    <x v="1"/>
    <x v="0"/>
    <x v="1"/>
    <n v="3032"/>
    <s v="Srta. Lorena Alves"/>
    <s v="267.154.983-00"/>
    <s v="267.154.983-00"/>
    <s v="Belém"/>
    <x v="1"/>
    <m/>
    <n v="45682"/>
    <x v="18"/>
  </r>
  <r>
    <x v="412"/>
    <x v="0"/>
    <x v="0"/>
    <x v="5"/>
    <n v="3036"/>
    <s v="Maria Fernanda Barros"/>
    <s v="61208734903"/>
    <s v="612.087.349-03"/>
    <s v="Porto Velho"/>
    <x v="5"/>
    <m/>
    <n v="45701"/>
    <x v="13"/>
  </r>
  <r>
    <x v="413"/>
    <x v="1"/>
    <x v="1"/>
    <x v="0"/>
    <n v="3031"/>
    <s v="Sra. Emanuella Moreira"/>
    <s v="584.203.917-60"/>
    <s v="584.203.917-60"/>
    <s v="Amazonas"/>
    <x v="0"/>
    <m/>
    <n v="45714"/>
    <x v="26"/>
  </r>
  <r>
    <x v="414"/>
    <x v="0"/>
    <x v="0"/>
    <x v="3"/>
    <n v="3034"/>
    <s v="Milena Teixeira"/>
    <s v="245.978.361-28"/>
    <s v="245.978.361-28"/>
    <s v="Salvador"/>
    <x v="3"/>
    <m/>
    <n v="45744"/>
    <x v="17"/>
  </r>
  <r>
    <x v="415"/>
    <x v="0"/>
    <x v="2"/>
    <x v="4"/>
    <n v="3035"/>
    <s v="João Miguel Gomes"/>
    <s v="728.593.406-29"/>
    <s v="728.593.406-29"/>
    <s v="Porto Alegre"/>
    <x v="4"/>
    <s v="Sim"/>
    <n v="45673"/>
    <x v="8"/>
  </r>
  <r>
    <x v="416"/>
    <x v="0"/>
    <x v="0"/>
    <x v="5"/>
    <n v="3036"/>
    <s v="Sr. Ian Lopes"/>
    <s v="49623751052"/>
    <s v="496.237.510-52"/>
    <s v="Porto Velho"/>
    <x v="5"/>
    <s v="Sim"/>
    <n v="45675"/>
    <x v="13"/>
  </r>
  <r>
    <x v="417"/>
    <x v="0"/>
    <x v="3"/>
    <x v="3"/>
    <n v="3034"/>
    <s v="Cauê Duarte"/>
    <s v="41387095684"/>
    <s v="413.870.956-84"/>
    <s v="Salvador"/>
    <x v="3"/>
    <m/>
    <n v="45711"/>
    <x v="23"/>
  </r>
  <r>
    <x v="418"/>
    <x v="1"/>
    <x v="0"/>
    <x v="0"/>
    <n v="3031"/>
    <s v="Antônio Novaes"/>
    <s v="819.247.065-20"/>
    <s v="819.247.065-20"/>
    <s v="Amazonas"/>
    <x v="0"/>
    <s v="Sim"/>
    <n v="45688"/>
    <x v="3"/>
  </r>
  <r>
    <x v="419"/>
    <x v="0"/>
    <x v="2"/>
    <x v="3"/>
    <n v="3034"/>
    <s v="Felipe Gomes"/>
    <s v="728.410.695-67"/>
    <s v="728.410.695-67"/>
    <s v="Salvador"/>
    <x v="3"/>
    <m/>
    <n v="45741"/>
    <x v="17"/>
  </r>
  <r>
    <x v="420"/>
    <x v="1"/>
    <x v="2"/>
    <x v="11"/>
    <n v="3042"/>
    <s v="Dr. Lucas Gabriel Viana"/>
    <s v="48715962300"/>
    <s v="487.159.623-00"/>
    <s v="Santa Catarina"/>
    <x v="9"/>
    <s v="Sim"/>
    <n v="45719"/>
    <x v="32"/>
  </r>
  <r>
    <x v="421"/>
    <x v="1"/>
    <x v="1"/>
    <x v="2"/>
    <n v="3033"/>
    <s v="Dra. Maria Fernanda Pinto"/>
    <s v="89423710514"/>
    <s v="894.237.105-14"/>
    <s v="Tocantins"/>
    <x v="2"/>
    <m/>
    <n v="45687"/>
    <x v="7"/>
  </r>
  <r>
    <x v="422"/>
    <x v="1"/>
    <x v="0"/>
    <x v="5"/>
    <n v="3036"/>
    <s v="Dr. Francisco da Costa"/>
    <s v="40891265767"/>
    <s v="408.912.657-67"/>
    <s v="Porto Velho"/>
    <x v="5"/>
    <m/>
    <n v="45724"/>
    <x v="9"/>
  </r>
  <r>
    <x v="423"/>
    <x v="1"/>
    <x v="3"/>
    <x v="10"/>
    <n v="3041"/>
    <s v="Sophia Rocha"/>
    <s v="40672918331"/>
    <s v="406.729.183-31"/>
    <s v="Petrolina"/>
    <x v="8"/>
    <m/>
    <n v="45676"/>
    <x v="32"/>
  </r>
  <r>
    <x v="424"/>
    <x v="0"/>
    <x v="2"/>
    <x v="10"/>
    <n v="3041"/>
    <s v="Maria Eduarda Pinto"/>
    <s v="63259840133"/>
    <s v="632.598.401-33"/>
    <s v="Petrolina"/>
    <x v="8"/>
    <m/>
    <n v="45665"/>
    <x v="28"/>
  </r>
  <r>
    <x v="425"/>
    <x v="0"/>
    <x v="1"/>
    <x v="7"/>
    <n v="3038"/>
    <s v="Marina Duarte"/>
    <s v="849.567.210-30"/>
    <s v="849.567.210-30"/>
    <s v="Natal"/>
    <x v="7"/>
    <m/>
    <n v="45740"/>
    <x v="43"/>
  </r>
  <r>
    <x v="426"/>
    <x v="1"/>
    <x v="1"/>
    <x v="5"/>
    <n v="3036"/>
    <s v="Diego Cunha"/>
    <s v="41793250804"/>
    <s v="417.932.508-04"/>
    <s v="Porto Velho"/>
    <x v="5"/>
    <m/>
    <n v="45659"/>
    <x v="9"/>
  </r>
  <r>
    <x v="427"/>
    <x v="1"/>
    <x v="2"/>
    <x v="4"/>
    <n v="3035"/>
    <s v="Benjamin Teixeira"/>
    <s v="02186735903"/>
    <s v="021.867.359-03"/>
    <s v="Porto Alegre"/>
    <x v="4"/>
    <m/>
    <n v="45680"/>
    <x v="4"/>
  </r>
  <r>
    <x v="428"/>
    <x v="0"/>
    <x v="2"/>
    <x v="3"/>
    <n v="3034"/>
    <s v="Davi Lucas Alves"/>
    <s v="73582691012"/>
    <s v="735.826.910-12"/>
    <s v="Salvador"/>
    <x v="3"/>
    <m/>
    <n v="45690"/>
    <x v="11"/>
  </r>
  <r>
    <x v="429"/>
    <x v="0"/>
    <x v="2"/>
    <x v="7"/>
    <n v="3038"/>
    <s v="Vitor Gabriel da Conceição"/>
    <s v="04698317584"/>
    <s v="046.983.175-84"/>
    <s v="Natal"/>
    <x v="7"/>
    <m/>
    <n v="45737"/>
    <x v="43"/>
  </r>
  <r>
    <x v="430"/>
    <x v="1"/>
    <x v="2"/>
    <x v="8"/>
    <n v="3039"/>
    <s v="Alana Costa"/>
    <s v="367.150.894-93"/>
    <s v="367.150.894-93"/>
    <s v="Recife"/>
    <x v="8"/>
    <s v="Sim"/>
    <n v="45708"/>
    <x v="16"/>
  </r>
  <r>
    <x v="431"/>
    <x v="1"/>
    <x v="2"/>
    <x v="0"/>
    <n v="3031"/>
    <s v="Cecília Ribeiro"/>
    <s v="64517089258"/>
    <s v="645.170.892-58"/>
    <s v="Amazonas"/>
    <x v="0"/>
    <s v="Sim"/>
    <n v="45719"/>
    <x v="0"/>
  </r>
  <r>
    <x v="432"/>
    <x v="1"/>
    <x v="3"/>
    <x v="2"/>
    <n v="3033"/>
    <s v="Eduardo Moreira"/>
    <s v="03175829414"/>
    <s v="031.758.294-14"/>
    <s v="Tocantins"/>
    <x v="2"/>
    <s v="Sim"/>
    <n v="45735"/>
    <x v="8"/>
  </r>
  <r>
    <x v="433"/>
    <x v="1"/>
    <x v="2"/>
    <x v="7"/>
    <n v="3038"/>
    <s v="Nathan Costa"/>
    <s v="63074815957"/>
    <s v="630.748.159-57"/>
    <s v="Natal"/>
    <x v="7"/>
    <m/>
    <n v="45682"/>
    <x v="30"/>
  </r>
  <r>
    <x v="434"/>
    <x v="0"/>
    <x v="1"/>
    <x v="9"/>
    <n v="3040"/>
    <s v="Luiz Felipe Carvalho"/>
    <s v="95072163407"/>
    <s v="950.721.634-07"/>
    <s v="Jericoacara"/>
    <x v="6"/>
    <m/>
    <n v="45680"/>
    <x v="16"/>
  </r>
  <r>
    <x v="435"/>
    <x v="0"/>
    <x v="0"/>
    <x v="11"/>
    <n v="3042"/>
    <s v="Dr. Leonardo da Mota"/>
    <s v="06571298449"/>
    <s v="065.712.984-49"/>
    <s v="Santa Catarina"/>
    <x v="9"/>
    <m/>
    <n v="45712"/>
    <x v="37"/>
  </r>
  <r>
    <x v="436"/>
    <x v="1"/>
    <x v="3"/>
    <x v="7"/>
    <n v="3038"/>
    <s v="Marcelo Rodrigues"/>
    <s v="32587964083"/>
    <s v="325.879.640-83"/>
    <s v="Natal"/>
    <x v="7"/>
    <m/>
    <n v="45664"/>
    <x v="21"/>
  </r>
  <r>
    <x v="437"/>
    <x v="0"/>
    <x v="2"/>
    <x v="1"/>
    <n v="3032"/>
    <s v="Brenda Porto"/>
    <s v="495.308.627-92"/>
    <s v="495.308.627-92"/>
    <s v="Belém"/>
    <x v="1"/>
    <m/>
    <n v="45743"/>
    <x v="44"/>
  </r>
  <r>
    <x v="438"/>
    <x v="0"/>
    <x v="3"/>
    <x v="9"/>
    <n v="3040"/>
    <s v="Pedro Henrique Moreira"/>
    <s v="935.704.861-84"/>
    <s v="935.704.861-84"/>
    <s v="Jericoacara"/>
    <x v="6"/>
    <s v="Sim"/>
    <n v="45732"/>
    <x v="45"/>
  </r>
  <r>
    <x v="439"/>
    <x v="0"/>
    <x v="2"/>
    <x v="9"/>
    <n v="3040"/>
    <s v="Brenda Gomes"/>
    <s v="56908473210"/>
    <s v="569.084.732-10"/>
    <s v="Jericoacara"/>
    <x v="6"/>
    <m/>
    <n v="45675"/>
    <x v="29"/>
  </r>
  <r>
    <x v="440"/>
    <x v="1"/>
    <x v="1"/>
    <x v="10"/>
    <n v="3041"/>
    <s v="Eduardo Cavalcanti"/>
    <s v="73104852979"/>
    <s v="731.048.529-79"/>
    <s v="Petrolina"/>
    <x v="8"/>
    <m/>
    <n v="45662"/>
    <x v="13"/>
  </r>
  <r>
    <x v="441"/>
    <x v="1"/>
    <x v="3"/>
    <x v="7"/>
    <n v="3038"/>
    <s v="Sr. Otávio Cardoso"/>
    <s v="037.698.512-77"/>
    <s v="037.698.512-77"/>
    <s v="Natal"/>
    <x v="7"/>
    <m/>
    <n v="45737"/>
    <x v="21"/>
  </r>
  <r>
    <x v="442"/>
    <x v="1"/>
    <x v="0"/>
    <x v="11"/>
    <n v="3042"/>
    <s v="Sr. Paulo Fogaça"/>
    <s v="801.629.754-49"/>
    <s v="801.629.754-49"/>
    <s v="Santa Catarina"/>
    <x v="9"/>
    <s v="Sim"/>
    <n v="45667"/>
    <x v="39"/>
  </r>
  <r>
    <x v="443"/>
    <x v="1"/>
    <x v="1"/>
    <x v="6"/>
    <n v="3037"/>
    <s v="Srta. Maria Alice Nogueira"/>
    <s v="398.451.720-32"/>
    <s v="398.451.720-32"/>
    <s v="Fortaleza"/>
    <x v="6"/>
    <m/>
    <n v="45732"/>
    <x v="10"/>
  </r>
  <r>
    <x v="444"/>
    <x v="0"/>
    <x v="2"/>
    <x v="5"/>
    <n v="3036"/>
    <s v="Maria Julia Moraes"/>
    <s v="761.984.325-64"/>
    <s v="761.984.325-64"/>
    <s v="Porto Velho"/>
    <x v="5"/>
    <m/>
    <n v="45721"/>
    <x v="27"/>
  </r>
  <r>
    <x v="445"/>
    <x v="1"/>
    <x v="1"/>
    <x v="0"/>
    <n v="3031"/>
    <s v="Luiz Otávio Pires"/>
    <s v="59862347155"/>
    <s v="598.623.471-55"/>
    <s v="Amazonas"/>
    <x v="0"/>
    <m/>
    <n v="45717"/>
    <x v="0"/>
  </r>
  <r>
    <x v="446"/>
    <x v="1"/>
    <x v="1"/>
    <x v="1"/>
    <n v="3032"/>
    <s v="Miguel Viana"/>
    <s v="36429570800"/>
    <s v="364.295.708-00"/>
    <s v="Belém"/>
    <x v="1"/>
    <s v="Sim"/>
    <n v="45685"/>
    <x v="47"/>
  </r>
  <r>
    <x v="447"/>
    <x v="0"/>
    <x v="2"/>
    <x v="4"/>
    <n v="3035"/>
    <s v="Alexia Silveira"/>
    <s v="240.915.678-94"/>
    <s v="240.915.678-94"/>
    <s v="Porto Alegre"/>
    <x v="4"/>
    <m/>
    <n v="45711"/>
    <x v="22"/>
  </r>
  <r>
    <x v="448"/>
    <x v="0"/>
    <x v="2"/>
    <x v="8"/>
    <n v="3039"/>
    <s v="Maria Eduarda da Costa"/>
    <s v="10729564894"/>
    <s v="107.295.648-94"/>
    <s v="Recife"/>
    <x v="8"/>
    <m/>
    <n v="45680"/>
    <x v="34"/>
  </r>
  <r>
    <x v="449"/>
    <x v="1"/>
    <x v="3"/>
    <x v="10"/>
    <n v="3041"/>
    <s v="Heitor Carvalho"/>
    <s v="963.502.781-86"/>
    <s v="963.502.781-86"/>
    <s v="Petrolina"/>
    <x v="8"/>
    <m/>
    <n v="45738"/>
    <x v="28"/>
  </r>
  <r>
    <x v="450"/>
    <x v="0"/>
    <x v="1"/>
    <x v="10"/>
    <n v="3041"/>
    <s v="Dra. Maria Julia Castro"/>
    <s v="940.583.761-39"/>
    <s v="940.583.761-39"/>
    <s v="Petrolina"/>
    <x v="8"/>
    <s v="Sim"/>
    <n v="45691"/>
    <x v="42"/>
  </r>
  <r>
    <x v="451"/>
    <x v="1"/>
    <x v="0"/>
    <x v="6"/>
    <n v="3037"/>
    <s v="Kamilly Costa"/>
    <s v="30682471950"/>
    <s v="306.824.719-50"/>
    <s v="Fortaleza"/>
    <x v="6"/>
    <m/>
    <n v="45689"/>
    <x v="19"/>
  </r>
  <r>
    <x v="452"/>
    <x v="1"/>
    <x v="3"/>
    <x v="5"/>
    <n v="3036"/>
    <s v="Pietra das Neves"/>
    <s v="20634587153"/>
    <s v="206.345.871-53"/>
    <s v="Porto Velho"/>
    <x v="5"/>
    <m/>
    <n v="45686"/>
    <x v="9"/>
  </r>
  <r>
    <x v="453"/>
    <x v="1"/>
    <x v="3"/>
    <x v="10"/>
    <n v="3041"/>
    <s v="Bianca Costela"/>
    <s v="51749038684"/>
    <s v="517.490.386-84"/>
    <s v="Petrolina"/>
    <x v="8"/>
    <m/>
    <n v="45696"/>
    <x v="28"/>
  </r>
  <r>
    <x v="454"/>
    <x v="0"/>
    <x v="3"/>
    <x v="11"/>
    <n v="3042"/>
    <s v="Larissa Costela"/>
    <s v="273.864.190-31"/>
    <s v="273.864.190-31"/>
    <s v="Santa Catarina"/>
    <x v="9"/>
    <m/>
    <n v="45681"/>
    <x v="39"/>
  </r>
  <r>
    <x v="455"/>
    <x v="0"/>
    <x v="2"/>
    <x v="4"/>
    <n v="3035"/>
    <s v="Gabriel Pinto"/>
    <s v="518.936.270-12"/>
    <s v="518.936.270-12"/>
    <s v="Porto Alegre"/>
    <x v="4"/>
    <m/>
    <n v="45689"/>
    <x v="26"/>
  </r>
  <r>
    <x v="456"/>
    <x v="1"/>
    <x v="1"/>
    <x v="8"/>
    <n v="3039"/>
    <s v="Sr. Vitor Lima"/>
    <s v="257.413.069-34"/>
    <s v="257.413.069-34"/>
    <s v="Recife"/>
    <x v="8"/>
    <m/>
    <n v="45724"/>
    <x v="14"/>
  </r>
  <r>
    <x v="457"/>
    <x v="1"/>
    <x v="0"/>
    <x v="6"/>
    <n v="3037"/>
    <s v="Sr. Vitor Gabriel Cardoso"/>
    <s v="103.492.857-05"/>
    <s v="103.492.857-05"/>
    <s v="Fortaleza"/>
    <x v="6"/>
    <s v="Sim"/>
    <n v="45687"/>
    <x v="26"/>
  </r>
  <r>
    <x v="458"/>
    <x v="0"/>
    <x v="1"/>
    <x v="0"/>
    <n v="3031"/>
    <s v="Lorena Aragão"/>
    <s v="538.149.276-64"/>
    <s v="538.149.276-64"/>
    <s v="Amazonas"/>
    <x v="0"/>
    <m/>
    <n v="45718"/>
    <x v="13"/>
  </r>
  <r>
    <x v="459"/>
    <x v="0"/>
    <x v="1"/>
    <x v="8"/>
    <n v="3039"/>
    <s v="Srta. Olivia Aragão"/>
    <s v="68021794585"/>
    <s v="680.217.945-85"/>
    <s v="Recife"/>
    <x v="8"/>
    <m/>
    <n v="45663"/>
    <x v="21"/>
  </r>
  <r>
    <x v="460"/>
    <x v="1"/>
    <x v="2"/>
    <x v="6"/>
    <n v="3037"/>
    <s v="Milena Alves"/>
    <s v="164.582.039-42"/>
    <s v="164.582.039-42"/>
    <s v="Fortaleza"/>
    <x v="6"/>
    <s v="Sim"/>
    <n v="45742"/>
    <x v="5"/>
  </r>
  <r>
    <x v="461"/>
    <x v="1"/>
    <x v="0"/>
    <x v="2"/>
    <n v="3033"/>
    <s v="Joana Dias"/>
    <s v="68123405960"/>
    <s v="681.234.059-60"/>
    <s v="Tocantins"/>
    <x v="2"/>
    <s v="Sim"/>
    <n v="45706"/>
    <x v="4"/>
  </r>
  <r>
    <x v="462"/>
    <x v="1"/>
    <x v="0"/>
    <x v="4"/>
    <n v="3035"/>
    <s v="Maria Eduarda Aragão"/>
    <s v="03428519779"/>
    <s v="034.285.197-79"/>
    <s v="Porto Alegre"/>
    <x v="4"/>
    <m/>
    <n v="45724"/>
    <x v="4"/>
  </r>
  <r>
    <x v="463"/>
    <x v="1"/>
    <x v="0"/>
    <x v="10"/>
    <n v="3041"/>
    <s v="Dr. Pedro Lucas Jesus"/>
    <s v="38460295133"/>
    <s v="384.602.951-33"/>
    <s v="Petrolina"/>
    <x v="8"/>
    <m/>
    <n v="45679"/>
    <x v="42"/>
  </r>
  <r>
    <x v="464"/>
    <x v="0"/>
    <x v="3"/>
    <x v="5"/>
    <n v="3036"/>
    <s v="Joaquim Novaes"/>
    <s v="21645783090"/>
    <s v="216.457.830-90"/>
    <s v="Porto Velho"/>
    <x v="5"/>
    <m/>
    <n v="45713"/>
    <x v="27"/>
  </r>
  <r>
    <x v="465"/>
    <x v="0"/>
    <x v="0"/>
    <x v="5"/>
    <n v="3036"/>
    <s v="Kevin Lima"/>
    <s v="957.418.620-20"/>
    <s v="957.418.620-20"/>
    <s v="Porto Velho"/>
    <x v="5"/>
    <m/>
    <n v="45741"/>
    <x v="13"/>
  </r>
  <r>
    <x v="466"/>
    <x v="1"/>
    <x v="0"/>
    <x v="6"/>
    <n v="3037"/>
    <s v="Henrique Souza"/>
    <s v="26954170399"/>
    <s v="269.541.703-99"/>
    <s v="Fortaleza"/>
    <x v="6"/>
    <s v="Sim"/>
    <n v="45675"/>
    <x v="19"/>
  </r>
  <r>
    <x v="467"/>
    <x v="1"/>
    <x v="0"/>
    <x v="3"/>
    <n v="3034"/>
    <s v="Sr. Thomas Araújo"/>
    <s v="568.237.104-62"/>
    <s v="568.237.104-62"/>
    <s v="Salvador"/>
    <x v="3"/>
    <m/>
    <n v="45670"/>
    <x v="23"/>
  </r>
  <r>
    <x v="468"/>
    <x v="1"/>
    <x v="0"/>
    <x v="4"/>
    <n v="3035"/>
    <s v="Antônio Fogaça"/>
    <s v="938.150.246-33"/>
    <s v="938.150.246-33"/>
    <s v="Porto Alegre"/>
    <x v="4"/>
    <m/>
    <n v="45671"/>
    <x v="4"/>
  </r>
  <r>
    <x v="469"/>
    <x v="0"/>
    <x v="2"/>
    <x v="2"/>
    <n v="3033"/>
    <s v="Maria Ribeiro"/>
    <s v="526.371.408-44"/>
    <s v="526.371.408-44"/>
    <s v="Tocantins"/>
    <x v="2"/>
    <s v="Sim"/>
    <n v="45661"/>
    <x v="8"/>
  </r>
  <r>
    <x v="470"/>
    <x v="1"/>
    <x v="2"/>
    <x v="2"/>
    <n v="3033"/>
    <s v="Sophie Alves"/>
    <s v="46358190270"/>
    <s v="463.581.902-70"/>
    <s v="Tocantins"/>
    <x v="2"/>
    <m/>
    <n v="45700"/>
    <x v="4"/>
  </r>
  <r>
    <x v="471"/>
    <x v="0"/>
    <x v="3"/>
    <x v="9"/>
    <n v="3040"/>
    <s v="Luiza Martins"/>
    <s v="73680492103"/>
    <s v="736.804.921-03"/>
    <s v="Jericoacara"/>
    <x v="6"/>
    <m/>
    <n v="45696"/>
    <x v="24"/>
  </r>
  <r>
    <x v="472"/>
    <x v="1"/>
    <x v="1"/>
    <x v="4"/>
    <n v="3035"/>
    <s v="Sofia Teixeira"/>
    <s v="801.369.725-86"/>
    <s v="801.369.725-86"/>
    <s v="Porto Alegre"/>
    <x v="4"/>
    <s v="Sim"/>
    <n v="45729"/>
    <x v="26"/>
  </r>
  <r>
    <x v="473"/>
    <x v="0"/>
    <x v="0"/>
    <x v="7"/>
    <n v="3038"/>
    <s v="Matheus Nogueira"/>
    <s v="80327561408"/>
    <s v="803.275.614-08"/>
    <s v="Natal"/>
    <x v="7"/>
    <m/>
    <n v="45674"/>
    <x v="8"/>
  </r>
  <r>
    <x v="474"/>
    <x v="0"/>
    <x v="0"/>
    <x v="6"/>
    <n v="3037"/>
    <s v="Evelyn Barros"/>
    <s v="827.653.094-00"/>
    <s v="827.653.094-00"/>
    <s v="Fortaleza"/>
    <x v="6"/>
    <m/>
    <n v="45675"/>
    <x v="24"/>
  </r>
  <r>
    <x v="475"/>
    <x v="0"/>
    <x v="2"/>
    <x v="9"/>
    <n v="3040"/>
    <s v="Pietra Viana"/>
    <s v="26893015470"/>
    <s v="268.930.154-70"/>
    <s v="Jericoacara"/>
    <x v="6"/>
    <m/>
    <n v="45743"/>
    <x v="45"/>
  </r>
  <r>
    <x v="476"/>
    <x v="0"/>
    <x v="3"/>
    <x v="11"/>
    <n v="3042"/>
    <s v="Ana Laura Fernandes"/>
    <s v="521.063.897-95"/>
    <s v="521.063.897-95"/>
    <s v="Santa Catarina"/>
    <x v="9"/>
    <s v="Sim"/>
    <n v="45728"/>
    <x v="32"/>
  </r>
  <r>
    <x v="477"/>
    <x v="0"/>
    <x v="2"/>
    <x v="5"/>
    <n v="3036"/>
    <s v="Mariana da Cruz"/>
    <s v="68901257467"/>
    <s v="689.012.574-67"/>
    <s v="Porto Velho"/>
    <x v="5"/>
    <m/>
    <n v="45675"/>
    <x v="13"/>
  </r>
  <r>
    <x v="478"/>
    <x v="1"/>
    <x v="3"/>
    <x v="9"/>
    <n v="3040"/>
    <s v="Srta. Kamilly Lima"/>
    <s v="479.510.682-76"/>
    <s v="479.510.682-76"/>
    <s v="Jericoacara"/>
    <x v="6"/>
    <s v="Sim"/>
    <n v="45718"/>
    <x v="45"/>
  </r>
  <r>
    <x v="479"/>
    <x v="0"/>
    <x v="2"/>
    <x v="5"/>
    <n v="3036"/>
    <s v="André Ramos"/>
    <s v="790.431.625-07"/>
    <s v="790.431.625-07"/>
    <s v="Porto Velho"/>
    <x v="5"/>
    <m/>
    <n v="45702"/>
    <x v="17"/>
  </r>
  <r>
    <x v="480"/>
    <x v="1"/>
    <x v="3"/>
    <x v="7"/>
    <n v="3038"/>
    <s v="Laura Cardoso"/>
    <s v="903.426.185-98"/>
    <s v="903.426.185-98"/>
    <s v="Natal"/>
    <x v="7"/>
    <m/>
    <n v="45672"/>
    <x v="8"/>
  </r>
  <r>
    <x v="481"/>
    <x v="1"/>
    <x v="1"/>
    <x v="2"/>
    <n v="3033"/>
    <s v="Pietro Monteiro"/>
    <s v="02954681730"/>
    <s v="029.546.817-30"/>
    <s v="Tocantins"/>
    <x v="2"/>
    <s v="Sim"/>
    <n v="45662"/>
    <x v="8"/>
  </r>
  <r>
    <x v="482"/>
    <x v="0"/>
    <x v="2"/>
    <x v="0"/>
    <n v="3031"/>
    <s v="Kaique da Luz"/>
    <s v="249.358.706-56"/>
    <s v="249.358.706-56"/>
    <s v="Amazonas"/>
    <x v="0"/>
    <m/>
    <n v="45732"/>
    <x v="0"/>
  </r>
  <r>
    <x v="483"/>
    <x v="1"/>
    <x v="0"/>
    <x v="11"/>
    <n v="3042"/>
    <s v="Igor Moura"/>
    <s v="619.740.285-85"/>
    <s v="619.740.285-85"/>
    <s v="Santa Catarina"/>
    <x v="9"/>
    <m/>
    <n v="45669"/>
    <x v="24"/>
  </r>
  <r>
    <x v="484"/>
    <x v="1"/>
    <x v="0"/>
    <x v="2"/>
    <n v="3033"/>
    <s v="Sra. Helena Souza"/>
    <s v="68351407208"/>
    <s v="683.514.072-08"/>
    <s v="Tocantins"/>
    <x v="2"/>
    <s v="Sim"/>
    <n v="45704"/>
    <x v="7"/>
  </r>
  <r>
    <x v="485"/>
    <x v="0"/>
    <x v="3"/>
    <x v="4"/>
    <n v="3035"/>
    <s v="Dra. Maria Gomes"/>
    <s v="654.798.201-76"/>
    <s v="654.798.201-76"/>
    <s v="Porto Alegre"/>
    <x v="4"/>
    <s v="Sim"/>
    <n v="45708"/>
    <x v="8"/>
  </r>
  <r>
    <x v="486"/>
    <x v="1"/>
    <x v="2"/>
    <x v="8"/>
    <n v="3039"/>
    <s v="Dra. Luna Sales"/>
    <s v="234.105.768-35"/>
    <s v="234.105.768-35"/>
    <s v="Recife"/>
    <x v="8"/>
    <m/>
    <n v="45729"/>
    <x v="16"/>
  </r>
  <r>
    <x v="487"/>
    <x v="0"/>
    <x v="1"/>
    <x v="9"/>
    <n v="3040"/>
    <s v="Paulo Peixoto"/>
    <s v="605.241.893-15"/>
    <s v="605.241.893-15"/>
    <s v="Jericoacara"/>
    <x v="6"/>
    <m/>
    <n v="45724"/>
    <x v="16"/>
  </r>
  <r>
    <x v="488"/>
    <x v="0"/>
    <x v="1"/>
    <x v="3"/>
    <n v="3034"/>
    <s v="Fernando Campos"/>
    <s v="49560721399"/>
    <s v="495.607.213-99"/>
    <s v="Salvador"/>
    <x v="3"/>
    <s v="Sim"/>
    <n v="45728"/>
    <x v="23"/>
  </r>
  <r>
    <x v="489"/>
    <x v="0"/>
    <x v="1"/>
    <x v="6"/>
    <n v="3037"/>
    <s v="Mariana Araújo"/>
    <s v="23569840700"/>
    <s v="235.698.407-00"/>
    <s v="Fortaleza"/>
    <x v="6"/>
    <m/>
    <n v="45704"/>
    <x v="19"/>
  </r>
  <r>
    <x v="490"/>
    <x v="0"/>
    <x v="2"/>
    <x v="8"/>
    <n v="3039"/>
    <s v="Pedro Lucas Ramos"/>
    <s v="85763029186"/>
    <s v="857.630.291-86"/>
    <s v="Recife"/>
    <x v="8"/>
    <m/>
    <n v="45711"/>
    <x v="34"/>
  </r>
  <r>
    <x v="491"/>
    <x v="1"/>
    <x v="2"/>
    <x v="9"/>
    <n v="3040"/>
    <s v="Alexia da Rocha"/>
    <s v="958.012.674-76"/>
    <s v="958.012.674-76"/>
    <s v="Jericoacara"/>
    <x v="6"/>
    <m/>
    <n v="45718"/>
    <x v="24"/>
  </r>
  <r>
    <x v="492"/>
    <x v="1"/>
    <x v="3"/>
    <x v="1"/>
    <n v="3032"/>
    <s v="Bárbara Nogueira"/>
    <s v="21459068785"/>
    <s v="214.590.687-85"/>
    <s v="Belém"/>
    <x v="1"/>
    <m/>
    <n v="45706"/>
    <x v="25"/>
  </r>
  <r>
    <x v="493"/>
    <x v="0"/>
    <x v="1"/>
    <x v="7"/>
    <n v="3038"/>
    <s v="João Lucas Porto"/>
    <s v="43910258760"/>
    <s v="439.102.587-60"/>
    <s v="Natal"/>
    <x v="7"/>
    <s v="Sim"/>
    <n v="45701"/>
    <x v="21"/>
  </r>
  <r>
    <x v="494"/>
    <x v="1"/>
    <x v="2"/>
    <x v="5"/>
    <n v="3036"/>
    <s v="Alice Rocha"/>
    <s v="823.974.610-13"/>
    <s v="823.974.610-13"/>
    <s v="Porto Velho"/>
    <x v="5"/>
    <m/>
    <n v="45732"/>
    <x v="13"/>
  </r>
  <r>
    <x v="495"/>
    <x v="1"/>
    <x v="3"/>
    <x v="8"/>
    <n v="3039"/>
    <s v="Luiz Henrique Costela"/>
    <s v="307.954.861-20"/>
    <s v="307.954.861-20"/>
    <s v="Recife"/>
    <x v="8"/>
    <m/>
    <n v="45662"/>
    <x v="14"/>
  </r>
  <r>
    <x v="496"/>
    <x v="1"/>
    <x v="1"/>
    <x v="10"/>
    <n v="3041"/>
    <s v="Maria Vitória Carvalho"/>
    <s v="570.842.691-85"/>
    <s v="570.842.691-85"/>
    <s v="Petrolina"/>
    <x v="8"/>
    <s v="Sim"/>
    <n v="45720"/>
    <x v="23"/>
  </r>
  <r>
    <x v="497"/>
    <x v="0"/>
    <x v="2"/>
    <x v="10"/>
    <n v="3041"/>
    <s v="Igor da Paz"/>
    <s v="348.729.016-22"/>
    <s v="348.729.016-22"/>
    <s v="Petrolina"/>
    <x v="8"/>
    <m/>
    <n v="45673"/>
    <x v="28"/>
  </r>
  <r>
    <x v="498"/>
    <x v="0"/>
    <x v="3"/>
    <x v="5"/>
    <n v="3036"/>
    <s v="Carlos Eduardo Alves"/>
    <s v="981.742.560-67"/>
    <s v="981.742.560-67"/>
    <s v="Porto Velho"/>
    <x v="5"/>
    <m/>
    <n v="45726"/>
    <x v="3"/>
  </r>
  <r>
    <x v="499"/>
    <x v="1"/>
    <x v="2"/>
    <x v="7"/>
    <n v="3038"/>
    <s v="Murilo Farias"/>
    <s v="21479630543"/>
    <s v="214.796.305-43"/>
    <s v="Natal"/>
    <x v="7"/>
    <m/>
    <n v="45660"/>
    <x v="21"/>
  </r>
  <r>
    <x v="500"/>
    <x v="1"/>
    <x v="3"/>
    <x v="5"/>
    <n v="3036"/>
    <s v="Nicole Barros"/>
    <s v="16073592434"/>
    <s v="160.735.924-34"/>
    <s v="Porto Velho"/>
    <x v="5"/>
    <m/>
    <n v="45717"/>
    <x v="27"/>
  </r>
  <r>
    <x v="501"/>
    <x v="0"/>
    <x v="2"/>
    <x v="0"/>
    <n v="3031"/>
    <s v="Dr. Isaac da Paz"/>
    <s v="81749036584"/>
    <s v="817.490.365-84"/>
    <s v="Amazonas"/>
    <x v="0"/>
    <s v="Sim"/>
    <n v="45688"/>
    <x v="0"/>
  </r>
  <r>
    <x v="502"/>
    <x v="0"/>
    <x v="3"/>
    <x v="8"/>
    <n v="3039"/>
    <s v="Melissa Rezende"/>
    <s v="738.142.560-26"/>
    <s v="738.142.560-26"/>
    <s v="Recife"/>
    <x v="8"/>
    <m/>
    <n v="45725"/>
    <x v="48"/>
  </r>
  <r>
    <x v="503"/>
    <x v="0"/>
    <x v="1"/>
    <x v="1"/>
    <n v="3032"/>
    <s v="Helena Martins"/>
    <s v="790.836.215-02"/>
    <s v="790.836.215-02"/>
    <s v="Belém"/>
    <x v="1"/>
    <m/>
    <n v="45740"/>
    <x v="15"/>
  </r>
  <r>
    <x v="504"/>
    <x v="1"/>
    <x v="2"/>
    <x v="5"/>
    <n v="3036"/>
    <s v="Gustavo Henrique Monteiro"/>
    <s v="92135086460"/>
    <s v="921.350.864-60"/>
    <s v="Porto Velho"/>
    <x v="5"/>
    <m/>
    <n v="45734"/>
    <x v="3"/>
  </r>
  <r>
    <x v="505"/>
    <x v="1"/>
    <x v="2"/>
    <x v="3"/>
    <n v="3034"/>
    <s v="Luiz Otávio Rezende"/>
    <s v="693.418.572-28"/>
    <s v="693.418.572-28"/>
    <s v="Salvador"/>
    <x v="3"/>
    <s v="Sim"/>
    <n v="45664"/>
    <x v="5"/>
  </r>
  <r>
    <x v="506"/>
    <x v="1"/>
    <x v="3"/>
    <x v="2"/>
    <n v="3033"/>
    <s v="Sr. Ryan Pinto"/>
    <s v="65318074901"/>
    <s v="653.180.749-01"/>
    <s v="Tocantins"/>
    <x v="2"/>
    <m/>
    <n v="45689"/>
    <x v="6"/>
  </r>
  <r>
    <x v="507"/>
    <x v="0"/>
    <x v="3"/>
    <x v="1"/>
    <n v="3032"/>
    <s v="Ana Luiza Pires"/>
    <s v="24608731904"/>
    <s v="246.087.319-04"/>
    <s v="Belém"/>
    <x v="1"/>
    <s v="Sim"/>
    <n v="45720"/>
    <x v="38"/>
  </r>
  <r>
    <x v="508"/>
    <x v="1"/>
    <x v="3"/>
    <x v="1"/>
    <n v="3032"/>
    <s v="Ana Carolina Carvalho"/>
    <s v="320.615.984-98"/>
    <s v="320.615.984-98"/>
    <s v="Belém"/>
    <x v="1"/>
    <s v="Sim"/>
    <n v="45695"/>
    <x v="23"/>
  </r>
  <r>
    <x v="509"/>
    <x v="0"/>
    <x v="2"/>
    <x v="2"/>
    <n v="3033"/>
    <s v="Maria Julia Porto"/>
    <s v="39524687119"/>
    <s v="395.246.871-19"/>
    <s v="Tocantins"/>
    <x v="2"/>
    <m/>
    <n v="45666"/>
    <x v="4"/>
  </r>
  <r>
    <x v="510"/>
    <x v="1"/>
    <x v="1"/>
    <x v="0"/>
    <n v="3031"/>
    <s v="Alana Silva"/>
    <s v="62408793122"/>
    <s v="624.087.931-22"/>
    <s v="Amazonas"/>
    <x v="0"/>
    <s v="Sim"/>
    <n v="45668"/>
    <x v="3"/>
  </r>
  <r>
    <x v="511"/>
    <x v="0"/>
    <x v="2"/>
    <x v="2"/>
    <n v="3033"/>
    <s v="Antônio Duarte"/>
    <s v="69573841010"/>
    <s v="695.738.410-10"/>
    <s v="Tocantins"/>
    <x v="2"/>
    <m/>
    <n v="45722"/>
    <x v="4"/>
  </r>
  <r>
    <x v="512"/>
    <x v="0"/>
    <x v="3"/>
    <x v="2"/>
    <n v="3033"/>
    <s v="Lucas Cunha"/>
    <s v="386.729.140-31"/>
    <s v="386.729.140-31"/>
    <s v="Tocantins"/>
    <x v="2"/>
    <m/>
    <n v="45671"/>
    <x v="7"/>
  </r>
  <r>
    <x v="513"/>
    <x v="0"/>
    <x v="0"/>
    <x v="4"/>
    <n v="3035"/>
    <s v="Breno Aragão"/>
    <s v="276.108.349-04"/>
    <s v="276.108.349-04"/>
    <s v="Porto Alegre"/>
    <x v="4"/>
    <m/>
    <n v="45718"/>
    <x v="8"/>
  </r>
  <r>
    <x v="514"/>
    <x v="0"/>
    <x v="1"/>
    <x v="8"/>
    <n v="3039"/>
    <s v="Lorenzo Silva"/>
    <s v="687.321.490-69"/>
    <s v="687.321.490-69"/>
    <s v="Recife"/>
    <x v="8"/>
    <m/>
    <n v="45714"/>
    <x v="14"/>
  </r>
  <r>
    <x v="515"/>
    <x v="0"/>
    <x v="3"/>
    <x v="10"/>
    <n v="3041"/>
    <s v="Sabrina Duarte"/>
    <s v="84697203178"/>
    <s v="846.972.031-78"/>
    <s v="Petrolina"/>
    <x v="8"/>
    <m/>
    <n v="45726"/>
    <x v="23"/>
  </r>
  <r>
    <x v="516"/>
    <x v="1"/>
    <x v="3"/>
    <x v="0"/>
    <n v="3031"/>
    <s v="Sr. Nathan Rocha"/>
    <s v="12437056980"/>
    <s v="124.370.569-80"/>
    <s v="Amazonas"/>
    <x v="0"/>
    <m/>
    <n v="45719"/>
    <x v="5"/>
  </r>
  <r>
    <x v="517"/>
    <x v="1"/>
    <x v="2"/>
    <x v="6"/>
    <n v="3037"/>
    <s v="Dra. Natália Cardoso"/>
    <s v="84029731678"/>
    <s v="840.297.316-78"/>
    <s v="Fortaleza"/>
    <x v="6"/>
    <s v="Sim"/>
    <n v="45713"/>
    <x v="24"/>
  </r>
  <r>
    <x v="518"/>
    <x v="0"/>
    <x v="0"/>
    <x v="11"/>
    <n v="3042"/>
    <s v="Sra. Kamilly Moraes"/>
    <s v="49205873179"/>
    <s v="492.058.731-79"/>
    <s v="Santa Catarina"/>
    <x v="9"/>
    <s v="Sim"/>
    <n v="45663"/>
    <x v="24"/>
  </r>
  <r>
    <x v="519"/>
    <x v="0"/>
    <x v="3"/>
    <x v="11"/>
    <n v="3042"/>
    <s v="Lorena da Cunha"/>
    <s v="904.657.812-76"/>
    <s v="904.657.812-76"/>
    <s v="Santa Catarina"/>
    <x v="9"/>
    <m/>
    <n v="45666"/>
    <x v="37"/>
  </r>
  <r>
    <x v="520"/>
    <x v="1"/>
    <x v="0"/>
    <x v="6"/>
    <n v="3037"/>
    <s v="Luiz Fernando Cardoso"/>
    <s v="49287560374"/>
    <s v="492.875.603-74"/>
    <s v="Fortaleza"/>
    <x v="6"/>
    <m/>
    <n v="45716"/>
    <x v="26"/>
  </r>
  <r>
    <x v="521"/>
    <x v="0"/>
    <x v="1"/>
    <x v="5"/>
    <n v="3036"/>
    <s v="Nicolas da Costa"/>
    <s v="75298130640"/>
    <s v="752.981.306-40"/>
    <s v="Porto Velho"/>
    <x v="5"/>
    <m/>
    <n v="45691"/>
    <x v="17"/>
  </r>
  <r>
    <x v="522"/>
    <x v="1"/>
    <x v="3"/>
    <x v="1"/>
    <n v="3032"/>
    <s v="Danilo da Costa"/>
    <s v="768.153.904-20"/>
    <s v="768.153.904-20"/>
    <s v="Belém"/>
    <x v="1"/>
    <s v="Sim"/>
    <n v="45663"/>
    <x v="41"/>
  </r>
  <r>
    <x v="523"/>
    <x v="1"/>
    <x v="2"/>
    <x v="7"/>
    <n v="3038"/>
    <s v="Emanuella Correia"/>
    <s v="027.368.549-00"/>
    <s v="027.368.549-00"/>
    <s v="Natal"/>
    <x v="7"/>
    <m/>
    <n v="45694"/>
    <x v="34"/>
  </r>
  <r>
    <x v="524"/>
    <x v="0"/>
    <x v="3"/>
    <x v="5"/>
    <n v="3036"/>
    <s v="Rafaela Nogueira"/>
    <s v="74283091588"/>
    <s v="742.830.915-88"/>
    <s v="Porto Velho"/>
    <x v="5"/>
    <m/>
    <n v="45723"/>
    <x v="3"/>
  </r>
  <r>
    <x v="525"/>
    <x v="1"/>
    <x v="1"/>
    <x v="0"/>
    <n v="3031"/>
    <s v="Sr. Caio Teixeira"/>
    <s v="56428901749"/>
    <s v="564.289.017-49"/>
    <s v="Amazonas"/>
    <x v="0"/>
    <m/>
    <n v="45702"/>
    <x v="36"/>
  </r>
  <r>
    <x v="526"/>
    <x v="1"/>
    <x v="2"/>
    <x v="7"/>
    <n v="3038"/>
    <s v="Sofia Duarte"/>
    <s v="935.761.280-77"/>
    <s v="935.761.280-77"/>
    <s v="Natal"/>
    <x v="7"/>
    <m/>
    <n v="45723"/>
    <x v="43"/>
  </r>
  <r>
    <x v="527"/>
    <x v="0"/>
    <x v="2"/>
    <x v="5"/>
    <n v="3036"/>
    <s v="Bernardo Alves"/>
    <s v="618.532.749-09"/>
    <s v="618.532.749-09"/>
    <s v="Porto Velho"/>
    <x v="5"/>
    <s v="Sim"/>
    <n v="45682"/>
    <x v="13"/>
  </r>
  <r>
    <x v="528"/>
    <x v="0"/>
    <x v="1"/>
    <x v="6"/>
    <n v="3037"/>
    <s v="Arthur Araújo"/>
    <s v="910.458.723-50"/>
    <s v="910.458.723-50"/>
    <s v="Fortaleza"/>
    <x v="6"/>
    <s v="Sim"/>
    <n v="45666"/>
    <x v="19"/>
  </r>
  <r>
    <x v="529"/>
    <x v="0"/>
    <x v="1"/>
    <x v="0"/>
    <n v="3031"/>
    <s v="Ana Nascimento"/>
    <s v="921.578.460-85"/>
    <s v="921.578.460-85"/>
    <s v="Amazonas"/>
    <x v="0"/>
    <s v="Sim"/>
    <n v="45720"/>
    <x v="26"/>
  </r>
  <r>
    <x v="530"/>
    <x v="0"/>
    <x v="0"/>
    <x v="1"/>
    <n v="3032"/>
    <s v="Emilly Pereira"/>
    <s v="542.607.918-85"/>
    <s v="542.607.918-85"/>
    <s v="Belém"/>
    <x v="1"/>
    <m/>
    <n v="45690"/>
    <x v="41"/>
  </r>
  <r>
    <x v="531"/>
    <x v="1"/>
    <x v="3"/>
    <x v="7"/>
    <n v="3038"/>
    <s v="Francisco Ferreira"/>
    <s v="27138460562"/>
    <s v="271.384.605-62"/>
    <s v="Natal"/>
    <x v="7"/>
    <m/>
    <n v="45668"/>
    <x v="31"/>
  </r>
  <r>
    <x v="532"/>
    <x v="0"/>
    <x v="0"/>
    <x v="1"/>
    <n v="3032"/>
    <s v="Marcelo Pinto"/>
    <s v="317.520.496-16"/>
    <s v="317.520.496-16"/>
    <s v="Belém"/>
    <x v="1"/>
    <s v="Sim"/>
    <n v="45713"/>
    <x v="47"/>
  </r>
  <r>
    <x v="533"/>
    <x v="0"/>
    <x v="0"/>
    <x v="8"/>
    <n v="3039"/>
    <s v="Sra. Stephany Porto"/>
    <s v="07256948158"/>
    <s v="072.569.481-58"/>
    <s v="Recife"/>
    <x v="8"/>
    <s v="Sim"/>
    <n v="45683"/>
    <x v="8"/>
  </r>
  <r>
    <x v="534"/>
    <x v="1"/>
    <x v="3"/>
    <x v="1"/>
    <n v="3032"/>
    <s v="Samuel Melo"/>
    <s v="60739582429"/>
    <s v="607.395.824-29"/>
    <s v="Belém"/>
    <x v="1"/>
    <s v="Sim"/>
    <n v="45658"/>
    <x v="7"/>
  </r>
  <r>
    <x v="535"/>
    <x v="0"/>
    <x v="1"/>
    <x v="6"/>
    <n v="3037"/>
    <s v="Olivia Rocha"/>
    <s v="18527630435"/>
    <s v="185.276.304-35"/>
    <s v="Fortaleza"/>
    <x v="6"/>
    <m/>
    <n v="45693"/>
    <x v="24"/>
  </r>
  <r>
    <x v="536"/>
    <x v="0"/>
    <x v="0"/>
    <x v="6"/>
    <n v="3037"/>
    <s v="Heloísa Cardoso"/>
    <s v="74318092550"/>
    <s v="743.180.925-50"/>
    <s v="Fortaleza"/>
    <x v="6"/>
    <m/>
    <n v="45687"/>
    <x v="5"/>
  </r>
  <r>
    <x v="537"/>
    <x v="1"/>
    <x v="2"/>
    <x v="2"/>
    <n v="3033"/>
    <s v="Sra. Ana Lívia Moraes"/>
    <s v="71958603295"/>
    <s v="719.586.032-95"/>
    <s v="Tocantins"/>
    <x v="2"/>
    <s v="Sim"/>
    <n v="45727"/>
    <x v="2"/>
  </r>
  <r>
    <x v="538"/>
    <x v="0"/>
    <x v="0"/>
    <x v="2"/>
    <n v="3033"/>
    <s v="Eduarda Rodrigues"/>
    <s v="614.379.058-20"/>
    <s v="614.379.058-20"/>
    <s v="Tocantins"/>
    <x v="2"/>
    <s v="Sim"/>
    <n v="45663"/>
    <x v="6"/>
  </r>
  <r>
    <x v="539"/>
    <x v="0"/>
    <x v="2"/>
    <x v="4"/>
    <n v="3035"/>
    <s v="Sr. João Costa"/>
    <s v="38754160235"/>
    <s v="387.541.602-35"/>
    <s v="Porto Alegre"/>
    <x v="4"/>
    <m/>
    <n v="45729"/>
    <x v="22"/>
  </r>
  <r>
    <x v="540"/>
    <x v="1"/>
    <x v="1"/>
    <x v="5"/>
    <n v="3036"/>
    <s v="Luigi Aragão"/>
    <s v="703.561.892-95"/>
    <s v="703.561.892-95"/>
    <s v="Porto Velho"/>
    <x v="5"/>
    <s v="Sim"/>
    <n v="45745"/>
    <x v="17"/>
  </r>
  <r>
    <x v="541"/>
    <x v="0"/>
    <x v="1"/>
    <x v="4"/>
    <n v="3035"/>
    <s v="Caio Ramos"/>
    <s v="92160538442"/>
    <s v="921.605.384-42"/>
    <s v="Porto Alegre"/>
    <x v="4"/>
    <s v="Sim"/>
    <n v="45664"/>
    <x v="8"/>
  </r>
  <r>
    <x v="542"/>
    <x v="0"/>
    <x v="2"/>
    <x v="3"/>
    <n v="3034"/>
    <s v="Kevin Mendes"/>
    <s v="65184973001"/>
    <s v="651.849.730-01"/>
    <s v="Salvador"/>
    <x v="3"/>
    <m/>
    <n v="45732"/>
    <x v="22"/>
  </r>
  <r>
    <x v="543"/>
    <x v="0"/>
    <x v="2"/>
    <x v="11"/>
    <n v="3042"/>
    <s v="Nicolas da Luz"/>
    <s v="51827396482"/>
    <s v="518.273.964-82"/>
    <s v="Santa Catarina"/>
    <x v="9"/>
    <s v="Sim"/>
    <n v="45711"/>
    <x v="24"/>
  </r>
  <r>
    <x v="544"/>
    <x v="0"/>
    <x v="3"/>
    <x v="1"/>
    <n v="3032"/>
    <s v="Leonardo Farias"/>
    <s v="902.854.367-83"/>
    <s v="902.854.367-83"/>
    <s v="Belém"/>
    <x v="1"/>
    <m/>
    <n v="45743"/>
    <x v="1"/>
  </r>
  <r>
    <x v="545"/>
    <x v="1"/>
    <x v="2"/>
    <x v="3"/>
    <n v="3034"/>
    <s v="Ana Júlia Almeida"/>
    <s v="021.564.873-08"/>
    <s v="021.564.873-08"/>
    <s v="Salvador"/>
    <x v="3"/>
    <s v="Sim"/>
    <n v="45725"/>
    <x v="11"/>
  </r>
  <r>
    <x v="546"/>
    <x v="1"/>
    <x v="3"/>
    <x v="0"/>
    <n v="3031"/>
    <s v="Emanuel da Conceição"/>
    <s v="487.315.026-44"/>
    <s v="487.315.026-44"/>
    <s v="Amazonas"/>
    <x v="0"/>
    <m/>
    <n v="45727"/>
    <x v="3"/>
  </r>
  <r>
    <x v="547"/>
    <x v="1"/>
    <x v="1"/>
    <x v="4"/>
    <n v="3035"/>
    <s v="Mariana Carvalho"/>
    <s v="45609187249"/>
    <s v="456.091.872-49"/>
    <s v="Porto Alegre"/>
    <x v="4"/>
    <m/>
    <n v="45718"/>
    <x v="26"/>
  </r>
  <r>
    <x v="548"/>
    <x v="1"/>
    <x v="1"/>
    <x v="5"/>
    <n v="3036"/>
    <s v="Sr. Lucas Gabriel da Rocha"/>
    <s v="40381796213"/>
    <s v="403.817.962-13"/>
    <s v="Porto Velho"/>
    <x v="5"/>
    <m/>
    <n v="45723"/>
    <x v="27"/>
  </r>
  <r>
    <x v="549"/>
    <x v="0"/>
    <x v="0"/>
    <x v="7"/>
    <n v="3038"/>
    <s v="Benjamin Moreira"/>
    <s v="436.279.805-65"/>
    <s v="436.279.805-65"/>
    <s v="Natal"/>
    <x v="7"/>
    <m/>
    <n v="45729"/>
    <x v="21"/>
  </r>
  <r>
    <x v="550"/>
    <x v="1"/>
    <x v="1"/>
    <x v="0"/>
    <n v="3031"/>
    <s v="Luiz Otávio da Luz"/>
    <s v="20748519360"/>
    <s v="207.485.193-60"/>
    <s v="Amazonas"/>
    <x v="0"/>
    <s v="Sim"/>
    <n v="45715"/>
    <x v="36"/>
  </r>
  <r>
    <x v="551"/>
    <x v="1"/>
    <x v="1"/>
    <x v="4"/>
    <n v="3035"/>
    <s v="Giovanna Peixoto"/>
    <s v="359.602.184-70"/>
    <s v="359.602.184-70"/>
    <s v="Porto Alegre"/>
    <x v="4"/>
    <s v="Sim"/>
    <n v="45729"/>
    <x v="40"/>
  </r>
  <r>
    <x v="552"/>
    <x v="1"/>
    <x v="2"/>
    <x v="2"/>
    <n v="3033"/>
    <s v="Catarina Nascimento"/>
    <s v="317.490.562-16"/>
    <s v="317.490.562-16"/>
    <s v="Tocantins"/>
    <x v="2"/>
    <s v="Sim"/>
    <n v="45717"/>
    <x v="8"/>
  </r>
  <r>
    <x v="553"/>
    <x v="1"/>
    <x v="3"/>
    <x v="5"/>
    <n v="3036"/>
    <s v="Camila Nogueira"/>
    <s v="52791840630"/>
    <s v="527.918.406-30"/>
    <s v="Porto Velho"/>
    <x v="5"/>
    <m/>
    <n v="45670"/>
    <x v="3"/>
  </r>
  <r>
    <x v="554"/>
    <x v="1"/>
    <x v="1"/>
    <x v="5"/>
    <n v="3036"/>
    <s v="Ryan Caldeira"/>
    <s v="421.635.907-80"/>
    <s v="421.635.907-80"/>
    <s v="Porto Velho"/>
    <x v="5"/>
    <m/>
    <n v="45679"/>
    <x v="13"/>
  </r>
  <r>
    <x v="555"/>
    <x v="0"/>
    <x v="0"/>
    <x v="1"/>
    <n v="3032"/>
    <s v="Otávio da Cruz"/>
    <s v="923.074.561-80"/>
    <s v="923.074.561-80"/>
    <s v="Belém"/>
    <x v="1"/>
    <s v="Sim"/>
    <n v="45739"/>
    <x v="1"/>
  </r>
  <r>
    <x v="556"/>
    <x v="1"/>
    <x v="0"/>
    <x v="1"/>
    <n v="3032"/>
    <s v="Emilly Alves"/>
    <s v="63827419069"/>
    <s v="638.274.190-69"/>
    <s v="Belém"/>
    <x v="1"/>
    <s v="Sim"/>
    <n v="45746"/>
    <x v="7"/>
  </r>
  <r>
    <x v="557"/>
    <x v="0"/>
    <x v="2"/>
    <x v="11"/>
    <n v="3042"/>
    <s v="Agatha Peixoto"/>
    <s v="097.548.321-88"/>
    <s v="097.548.321-88"/>
    <s v="Santa Catarina"/>
    <x v="9"/>
    <m/>
    <n v="45704"/>
    <x v="32"/>
  </r>
  <r>
    <x v="558"/>
    <x v="1"/>
    <x v="3"/>
    <x v="5"/>
    <n v="3036"/>
    <s v="Srta. Lavínia Sales"/>
    <s v="31056987448"/>
    <s v="310.569.874-48"/>
    <s v="Porto Velho"/>
    <x v="5"/>
    <m/>
    <n v="45686"/>
    <x v="3"/>
  </r>
  <r>
    <x v="559"/>
    <x v="1"/>
    <x v="1"/>
    <x v="5"/>
    <n v="3036"/>
    <s v="Pedro Carvalho"/>
    <s v="074.153.962-43"/>
    <s v="074.153.962-43"/>
    <s v="Porto Velho"/>
    <x v="5"/>
    <s v="Sim"/>
    <n v="45732"/>
    <x v="17"/>
  </r>
  <r>
    <x v="560"/>
    <x v="0"/>
    <x v="3"/>
    <x v="8"/>
    <n v="3039"/>
    <s v="Thales Nunes"/>
    <s v="257.860.419-30"/>
    <s v="257.860.419-30"/>
    <s v="Recife"/>
    <x v="8"/>
    <s v="Sim"/>
    <n v="45709"/>
    <x v="42"/>
  </r>
  <r>
    <x v="561"/>
    <x v="1"/>
    <x v="2"/>
    <x v="1"/>
    <n v="3032"/>
    <s v="Gustavo Pereira"/>
    <s v="48365027992"/>
    <s v="483.650.279-92"/>
    <s v="Belém"/>
    <x v="1"/>
    <m/>
    <n v="45707"/>
    <x v="47"/>
  </r>
  <r>
    <x v="562"/>
    <x v="0"/>
    <x v="3"/>
    <x v="6"/>
    <n v="3037"/>
    <s v="Isabelly Barros"/>
    <s v="16534029707"/>
    <s v="165.340.297-07"/>
    <s v="Fortaleza"/>
    <x v="6"/>
    <m/>
    <n v="45720"/>
    <x v="24"/>
  </r>
  <r>
    <x v="563"/>
    <x v="1"/>
    <x v="3"/>
    <x v="2"/>
    <n v="3033"/>
    <s v="Rafaela Campos"/>
    <s v="832.714.065-53"/>
    <s v="832.714.065-53"/>
    <s v="Tocantins"/>
    <x v="2"/>
    <s v="Sim"/>
    <n v="45729"/>
    <x v="2"/>
  </r>
  <r>
    <x v="564"/>
    <x v="1"/>
    <x v="2"/>
    <x v="7"/>
    <n v="3038"/>
    <s v="Pietra da Rocha"/>
    <s v="358.249.607-47"/>
    <s v="358.249.607-47"/>
    <s v="Natal"/>
    <x v="7"/>
    <m/>
    <n v="45694"/>
    <x v="43"/>
  </r>
  <r>
    <x v="565"/>
    <x v="0"/>
    <x v="2"/>
    <x v="2"/>
    <n v="3033"/>
    <s v="Dr. Luigi Santos"/>
    <s v="817.546.293-00"/>
    <s v="817.546.293-00"/>
    <s v="Tocantins"/>
    <x v="2"/>
    <m/>
    <n v="45735"/>
    <x v="8"/>
  </r>
  <r>
    <x v="566"/>
    <x v="0"/>
    <x v="1"/>
    <x v="10"/>
    <n v="3041"/>
    <s v="Olivia Campos"/>
    <s v="37109826503"/>
    <s v="371.098.265-03"/>
    <s v="Petrolina"/>
    <x v="8"/>
    <m/>
    <n v="45673"/>
    <x v="23"/>
  </r>
  <r>
    <x v="567"/>
    <x v="0"/>
    <x v="3"/>
    <x v="3"/>
    <n v="3034"/>
    <s v="Carlos Eduardo da Conceição"/>
    <s v="72345081635"/>
    <s v="723.450.816-35"/>
    <s v="Salvador"/>
    <x v="3"/>
    <m/>
    <n v="45704"/>
    <x v="11"/>
  </r>
  <r>
    <x v="568"/>
    <x v="0"/>
    <x v="1"/>
    <x v="2"/>
    <n v="3033"/>
    <s v="Dr. Leonardo Aragão"/>
    <s v="43107925888"/>
    <s v="431.079.258-88"/>
    <s v="Tocantins"/>
    <x v="2"/>
    <m/>
    <n v="45721"/>
    <x v="4"/>
  </r>
  <r>
    <x v="569"/>
    <x v="1"/>
    <x v="2"/>
    <x v="5"/>
    <n v="3036"/>
    <s v="Valentina Martins"/>
    <s v="78932416087"/>
    <s v="789.324.160-87"/>
    <s v="Porto Velho"/>
    <x v="5"/>
    <s v="Sim"/>
    <n v="45734"/>
    <x v="3"/>
  </r>
  <r>
    <x v="570"/>
    <x v="1"/>
    <x v="2"/>
    <x v="5"/>
    <n v="3036"/>
    <s v="Enzo Rocha"/>
    <s v="540.129.378-04"/>
    <s v="540.129.378-04"/>
    <s v="Porto Velho"/>
    <x v="5"/>
    <m/>
    <n v="45727"/>
    <x v="13"/>
  </r>
  <r>
    <x v="571"/>
    <x v="1"/>
    <x v="0"/>
    <x v="1"/>
    <n v="3032"/>
    <s v="Esther da Mata"/>
    <s v="29810573405"/>
    <s v="298.105.734-05"/>
    <s v="Belém"/>
    <x v="1"/>
    <s v="Sim"/>
    <n v="45700"/>
    <x v="7"/>
  </r>
  <r>
    <x v="572"/>
    <x v="0"/>
    <x v="3"/>
    <x v="3"/>
    <n v="3034"/>
    <s v="João Lucas da Mata"/>
    <s v="38052619424"/>
    <s v="380.526.194-24"/>
    <s v="Salvador"/>
    <x v="3"/>
    <m/>
    <n v="45710"/>
    <x v="11"/>
  </r>
  <r>
    <x v="573"/>
    <x v="0"/>
    <x v="1"/>
    <x v="4"/>
    <n v="3035"/>
    <s v="Luiz Otávio Jesus"/>
    <s v="106.397.284-13"/>
    <s v="106.397.284-13"/>
    <s v="Porto Alegre"/>
    <x v="4"/>
    <m/>
    <n v="45729"/>
    <x v="8"/>
  </r>
  <r>
    <x v="574"/>
    <x v="1"/>
    <x v="0"/>
    <x v="9"/>
    <n v="3040"/>
    <s v="Lívia Melo"/>
    <s v="479.681.350-01"/>
    <s v="479.681.350-01"/>
    <s v="Jericoacara"/>
    <x v="6"/>
    <m/>
    <n v="45729"/>
    <x v="20"/>
  </r>
  <r>
    <x v="575"/>
    <x v="0"/>
    <x v="0"/>
    <x v="4"/>
    <n v="3035"/>
    <s v="Amanda Cunha"/>
    <s v="814.037.952-23"/>
    <s v="814.037.952-23"/>
    <s v="Porto Alegre"/>
    <x v="4"/>
    <s v="Sim"/>
    <n v="45666"/>
    <x v="4"/>
  </r>
  <r>
    <x v="576"/>
    <x v="1"/>
    <x v="1"/>
    <x v="5"/>
    <n v="3036"/>
    <s v="Sr. Otávio da Mota"/>
    <s v="98362107413"/>
    <s v="983.621.074-13"/>
    <s v="Porto Velho"/>
    <x v="5"/>
    <m/>
    <n v="45723"/>
    <x v="13"/>
  </r>
  <r>
    <x v="577"/>
    <x v="1"/>
    <x v="3"/>
    <x v="3"/>
    <n v="3034"/>
    <s v="Ana Laura Silva"/>
    <s v="63724509170"/>
    <s v="637.245.091-70"/>
    <s v="Salvador"/>
    <x v="3"/>
    <s v="Sim"/>
    <n v="45696"/>
    <x v="11"/>
  </r>
  <r>
    <x v="578"/>
    <x v="1"/>
    <x v="0"/>
    <x v="1"/>
    <n v="3032"/>
    <s v="Theo Pereira"/>
    <s v="569.027.413-52"/>
    <s v="569.027.413-52"/>
    <s v="Belém"/>
    <x v="1"/>
    <s v="Sim"/>
    <n v="45742"/>
    <x v="1"/>
  </r>
  <r>
    <x v="579"/>
    <x v="0"/>
    <x v="3"/>
    <x v="4"/>
    <n v="3035"/>
    <s v="Ana Laura da Rosa"/>
    <s v="769.213.408-13"/>
    <s v="769.213.408-13"/>
    <s v="Porto Alegre"/>
    <x v="4"/>
    <s v="Sim"/>
    <n v="45671"/>
    <x v="26"/>
  </r>
  <r>
    <x v="580"/>
    <x v="1"/>
    <x v="0"/>
    <x v="11"/>
    <n v="3042"/>
    <s v="Heitor Ribeiro"/>
    <s v="851.430.672-35"/>
    <s v="851.430.672-35"/>
    <s v="Santa Catarina"/>
    <x v="9"/>
    <m/>
    <n v="45698"/>
    <x v="32"/>
  </r>
  <r>
    <x v="581"/>
    <x v="1"/>
    <x v="0"/>
    <x v="10"/>
    <n v="3041"/>
    <s v="Matheus Rezende"/>
    <s v="92317850603"/>
    <s v="923.178.506-03"/>
    <s v="Petrolina"/>
    <x v="8"/>
    <s v="Sim"/>
    <n v="45739"/>
    <x v="32"/>
  </r>
  <r>
    <x v="582"/>
    <x v="1"/>
    <x v="0"/>
    <x v="6"/>
    <n v="3037"/>
    <s v="Fernanda Sales"/>
    <s v="87306124978"/>
    <s v="873.061.249-78"/>
    <s v="Fortaleza"/>
    <x v="6"/>
    <m/>
    <n v="45670"/>
    <x v="5"/>
  </r>
  <r>
    <x v="583"/>
    <x v="0"/>
    <x v="0"/>
    <x v="2"/>
    <n v="3033"/>
    <s v="Natália Gomes"/>
    <s v="627.591.034-80"/>
    <s v="627.591.034-80"/>
    <s v="Tocantins"/>
    <x v="2"/>
    <m/>
    <n v="45705"/>
    <x v="4"/>
  </r>
  <r>
    <x v="584"/>
    <x v="1"/>
    <x v="1"/>
    <x v="4"/>
    <n v="3035"/>
    <s v="Noah Moreira"/>
    <s v="976.823.014-22"/>
    <s v="976.823.014-22"/>
    <s v="Porto Alegre"/>
    <x v="4"/>
    <m/>
    <n v="45740"/>
    <x v="8"/>
  </r>
  <r>
    <x v="585"/>
    <x v="1"/>
    <x v="2"/>
    <x v="1"/>
    <n v="3032"/>
    <s v="Davi Lucca Caldeira"/>
    <s v="25781960368"/>
    <s v="257.819.603-68"/>
    <s v="Belém"/>
    <x v="1"/>
    <s v="Sim"/>
    <n v="45693"/>
    <x v="7"/>
  </r>
  <r>
    <x v="586"/>
    <x v="1"/>
    <x v="0"/>
    <x v="3"/>
    <n v="3034"/>
    <s v="Maysa Moraes"/>
    <s v="04875912676"/>
    <s v="048.759.126-76"/>
    <s v="Salvador"/>
    <x v="3"/>
    <s v="Sim"/>
    <n v="45732"/>
    <x v="11"/>
  </r>
  <r>
    <x v="587"/>
    <x v="0"/>
    <x v="3"/>
    <x v="7"/>
    <n v="3038"/>
    <s v="Noah da Cunha"/>
    <s v="85967243119"/>
    <s v="859.672.431-19"/>
    <s v="Natal"/>
    <x v="7"/>
    <m/>
    <n v="45667"/>
    <x v="34"/>
  </r>
  <r>
    <x v="588"/>
    <x v="1"/>
    <x v="3"/>
    <x v="2"/>
    <n v="3033"/>
    <s v="Maria Luiza Moraes"/>
    <s v="20947531661"/>
    <s v="209.475.316-61"/>
    <s v="Tocantins"/>
    <x v="2"/>
    <m/>
    <n v="45746"/>
    <x v="2"/>
  </r>
  <r>
    <x v="589"/>
    <x v="0"/>
    <x v="0"/>
    <x v="4"/>
    <n v="3035"/>
    <s v="Calebe da Rosa"/>
    <s v="28361405933"/>
    <s v="283.614.059-33"/>
    <s v="Porto Alegre"/>
    <x v="4"/>
    <m/>
    <n v="45746"/>
    <x v="4"/>
  </r>
  <r>
    <x v="590"/>
    <x v="0"/>
    <x v="2"/>
    <x v="8"/>
    <n v="3039"/>
    <s v="Carlos Eduardo Costela"/>
    <s v="07528613444"/>
    <s v="075.286.134-44"/>
    <s v="Recife"/>
    <x v="8"/>
    <m/>
    <n v="45674"/>
    <x v="16"/>
  </r>
  <r>
    <x v="591"/>
    <x v="0"/>
    <x v="0"/>
    <x v="3"/>
    <n v="3034"/>
    <s v="Sra. Alice Costa"/>
    <s v="328.517.604-08"/>
    <s v="328.517.604-08"/>
    <s v="Salvador"/>
    <x v="3"/>
    <m/>
    <n v="45665"/>
    <x v="23"/>
  </r>
  <r>
    <x v="592"/>
    <x v="0"/>
    <x v="1"/>
    <x v="2"/>
    <n v="3033"/>
    <s v="Olivia Correia"/>
    <s v="107.638.942-22"/>
    <s v="107.638.942-22"/>
    <s v="Tocantins"/>
    <x v="2"/>
    <s v="Sim"/>
    <n v="45734"/>
    <x v="2"/>
  </r>
  <r>
    <x v="593"/>
    <x v="1"/>
    <x v="2"/>
    <x v="2"/>
    <n v="3033"/>
    <s v="Maitê Caldeira"/>
    <s v="714.062.539-52"/>
    <s v="714.062.539-52"/>
    <s v="Tocantins"/>
    <x v="2"/>
    <s v="Sim"/>
    <n v="45716"/>
    <x v="7"/>
  </r>
  <r>
    <x v="594"/>
    <x v="0"/>
    <x v="1"/>
    <x v="5"/>
    <n v="3036"/>
    <s v="Nicolas da Paz"/>
    <s v="25071948630"/>
    <s v="250.719.486-30"/>
    <s v="Porto Velho"/>
    <x v="5"/>
    <m/>
    <n v="45741"/>
    <x v="3"/>
  </r>
  <r>
    <x v="595"/>
    <x v="0"/>
    <x v="1"/>
    <x v="5"/>
    <n v="3036"/>
    <s v="Stephany Duarte"/>
    <s v="819.640.725-49"/>
    <s v="819.640.725-49"/>
    <s v="Porto Velho"/>
    <x v="5"/>
    <s v="Sim"/>
    <n v="45685"/>
    <x v="27"/>
  </r>
  <r>
    <x v="596"/>
    <x v="0"/>
    <x v="3"/>
    <x v="10"/>
    <n v="3041"/>
    <s v="Vitor Gabriel Teixeira"/>
    <s v="01345726961"/>
    <s v="013.457.269-61"/>
    <s v="Petrolina"/>
    <x v="8"/>
    <m/>
    <n v="45700"/>
    <x v="28"/>
  </r>
  <r>
    <x v="597"/>
    <x v="0"/>
    <x v="0"/>
    <x v="6"/>
    <n v="3037"/>
    <s v="Ana Lívia da Mata"/>
    <s v="568.147.309-01"/>
    <s v="568.147.309-01"/>
    <s v="Fortaleza"/>
    <x v="6"/>
    <m/>
    <n v="45670"/>
    <x v="5"/>
  </r>
  <r>
    <x v="598"/>
    <x v="0"/>
    <x v="0"/>
    <x v="7"/>
    <n v="3038"/>
    <s v="Ana Sophia Silveira"/>
    <s v="275.894.031-05"/>
    <s v="275.894.031-05"/>
    <s v="Natal"/>
    <x v="7"/>
    <m/>
    <n v="45705"/>
    <x v="12"/>
  </r>
  <r>
    <x v="599"/>
    <x v="1"/>
    <x v="3"/>
    <x v="0"/>
    <n v="3031"/>
    <s v="João Pedro Gomes"/>
    <s v="74918326013"/>
    <s v="749.183.260-13"/>
    <s v="Amazonas"/>
    <x v="0"/>
    <s v="Sim"/>
    <n v="45741"/>
    <x v="5"/>
  </r>
  <r>
    <x v="600"/>
    <x v="1"/>
    <x v="1"/>
    <x v="9"/>
    <n v="3040"/>
    <s v="Lucas Moura"/>
    <s v="207.583.496-29"/>
    <s v="207.583.496-29"/>
    <s v="Jericoacara"/>
    <x v="6"/>
    <m/>
    <n v="45669"/>
    <x v="16"/>
  </r>
  <r>
    <x v="601"/>
    <x v="1"/>
    <x v="0"/>
    <x v="3"/>
    <n v="3034"/>
    <s v="João Vitor Nunes"/>
    <s v="91207856401"/>
    <s v="912.078.564-01"/>
    <s v="Salvador"/>
    <x v="3"/>
    <m/>
    <n v="45669"/>
    <x v="11"/>
  </r>
  <r>
    <x v="602"/>
    <x v="0"/>
    <x v="2"/>
    <x v="2"/>
    <n v="3033"/>
    <s v="Kevin Sales"/>
    <s v="496.238.517-82"/>
    <s v="496.238.517-82"/>
    <s v="Tocantins"/>
    <x v="2"/>
    <m/>
    <n v="45672"/>
    <x v="6"/>
  </r>
  <r>
    <x v="603"/>
    <x v="0"/>
    <x v="3"/>
    <x v="9"/>
    <n v="3040"/>
    <s v="Ana Lívia Costa"/>
    <s v="47815603262"/>
    <s v="478.156.032-62"/>
    <s v="Jericoacara"/>
    <x v="6"/>
    <m/>
    <n v="45738"/>
    <x v="28"/>
  </r>
  <r>
    <x v="604"/>
    <x v="1"/>
    <x v="0"/>
    <x v="8"/>
    <n v="3039"/>
    <s v="Luiz Felipe Araújo"/>
    <s v="26519403806"/>
    <s v="265.194.038-06"/>
    <s v="Recife"/>
    <x v="8"/>
    <s v="Sim"/>
    <n v="45734"/>
    <x v="21"/>
  </r>
  <r>
    <x v="605"/>
    <x v="0"/>
    <x v="3"/>
    <x v="1"/>
    <n v="3032"/>
    <s v="Catarina Gonçalves"/>
    <s v="79482603150"/>
    <s v="794.826.031-50"/>
    <s v="Belém"/>
    <x v="1"/>
    <m/>
    <n v="45743"/>
    <x v="47"/>
  </r>
  <r>
    <x v="606"/>
    <x v="0"/>
    <x v="3"/>
    <x v="1"/>
    <n v="3032"/>
    <s v="João Pedro Porto"/>
    <s v="56730912812"/>
    <s v="567.309.128-12"/>
    <s v="Belém"/>
    <x v="1"/>
    <m/>
    <n v="45743"/>
    <x v="47"/>
  </r>
  <r>
    <x v="607"/>
    <x v="0"/>
    <x v="0"/>
    <x v="6"/>
    <n v="3037"/>
    <s v="Srta. Luiza Pinto"/>
    <s v="246.308.791-96"/>
    <s v="246.308.791-96"/>
    <s v="Fortaleza"/>
    <x v="6"/>
    <m/>
    <n v="45704"/>
    <x v="19"/>
  </r>
  <r>
    <x v="608"/>
    <x v="0"/>
    <x v="0"/>
    <x v="7"/>
    <n v="3038"/>
    <s v="Bruna Santos"/>
    <s v="06437821507"/>
    <s v="064.378.215-07"/>
    <s v="Natal"/>
    <x v="7"/>
    <s v="Sim"/>
    <n v="45663"/>
    <x v="43"/>
  </r>
  <r>
    <x v="609"/>
    <x v="0"/>
    <x v="3"/>
    <x v="5"/>
    <n v="3036"/>
    <s v="Nicolas Barbosa"/>
    <s v="258.674.091-20"/>
    <s v="258.674.091-20"/>
    <s v="Porto Velho"/>
    <x v="5"/>
    <m/>
    <n v="45694"/>
    <x v="13"/>
  </r>
  <r>
    <x v="610"/>
    <x v="0"/>
    <x v="0"/>
    <x v="5"/>
    <n v="3036"/>
    <s v="Kevin Monteiro"/>
    <s v="56907148366"/>
    <s v="569.071.483-66"/>
    <s v="Porto Velho"/>
    <x v="5"/>
    <m/>
    <n v="45715"/>
    <x v="9"/>
  </r>
  <r>
    <x v="611"/>
    <x v="0"/>
    <x v="2"/>
    <x v="8"/>
    <n v="3039"/>
    <s v="Ryan Campos"/>
    <s v="41580927602"/>
    <s v="415.809.276-02"/>
    <s v="Recife"/>
    <x v="8"/>
    <s v="Sim"/>
    <n v="45721"/>
    <x v="48"/>
  </r>
  <r>
    <x v="612"/>
    <x v="1"/>
    <x v="0"/>
    <x v="10"/>
    <n v="3041"/>
    <s v="Maria Fernanda Silva"/>
    <s v="640.538.712-71"/>
    <s v="640.538.712-71"/>
    <s v="Petrolina"/>
    <x v="8"/>
    <m/>
    <n v="45713"/>
    <x v="28"/>
  </r>
  <r>
    <x v="613"/>
    <x v="0"/>
    <x v="1"/>
    <x v="11"/>
    <n v="3042"/>
    <s v="Giovanna Castro"/>
    <s v="713.294.608-04"/>
    <s v="713.294.608-04"/>
    <s v="Santa Catarina"/>
    <x v="9"/>
    <s v="Sim"/>
    <n v="45693"/>
    <x v="10"/>
  </r>
  <r>
    <x v="614"/>
    <x v="0"/>
    <x v="1"/>
    <x v="1"/>
    <n v="3032"/>
    <s v="Catarina Sales"/>
    <s v="18326057959"/>
    <s v="183.260.579-59"/>
    <s v="Belém"/>
    <x v="1"/>
    <m/>
    <n v="45736"/>
    <x v="1"/>
  </r>
  <r>
    <x v="615"/>
    <x v="0"/>
    <x v="3"/>
    <x v="11"/>
    <n v="3042"/>
    <s v="Pedro Henrique Carvalho"/>
    <s v="915.204.387-88"/>
    <s v="915.204.387-88"/>
    <s v="Santa Catarina"/>
    <x v="9"/>
    <m/>
    <n v="45691"/>
    <x v="37"/>
  </r>
  <r>
    <x v="616"/>
    <x v="0"/>
    <x v="1"/>
    <x v="5"/>
    <n v="3036"/>
    <s v="Pietro Jesus"/>
    <s v="84659213773"/>
    <s v="846.592.137-73"/>
    <s v="Porto Velho"/>
    <x v="5"/>
    <m/>
    <n v="45682"/>
    <x v="27"/>
  </r>
  <r>
    <x v="617"/>
    <x v="0"/>
    <x v="2"/>
    <x v="10"/>
    <n v="3041"/>
    <s v="Maitê Ramos"/>
    <s v="82056419351"/>
    <s v="820.564.193-51"/>
    <s v="Petrolina"/>
    <x v="8"/>
    <s v="Sim"/>
    <n v="45678"/>
    <x v="13"/>
  </r>
  <r>
    <x v="618"/>
    <x v="0"/>
    <x v="0"/>
    <x v="1"/>
    <n v="3032"/>
    <s v="Sofia Rezende"/>
    <s v="48695013251"/>
    <s v="486.950.132-51"/>
    <s v="Belém"/>
    <x v="1"/>
    <s v="Sim"/>
    <n v="45672"/>
    <x v="7"/>
  </r>
  <r>
    <x v="619"/>
    <x v="0"/>
    <x v="2"/>
    <x v="5"/>
    <n v="3036"/>
    <s v="Davi Lucas Jesus"/>
    <s v="695.801.342-51"/>
    <s v="695.801.342-51"/>
    <s v="Porto Velho"/>
    <x v="5"/>
    <m/>
    <n v="45720"/>
    <x v="27"/>
  </r>
  <r>
    <x v="620"/>
    <x v="0"/>
    <x v="1"/>
    <x v="9"/>
    <n v="3040"/>
    <s v="Fernando Duarte"/>
    <s v="63179058277"/>
    <s v="631.790.582-77"/>
    <s v="Jericoacara"/>
    <x v="6"/>
    <m/>
    <n v="45705"/>
    <x v="45"/>
  </r>
  <r>
    <x v="621"/>
    <x v="0"/>
    <x v="0"/>
    <x v="2"/>
    <n v="3033"/>
    <s v="Larissa Pereira"/>
    <s v="03271965480"/>
    <s v="032.719.654-80"/>
    <s v="Tocantins"/>
    <x v="2"/>
    <s v="Sim"/>
    <n v="45720"/>
    <x v="4"/>
  </r>
  <r>
    <x v="622"/>
    <x v="1"/>
    <x v="2"/>
    <x v="6"/>
    <n v="3037"/>
    <s v="Thiago Rodrigues"/>
    <s v="09124687502"/>
    <s v="091.246.875-02"/>
    <s v="Fortaleza"/>
    <x v="6"/>
    <s v="Sim"/>
    <n v="45723"/>
    <x v="19"/>
  </r>
  <r>
    <x v="623"/>
    <x v="0"/>
    <x v="0"/>
    <x v="4"/>
    <n v="3035"/>
    <s v="Ana Laura Novaes"/>
    <s v="231.456.097-34"/>
    <s v="231.456.097-34"/>
    <s v="Porto Alegre"/>
    <x v="4"/>
    <s v="Sim"/>
    <n v="45706"/>
    <x v="22"/>
  </r>
  <r>
    <x v="624"/>
    <x v="0"/>
    <x v="0"/>
    <x v="7"/>
    <n v="3038"/>
    <s v="Erick Costa"/>
    <s v="59678130203"/>
    <s v="596.781.302-03"/>
    <s v="Natal"/>
    <x v="7"/>
    <m/>
    <n v="45668"/>
    <x v="21"/>
  </r>
  <r>
    <x v="625"/>
    <x v="0"/>
    <x v="3"/>
    <x v="3"/>
    <n v="3034"/>
    <s v="Enrico Freitas"/>
    <s v="764.890.321-04"/>
    <s v="764.890.321-04"/>
    <s v="Salvador"/>
    <x v="3"/>
    <s v="Sim"/>
    <n v="45725"/>
    <x v="5"/>
  </r>
  <r>
    <x v="626"/>
    <x v="1"/>
    <x v="1"/>
    <x v="1"/>
    <n v="3032"/>
    <s v="Ian Viana"/>
    <s v="67321984591"/>
    <s v="673.219.845-91"/>
    <s v="Belém"/>
    <x v="1"/>
    <s v="Sim"/>
    <n v="45737"/>
    <x v="7"/>
  </r>
  <r>
    <x v="627"/>
    <x v="1"/>
    <x v="1"/>
    <x v="5"/>
    <n v="3036"/>
    <s v="Anthony Azevedo"/>
    <s v="034.782.659-83"/>
    <s v="034.782.659-83"/>
    <s v="Porto Velho"/>
    <x v="5"/>
    <m/>
    <n v="45709"/>
    <x v="27"/>
  </r>
  <r>
    <x v="628"/>
    <x v="1"/>
    <x v="1"/>
    <x v="8"/>
    <n v="3039"/>
    <s v="Leonardo Nogueira"/>
    <s v="06429185389"/>
    <s v="064.291.853-89"/>
    <s v="Recife"/>
    <x v="8"/>
    <s v="Sim"/>
    <n v="45746"/>
    <x v="8"/>
  </r>
  <r>
    <x v="629"/>
    <x v="1"/>
    <x v="0"/>
    <x v="5"/>
    <n v="3036"/>
    <s v="Marina Lopes"/>
    <s v="604.983.721-03"/>
    <s v="604.983.721-03"/>
    <s v="Porto Velho"/>
    <x v="5"/>
    <s v="Sim"/>
    <n v="45739"/>
    <x v="3"/>
  </r>
  <r>
    <x v="630"/>
    <x v="1"/>
    <x v="3"/>
    <x v="3"/>
    <n v="3034"/>
    <s v="Dr. Caio da Cruz"/>
    <s v="481.239.670-04"/>
    <s v="481.239.670-04"/>
    <s v="Salvador"/>
    <x v="3"/>
    <s v="Sim"/>
    <n v="45731"/>
    <x v="5"/>
  </r>
  <r>
    <x v="631"/>
    <x v="1"/>
    <x v="2"/>
    <x v="0"/>
    <n v="3031"/>
    <s v="Pedro da Mata"/>
    <s v="720.318.469-22"/>
    <s v="720.318.469-22"/>
    <s v="Amazonas"/>
    <x v="0"/>
    <m/>
    <n v="45668"/>
    <x v="26"/>
  </r>
  <r>
    <x v="632"/>
    <x v="0"/>
    <x v="1"/>
    <x v="5"/>
    <n v="3036"/>
    <s v="Felipe Silveira"/>
    <s v="265.381.904-05"/>
    <s v="265.381.904-05"/>
    <s v="Porto Velho"/>
    <x v="5"/>
    <m/>
    <n v="45735"/>
    <x v="13"/>
  </r>
  <r>
    <x v="633"/>
    <x v="1"/>
    <x v="1"/>
    <x v="8"/>
    <n v="3039"/>
    <s v="Eduardo Cardoso"/>
    <s v="65239410780"/>
    <s v="652.394.107-80"/>
    <s v="Recife"/>
    <x v="8"/>
    <m/>
    <n v="45712"/>
    <x v="14"/>
  </r>
  <r>
    <x v="634"/>
    <x v="1"/>
    <x v="0"/>
    <x v="8"/>
    <n v="3039"/>
    <s v="Mariana Dias"/>
    <s v="17325904606"/>
    <s v="173.259.046-06"/>
    <s v="Recife"/>
    <x v="8"/>
    <m/>
    <n v="45716"/>
    <x v="33"/>
  </r>
  <r>
    <x v="635"/>
    <x v="0"/>
    <x v="2"/>
    <x v="0"/>
    <n v="3031"/>
    <s v="Davi Lucas Carvalho"/>
    <s v="521.094.378-04"/>
    <s v="521.094.378-04"/>
    <s v="Amazonas"/>
    <x v="0"/>
    <s v="Sim"/>
    <n v="45669"/>
    <x v="13"/>
  </r>
  <r>
    <x v="636"/>
    <x v="1"/>
    <x v="2"/>
    <x v="7"/>
    <n v="3038"/>
    <s v="Theo da Rocha"/>
    <s v="34859617010"/>
    <s v="348.596.170-10"/>
    <s v="Natal"/>
    <x v="7"/>
    <m/>
    <n v="45716"/>
    <x v="21"/>
  </r>
  <r>
    <x v="637"/>
    <x v="0"/>
    <x v="1"/>
    <x v="4"/>
    <n v="3035"/>
    <s v="Gustavo Henrique da Mota"/>
    <s v="629.710.854-49"/>
    <s v="629.710.854-49"/>
    <s v="Porto Alegre"/>
    <x v="4"/>
    <m/>
    <n v="45717"/>
    <x v="40"/>
  </r>
  <r>
    <x v="638"/>
    <x v="1"/>
    <x v="2"/>
    <x v="6"/>
    <n v="3037"/>
    <s v="Elisa Moura"/>
    <s v="97103825432"/>
    <s v="971.038.254-32"/>
    <s v="Fortaleza"/>
    <x v="6"/>
    <s v="Sim"/>
    <n v="45724"/>
    <x v="24"/>
  </r>
  <r>
    <x v="639"/>
    <x v="1"/>
    <x v="0"/>
    <x v="9"/>
    <n v="3040"/>
    <s v="Theo Nogueira"/>
    <s v="64108957393"/>
    <s v="641.089.573-93"/>
    <s v="Jericoacara"/>
    <x v="6"/>
    <s v="Sim"/>
    <n v="45703"/>
    <x v="24"/>
  </r>
  <r>
    <x v="640"/>
    <x v="1"/>
    <x v="0"/>
    <x v="5"/>
    <n v="3036"/>
    <s v="Sr. Alexandre Fernandes"/>
    <s v="86435217017"/>
    <s v="864.352.170-17"/>
    <s v="Porto Velho"/>
    <x v="5"/>
    <m/>
    <n v="45714"/>
    <x v="17"/>
  </r>
  <r>
    <x v="641"/>
    <x v="1"/>
    <x v="2"/>
    <x v="6"/>
    <n v="3037"/>
    <s v="Francisco da Cunha"/>
    <s v="875.310.269-02"/>
    <s v="875.310.269-02"/>
    <s v="Fortaleza"/>
    <x v="6"/>
    <s v="Sim"/>
    <n v="45671"/>
    <x v="26"/>
  </r>
  <r>
    <x v="642"/>
    <x v="0"/>
    <x v="2"/>
    <x v="10"/>
    <n v="3041"/>
    <s v="Carlos Eduardo Lopes"/>
    <s v="027.685.314-80"/>
    <s v="027.685.314-80"/>
    <s v="Petrolina"/>
    <x v="8"/>
    <m/>
    <n v="45717"/>
    <x v="13"/>
  </r>
  <r>
    <x v="643"/>
    <x v="1"/>
    <x v="1"/>
    <x v="3"/>
    <n v="3034"/>
    <s v="Luiz Henrique Lopes"/>
    <s v="62573190803"/>
    <s v="625.731.908-03"/>
    <s v="Salvador"/>
    <x v="3"/>
    <m/>
    <n v="45672"/>
    <x v="17"/>
  </r>
  <r>
    <x v="644"/>
    <x v="0"/>
    <x v="1"/>
    <x v="1"/>
    <n v="3032"/>
    <s v="Enzo da Mata"/>
    <s v="074.153.896-20"/>
    <s v="074.153.896-20"/>
    <s v="Belém"/>
    <x v="1"/>
    <m/>
    <n v="45661"/>
    <x v="18"/>
  </r>
  <r>
    <x v="645"/>
    <x v="1"/>
    <x v="0"/>
    <x v="8"/>
    <n v="3039"/>
    <s v="Isabella Rodrigues"/>
    <s v="79165804384"/>
    <s v="791.658.043-84"/>
    <s v="Recife"/>
    <x v="8"/>
    <m/>
    <n v="45677"/>
    <x v="34"/>
  </r>
  <r>
    <x v="646"/>
    <x v="0"/>
    <x v="2"/>
    <x v="11"/>
    <n v="3042"/>
    <s v="Diego da Cunha"/>
    <s v="84390617575"/>
    <s v="843.906.175-75"/>
    <s v="Santa Catarina"/>
    <x v="9"/>
    <m/>
    <n v="45681"/>
    <x v="32"/>
  </r>
  <r>
    <x v="647"/>
    <x v="0"/>
    <x v="1"/>
    <x v="1"/>
    <n v="3032"/>
    <s v="Nicole Castro"/>
    <s v="50496831739"/>
    <s v="504.968.317-39"/>
    <s v="Belém"/>
    <x v="1"/>
    <s v="Sim"/>
    <n v="45739"/>
    <x v="7"/>
  </r>
  <r>
    <x v="648"/>
    <x v="0"/>
    <x v="0"/>
    <x v="9"/>
    <n v="3040"/>
    <s v="Sr. Antônio Cardoso"/>
    <s v="798.524.013-60"/>
    <s v="798.524.013-60"/>
    <s v="Jericoacara"/>
    <x v="6"/>
    <m/>
    <n v="45721"/>
    <x v="45"/>
  </r>
  <r>
    <x v="649"/>
    <x v="1"/>
    <x v="3"/>
    <x v="5"/>
    <n v="3036"/>
    <s v="Lavínia Martins"/>
    <s v="92360845756"/>
    <s v="923.608.457-56"/>
    <s v="Porto Velho"/>
    <x v="5"/>
    <m/>
    <n v="45711"/>
    <x v="9"/>
  </r>
  <r>
    <x v="650"/>
    <x v="0"/>
    <x v="3"/>
    <x v="10"/>
    <n v="3041"/>
    <s v="Isis Carvalho"/>
    <s v="642.130.857-08"/>
    <s v="642.130.857-08"/>
    <s v="Petrolina"/>
    <x v="8"/>
    <s v="Sim"/>
    <n v="45695"/>
    <x v="42"/>
  </r>
  <r>
    <x v="651"/>
    <x v="0"/>
    <x v="2"/>
    <x v="4"/>
    <n v="3035"/>
    <s v="Esther da Costa"/>
    <s v="14763295080"/>
    <s v="147.632.950-80"/>
    <s v="Porto Alegre"/>
    <x v="4"/>
    <m/>
    <n v="45738"/>
    <x v="40"/>
  </r>
  <r>
    <x v="652"/>
    <x v="0"/>
    <x v="1"/>
    <x v="0"/>
    <n v="3031"/>
    <s v="Sr. Luigi Porto"/>
    <s v="67489301203"/>
    <s v="674.893.012-03"/>
    <s v="Amazonas"/>
    <x v="0"/>
    <m/>
    <n v="45717"/>
    <x v="0"/>
  </r>
  <r>
    <x v="653"/>
    <x v="1"/>
    <x v="0"/>
    <x v="9"/>
    <n v="3040"/>
    <s v="Leandro Pereira"/>
    <s v="10537946810"/>
    <s v="105.379.468-10"/>
    <s v="Jericoacara"/>
    <x v="6"/>
    <s v="Sim"/>
    <n v="45686"/>
    <x v="29"/>
  </r>
  <r>
    <x v="654"/>
    <x v="1"/>
    <x v="1"/>
    <x v="6"/>
    <n v="3037"/>
    <s v="Larissa Cardoso"/>
    <s v="742.159.683-64"/>
    <s v="742.159.683-64"/>
    <s v="Fortaleza"/>
    <x v="6"/>
    <s v="Sim"/>
    <n v="45686"/>
    <x v="26"/>
  </r>
  <r>
    <x v="655"/>
    <x v="1"/>
    <x v="3"/>
    <x v="2"/>
    <n v="3033"/>
    <s v="Ana Beatriz Vieira"/>
    <s v="109.435.872-04"/>
    <s v="109.435.872-04"/>
    <s v="Tocantins"/>
    <x v="2"/>
    <s v="Sim"/>
    <n v="45692"/>
    <x v="6"/>
  </r>
  <r>
    <x v="656"/>
    <x v="0"/>
    <x v="3"/>
    <x v="9"/>
    <n v="3040"/>
    <s v="Nathan Cardoso"/>
    <s v="80156379457"/>
    <s v="801.563.794-57"/>
    <s v="Jericoacara"/>
    <x v="6"/>
    <s v="Sim"/>
    <n v="45662"/>
    <x v="29"/>
  </r>
  <r>
    <x v="657"/>
    <x v="0"/>
    <x v="0"/>
    <x v="9"/>
    <n v="3040"/>
    <s v="Kaique Jesus"/>
    <s v="578.429.106-85"/>
    <s v="578.429.106-85"/>
    <s v="Jericoacara"/>
    <x v="6"/>
    <m/>
    <n v="45665"/>
    <x v="16"/>
  </r>
  <r>
    <x v="658"/>
    <x v="0"/>
    <x v="3"/>
    <x v="4"/>
    <n v="3035"/>
    <s v="Dra. Emanuella Cavalcanti"/>
    <s v="68073945193"/>
    <s v="680.739.451-93"/>
    <s v="Porto Alegre"/>
    <x v="4"/>
    <m/>
    <n v="45702"/>
    <x v="8"/>
  </r>
  <r>
    <x v="659"/>
    <x v="1"/>
    <x v="2"/>
    <x v="7"/>
    <n v="3038"/>
    <s v="Sra. Mirella Rodrigues"/>
    <s v="45672019811"/>
    <s v="456.720.198-11"/>
    <s v="Natal"/>
    <x v="7"/>
    <s v="Sim"/>
    <n v="45676"/>
    <x v="21"/>
  </r>
  <r>
    <x v="660"/>
    <x v="1"/>
    <x v="2"/>
    <x v="2"/>
    <n v="3033"/>
    <s v="Anthony da Mota"/>
    <s v="03751682902"/>
    <s v="037.516.829-02"/>
    <s v="Tocantins"/>
    <x v="2"/>
    <m/>
    <n v="45666"/>
    <x v="6"/>
  </r>
  <r>
    <x v="661"/>
    <x v="0"/>
    <x v="2"/>
    <x v="9"/>
    <n v="3040"/>
    <s v="Vitor Rezende"/>
    <s v="276.081.493-96"/>
    <s v="276.081.493-96"/>
    <s v="Jericoacara"/>
    <x v="6"/>
    <m/>
    <n v="45705"/>
    <x v="29"/>
  </r>
  <r>
    <x v="662"/>
    <x v="1"/>
    <x v="2"/>
    <x v="10"/>
    <n v="3041"/>
    <s v="Alexia Porto"/>
    <s v="938.247.015-88"/>
    <s v="938.247.015-88"/>
    <s v="Petrolina"/>
    <x v="8"/>
    <s v="Sim"/>
    <n v="45667"/>
    <x v="28"/>
  </r>
  <r>
    <x v="663"/>
    <x v="0"/>
    <x v="3"/>
    <x v="8"/>
    <n v="3039"/>
    <s v="Raquel Pinto"/>
    <s v="674.035.821-44"/>
    <s v="674.035.821-44"/>
    <s v="Recife"/>
    <x v="8"/>
    <m/>
    <n v="45680"/>
    <x v="16"/>
  </r>
  <r>
    <x v="664"/>
    <x v="0"/>
    <x v="0"/>
    <x v="8"/>
    <n v="3039"/>
    <s v="Srta. Marcela Aragão"/>
    <s v="651.283.407-08"/>
    <s v="651.283.407-08"/>
    <s v="Recife"/>
    <x v="8"/>
    <m/>
    <n v="45718"/>
    <x v="33"/>
  </r>
  <r>
    <x v="665"/>
    <x v="1"/>
    <x v="0"/>
    <x v="8"/>
    <n v="3039"/>
    <s v="Isabel Porto"/>
    <s v="60275134970"/>
    <s v="602.751.349-70"/>
    <s v="Recife"/>
    <x v="8"/>
    <m/>
    <n v="45680"/>
    <x v="14"/>
  </r>
  <r>
    <x v="666"/>
    <x v="0"/>
    <x v="2"/>
    <x v="8"/>
    <n v="3039"/>
    <s v="Clarice Mendes"/>
    <s v="972.853.461-28"/>
    <s v="972.853.461-28"/>
    <s v="Recife"/>
    <x v="8"/>
    <m/>
    <n v="45735"/>
    <x v="42"/>
  </r>
  <r>
    <x v="667"/>
    <x v="1"/>
    <x v="1"/>
    <x v="7"/>
    <n v="3038"/>
    <s v="Yasmin da Cruz"/>
    <s v="934.560.872-92"/>
    <s v="934.560.872-92"/>
    <s v="Natal"/>
    <x v="7"/>
    <m/>
    <n v="45677"/>
    <x v="34"/>
  </r>
  <r>
    <x v="668"/>
    <x v="0"/>
    <x v="0"/>
    <x v="5"/>
    <n v="3036"/>
    <s v="Otávio Rodrigues"/>
    <s v="16729503416"/>
    <s v="167.295.034-16"/>
    <s v="Porto Velho"/>
    <x v="5"/>
    <m/>
    <n v="45743"/>
    <x v="9"/>
  </r>
  <r>
    <x v="669"/>
    <x v="1"/>
    <x v="1"/>
    <x v="4"/>
    <n v="3035"/>
    <s v="João Gabriel da Cruz"/>
    <s v="280.679.354-83"/>
    <s v="280.679.354-83"/>
    <s v="Porto Alegre"/>
    <x v="4"/>
    <s v="Sim"/>
    <n v="45669"/>
    <x v="4"/>
  </r>
  <r>
    <x v="670"/>
    <x v="0"/>
    <x v="2"/>
    <x v="10"/>
    <n v="3041"/>
    <s v="Clarice Rodrigues"/>
    <s v="458.609.273-47"/>
    <s v="458.609.273-47"/>
    <s v="Petrolina"/>
    <x v="8"/>
    <m/>
    <n v="45726"/>
    <x v="13"/>
  </r>
  <r>
    <x v="671"/>
    <x v="0"/>
    <x v="2"/>
    <x v="2"/>
    <n v="3033"/>
    <s v="Leonardo Ramos"/>
    <s v="198.640.532-05"/>
    <s v="198.640.532-05"/>
    <s v="Tocantins"/>
    <x v="2"/>
    <m/>
    <n v="45742"/>
    <x v="4"/>
  </r>
  <r>
    <x v="672"/>
    <x v="1"/>
    <x v="2"/>
    <x v="5"/>
    <n v="3036"/>
    <s v="João Guilherme da Cruz"/>
    <s v="47850129601"/>
    <s v="478.501.296-01"/>
    <s v="Porto Velho"/>
    <x v="5"/>
    <s v="Sim"/>
    <n v="45669"/>
    <x v="13"/>
  </r>
  <r>
    <x v="673"/>
    <x v="0"/>
    <x v="2"/>
    <x v="4"/>
    <n v="3035"/>
    <s v="Leonardo Peixoto"/>
    <s v="037.264.198-96"/>
    <s v="037.264.198-96"/>
    <s v="Porto Alegre"/>
    <x v="4"/>
    <m/>
    <n v="45694"/>
    <x v="22"/>
  </r>
  <r>
    <x v="674"/>
    <x v="0"/>
    <x v="1"/>
    <x v="3"/>
    <n v="3034"/>
    <s v="Sra. Isabelly Farias"/>
    <s v="28671534928"/>
    <s v="286.715.349-28"/>
    <s v="Salvador"/>
    <x v="3"/>
    <s v="Sim"/>
    <n v="45745"/>
    <x v="5"/>
  </r>
  <r>
    <x v="675"/>
    <x v="1"/>
    <x v="1"/>
    <x v="4"/>
    <n v="3035"/>
    <s v="Manuela Moreira"/>
    <s v="07269453152"/>
    <s v="072.694.531-52"/>
    <s v="Porto Alegre"/>
    <x v="4"/>
    <s v="Sim"/>
    <n v="45688"/>
    <x v="40"/>
  </r>
  <r>
    <x v="676"/>
    <x v="1"/>
    <x v="1"/>
    <x v="8"/>
    <n v="3039"/>
    <s v="Stella da Cunha"/>
    <s v="609.781.524-76"/>
    <s v="609.781.524-76"/>
    <s v="Recife"/>
    <x v="8"/>
    <s v="Sim"/>
    <n v="45698"/>
    <x v="21"/>
  </r>
  <r>
    <x v="677"/>
    <x v="1"/>
    <x v="2"/>
    <x v="6"/>
    <n v="3037"/>
    <s v="Nina Vieira"/>
    <s v="45802917350"/>
    <s v="458.029.173-50"/>
    <s v="Fortaleza"/>
    <x v="6"/>
    <m/>
    <n v="45701"/>
    <x v="5"/>
  </r>
  <r>
    <x v="678"/>
    <x v="0"/>
    <x v="2"/>
    <x v="2"/>
    <n v="3033"/>
    <s v="Cecília Viana"/>
    <s v="97568314057"/>
    <s v="975.683.140-57"/>
    <s v="Tocantins"/>
    <x v="2"/>
    <s v="Sim"/>
    <n v="45661"/>
    <x v="7"/>
  </r>
  <r>
    <x v="679"/>
    <x v="1"/>
    <x v="1"/>
    <x v="10"/>
    <n v="3041"/>
    <s v="Helena Nogueira"/>
    <s v="28410793687"/>
    <s v="284.107.936-87"/>
    <s v="Petrolina"/>
    <x v="8"/>
    <m/>
    <n v="45731"/>
    <x v="13"/>
  </r>
  <r>
    <x v="680"/>
    <x v="1"/>
    <x v="0"/>
    <x v="5"/>
    <n v="3036"/>
    <s v="Bruna Aragão"/>
    <s v="08412395760"/>
    <s v="084.123.957-60"/>
    <s v="Porto Velho"/>
    <x v="5"/>
    <m/>
    <n v="45739"/>
    <x v="17"/>
  </r>
  <r>
    <x v="681"/>
    <x v="0"/>
    <x v="1"/>
    <x v="3"/>
    <n v="3034"/>
    <s v="Dr. Pedro Lucas Santos"/>
    <s v="51069738484"/>
    <s v="510.697.384-84"/>
    <s v="Salvador"/>
    <x v="3"/>
    <s v="Sim"/>
    <n v="45701"/>
    <x v="22"/>
  </r>
  <r>
    <x v="682"/>
    <x v="0"/>
    <x v="3"/>
    <x v="2"/>
    <n v="3033"/>
    <s v="Sr. Vinicius Teixeira"/>
    <s v="93526417873"/>
    <s v="935.264.178-73"/>
    <s v="Tocantins"/>
    <x v="2"/>
    <m/>
    <n v="45708"/>
    <x v="6"/>
  </r>
  <r>
    <x v="683"/>
    <x v="1"/>
    <x v="2"/>
    <x v="3"/>
    <n v="3034"/>
    <s v="Srta. Ana Lívia Martins"/>
    <s v="835.901.647-00"/>
    <s v="835.901.647-00"/>
    <s v="Salvador"/>
    <x v="3"/>
    <m/>
    <n v="45666"/>
    <x v="22"/>
  </r>
  <r>
    <x v="684"/>
    <x v="0"/>
    <x v="2"/>
    <x v="2"/>
    <n v="3033"/>
    <s v="Kevin Costela"/>
    <s v="73902485132"/>
    <s v="739.024.851-32"/>
    <s v="Tocantins"/>
    <x v="2"/>
    <m/>
    <n v="45742"/>
    <x v="8"/>
  </r>
  <r>
    <x v="685"/>
    <x v="1"/>
    <x v="2"/>
    <x v="3"/>
    <n v="3034"/>
    <s v="Nathan Sales"/>
    <s v="67853142080"/>
    <s v="678.531.420-80"/>
    <s v="Salvador"/>
    <x v="3"/>
    <m/>
    <n v="45705"/>
    <x v="22"/>
  </r>
  <r>
    <x v="686"/>
    <x v="0"/>
    <x v="2"/>
    <x v="8"/>
    <n v="3039"/>
    <s v="Sra. Ana Silva"/>
    <s v="813.760.925-30"/>
    <s v="813.760.925-30"/>
    <s v="Recife"/>
    <x v="8"/>
    <s v="Sim"/>
    <n v="45669"/>
    <x v="21"/>
  </r>
  <r>
    <x v="687"/>
    <x v="1"/>
    <x v="0"/>
    <x v="1"/>
    <n v="3032"/>
    <s v="Júlia Correia"/>
    <s v="154.079.682-58"/>
    <s v="154.079.682-58"/>
    <s v="Belém"/>
    <x v="1"/>
    <m/>
    <n v="45694"/>
    <x v="18"/>
  </r>
  <r>
    <x v="688"/>
    <x v="1"/>
    <x v="2"/>
    <x v="6"/>
    <n v="3037"/>
    <s v="Gustavo Rodrigues"/>
    <s v="02864391740"/>
    <s v="028.643.917-40"/>
    <s v="Fortaleza"/>
    <x v="6"/>
    <m/>
    <n v="45678"/>
    <x v="24"/>
  </r>
  <r>
    <x v="689"/>
    <x v="1"/>
    <x v="0"/>
    <x v="3"/>
    <n v="3034"/>
    <s v="Vicente Rodrigues"/>
    <s v="015.963.428-89"/>
    <s v="015.963.428-89"/>
    <s v="Salvador"/>
    <x v="3"/>
    <s v="Sim"/>
    <n v="45712"/>
    <x v="22"/>
  </r>
  <r>
    <x v="690"/>
    <x v="0"/>
    <x v="2"/>
    <x v="9"/>
    <n v="3040"/>
    <s v="Heloísa Nascimento"/>
    <s v="72845369182"/>
    <s v="728.453.691-82"/>
    <s v="Jericoacara"/>
    <x v="6"/>
    <m/>
    <n v="45672"/>
    <x v="29"/>
  </r>
  <r>
    <x v="691"/>
    <x v="1"/>
    <x v="2"/>
    <x v="5"/>
    <n v="3036"/>
    <s v="Sra. Ana Laura Oliveira"/>
    <s v="63924087113"/>
    <s v="639.240.871-13"/>
    <s v="Porto Velho"/>
    <x v="5"/>
    <m/>
    <n v="45720"/>
    <x v="3"/>
  </r>
  <r>
    <x v="692"/>
    <x v="1"/>
    <x v="1"/>
    <x v="3"/>
    <n v="3034"/>
    <s v="Davi Luiz Araújo"/>
    <s v="941.580.726-11"/>
    <s v="941.580.726-11"/>
    <s v="Salvador"/>
    <x v="3"/>
    <s v="Sim"/>
    <n v="45713"/>
    <x v="11"/>
  </r>
  <r>
    <x v="693"/>
    <x v="1"/>
    <x v="0"/>
    <x v="11"/>
    <n v="3042"/>
    <s v="Caroline Ribeiro"/>
    <s v="801.547.963-01"/>
    <s v="801.547.963-01"/>
    <s v="Santa Catarina"/>
    <x v="9"/>
    <m/>
    <n v="45681"/>
    <x v="39"/>
  </r>
  <r>
    <x v="694"/>
    <x v="1"/>
    <x v="1"/>
    <x v="1"/>
    <n v="3032"/>
    <s v="Dra. Laura Cardoso"/>
    <s v="85640391251"/>
    <s v="856.403.912-51"/>
    <s v="Belém"/>
    <x v="1"/>
    <m/>
    <n v="45675"/>
    <x v="41"/>
  </r>
  <r>
    <x v="695"/>
    <x v="0"/>
    <x v="2"/>
    <x v="9"/>
    <n v="3040"/>
    <s v="Alice Souza"/>
    <s v="56408913784"/>
    <s v="564.089.137-84"/>
    <s v="Jericoacara"/>
    <x v="6"/>
    <m/>
    <n v="45675"/>
    <x v="24"/>
  </r>
  <r>
    <x v="696"/>
    <x v="0"/>
    <x v="1"/>
    <x v="1"/>
    <n v="3032"/>
    <s v="Vitor Carvalho"/>
    <s v="246.510.983-98"/>
    <s v="246.510.983-98"/>
    <s v="Belém"/>
    <x v="1"/>
    <m/>
    <n v="45727"/>
    <x v="25"/>
  </r>
  <r>
    <x v="697"/>
    <x v="0"/>
    <x v="3"/>
    <x v="9"/>
    <n v="3040"/>
    <s v="Heitor Nogueira"/>
    <s v="152.378.604-35"/>
    <s v="152.378.604-35"/>
    <s v="Jericoacara"/>
    <x v="6"/>
    <m/>
    <n v="45677"/>
    <x v="29"/>
  </r>
  <r>
    <x v="698"/>
    <x v="0"/>
    <x v="3"/>
    <x v="11"/>
    <n v="3042"/>
    <s v="Vitor Gabriel Duarte"/>
    <s v="786.029.513-02"/>
    <s v="786.029.513-02"/>
    <s v="Santa Catarina"/>
    <x v="9"/>
    <m/>
    <n v="45664"/>
    <x v="10"/>
  </r>
  <r>
    <x v="699"/>
    <x v="0"/>
    <x v="3"/>
    <x v="3"/>
    <n v="3034"/>
    <s v="Alice Oliveira"/>
    <s v="304.768.125-26"/>
    <s v="304.768.125-26"/>
    <s v="Salvador"/>
    <x v="3"/>
    <s v="Sim"/>
    <n v="45687"/>
    <x v="22"/>
  </r>
  <r>
    <x v="700"/>
    <x v="0"/>
    <x v="0"/>
    <x v="10"/>
    <n v="3041"/>
    <s v="Júlia Porto"/>
    <s v="183.692.507-77"/>
    <s v="183.692.507-77"/>
    <s v="Petrolina"/>
    <x v="8"/>
    <m/>
    <n v="45746"/>
    <x v="13"/>
  </r>
  <r>
    <x v="701"/>
    <x v="1"/>
    <x v="1"/>
    <x v="0"/>
    <n v="3031"/>
    <s v="Lavínia Barbosa"/>
    <s v="07451986276"/>
    <s v="074.519.862-76"/>
    <s v="Amazonas"/>
    <x v="0"/>
    <m/>
    <n v="45716"/>
    <x v="5"/>
  </r>
  <r>
    <x v="702"/>
    <x v="0"/>
    <x v="3"/>
    <x v="10"/>
    <n v="3041"/>
    <s v="Rodrigo Nascimento"/>
    <s v="534.017.698-39"/>
    <s v="534.017.698-39"/>
    <s v="Petrolina"/>
    <x v="8"/>
    <m/>
    <n v="45696"/>
    <x v="32"/>
  </r>
  <r>
    <x v="703"/>
    <x v="0"/>
    <x v="3"/>
    <x v="8"/>
    <n v="3039"/>
    <s v="Srta. Beatriz Freitas"/>
    <s v="635.729.810-77"/>
    <s v="635.729.810-77"/>
    <s v="Recife"/>
    <x v="8"/>
    <m/>
    <n v="45722"/>
    <x v="48"/>
  </r>
  <r>
    <x v="704"/>
    <x v="1"/>
    <x v="0"/>
    <x v="3"/>
    <n v="3034"/>
    <s v="Dr. Emanuel Ramos"/>
    <s v="950.817.342-41"/>
    <s v="950.817.342-41"/>
    <s v="Salvador"/>
    <x v="3"/>
    <m/>
    <n v="45723"/>
    <x v="5"/>
  </r>
  <r>
    <x v="705"/>
    <x v="0"/>
    <x v="1"/>
    <x v="5"/>
    <n v="3036"/>
    <s v="Juan Rodrigues"/>
    <s v="68195042767"/>
    <s v="681.950.427-67"/>
    <s v="Porto Velho"/>
    <x v="5"/>
    <m/>
    <n v="45723"/>
    <x v="9"/>
  </r>
  <r>
    <x v="706"/>
    <x v="0"/>
    <x v="0"/>
    <x v="0"/>
    <n v="3031"/>
    <s v="João Gabriel Nascimento"/>
    <s v="956.180.472-76"/>
    <s v="956.180.472-76"/>
    <s v="Amazonas"/>
    <x v="0"/>
    <s v="Sim"/>
    <n v="45676"/>
    <x v="26"/>
  </r>
  <r>
    <x v="707"/>
    <x v="0"/>
    <x v="3"/>
    <x v="11"/>
    <n v="3042"/>
    <s v="Alana das Neves"/>
    <s v="04519823714"/>
    <s v="045.198.237-14"/>
    <s v="Santa Catarina"/>
    <x v="9"/>
    <s v="Sim"/>
    <n v="45680"/>
    <x v="32"/>
  </r>
  <r>
    <x v="708"/>
    <x v="1"/>
    <x v="2"/>
    <x v="9"/>
    <n v="3040"/>
    <s v="Isabelly Azevedo"/>
    <s v="47301865244"/>
    <s v="473.018.652-44"/>
    <s v="Jericoacara"/>
    <x v="6"/>
    <m/>
    <n v="45674"/>
    <x v="45"/>
  </r>
  <r>
    <x v="709"/>
    <x v="1"/>
    <x v="1"/>
    <x v="9"/>
    <n v="3040"/>
    <s v="Caroline da Luz"/>
    <s v="12978465328"/>
    <s v="129.784.653-28"/>
    <s v="Jericoacara"/>
    <x v="6"/>
    <s v="Sim"/>
    <n v="45676"/>
    <x v="28"/>
  </r>
  <r>
    <x v="710"/>
    <x v="1"/>
    <x v="1"/>
    <x v="5"/>
    <n v="3036"/>
    <s v="Alexia Teixeira"/>
    <s v="947.036.215-25"/>
    <s v="947.036.215-25"/>
    <s v="Porto Velho"/>
    <x v="5"/>
    <s v="Sim"/>
    <n v="45684"/>
    <x v="27"/>
  </r>
  <r>
    <x v="711"/>
    <x v="0"/>
    <x v="1"/>
    <x v="9"/>
    <n v="3040"/>
    <s v="Rodrigo Silveira"/>
    <s v="795.401.862-85"/>
    <s v="795.401.862-85"/>
    <s v="Jericoacara"/>
    <x v="6"/>
    <s v="Sim"/>
    <n v="45709"/>
    <x v="45"/>
  </r>
  <r>
    <x v="712"/>
    <x v="1"/>
    <x v="1"/>
    <x v="6"/>
    <n v="3037"/>
    <s v="Gabrielly Almeida"/>
    <s v="635.049.128-98"/>
    <s v="635.049.128-98"/>
    <s v="Fortaleza"/>
    <x v="6"/>
    <s v="Sim"/>
    <n v="45665"/>
    <x v="26"/>
  </r>
  <r>
    <x v="713"/>
    <x v="0"/>
    <x v="1"/>
    <x v="1"/>
    <n v="3032"/>
    <s v="Eduardo da Cunha"/>
    <s v="54196087230"/>
    <s v="541.960.872-30"/>
    <s v="Belém"/>
    <x v="1"/>
    <s v="Sim"/>
    <n v="45736"/>
    <x v="47"/>
  </r>
  <r>
    <x v="714"/>
    <x v="1"/>
    <x v="0"/>
    <x v="3"/>
    <n v="3034"/>
    <s v="Nicolas Melo"/>
    <s v="431.872.056-07"/>
    <s v="431.872.056-07"/>
    <s v="Salvador"/>
    <x v="3"/>
    <m/>
    <n v="45665"/>
    <x v="5"/>
  </r>
  <r>
    <x v="715"/>
    <x v="1"/>
    <x v="3"/>
    <x v="11"/>
    <n v="3042"/>
    <s v="Mariane Pires"/>
    <s v="17906538439"/>
    <s v="179.065.384-39"/>
    <s v="Santa Catarina"/>
    <x v="9"/>
    <m/>
    <n v="45733"/>
    <x v="46"/>
  </r>
  <r>
    <x v="716"/>
    <x v="0"/>
    <x v="3"/>
    <x v="5"/>
    <n v="3036"/>
    <s v="Benício Pires"/>
    <s v="04697581202"/>
    <s v="046.975.812-02"/>
    <s v="Porto Velho"/>
    <x v="5"/>
    <m/>
    <n v="45696"/>
    <x v="17"/>
  </r>
  <r>
    <x v="717"/>
    <x v="0"/>
    <x v="1"/>
    <x v="3"/>
    <n v="3034"/>
    <s v="Pedro Henrique Oliveira"/>
    <s v="307.965.814-01"/>
    <s v="307.965.814-01"/>
    <s v="Salvador"/>
    <x v="3"/>
    <s v="Sim"/>
    <n v="45702"/>
    <x v="23"/>
  </r>
  <r>
    <x v="718"/>
    <x v="1"/>
    <x v="2"/>
    <x v="3"/>
    <n v="3034"/>
    <s v="Helena da Mota"/>
    <s v="190.457.826-85"/>
    <s v="190.457.826-85"/>
    <s v="Salvador"/>
    <x v="3"/>
    <m/>
    <n v="45719"/>
    <x v="22"/>
  </r>
  <r>
    <x v="719"/>
    <x v="1"/>
    <x v="0"/>
    <x v="0"/>
    <n v="3031"/>
    <s v="Eloah Moraes"/>
    <s v="678.195.032-03"/>
    <s v="678.195.032-03"/>
    <s v="Amazonas"/>
    <x v="0"/>
    <m/>
    <n v="45688"/>
    <x v="13"/>
  </r>
  <r>
    <x v="720"/>
    <x v="1"/>
    <x v="2"/>
    <x v="0"/>
    <n v="3031"/>
    <s v="Larissa Silva"/>
    <s v="542.137.869-19"/>
    <s v="542.137.869-19"/>
    <s v="Amazonas"/>
    <x v="0"/>
    <m/>
    <n v="45658"/>
    <x v="5"/>
  </r>
  <r>
    <x v="721"/>
    <x v="1"/>
    <x v="2"/>
    <x v="3"/>
    <n v="3034"/>
    <s v="Maria Sophia da Conceição"/>
    <s v="03982145732"/>
    <s v="039.821.457-32"/>
    <s v="Salvador"/>
    <x v="3"/>
    <s v="Sim"/>
    <n v="45734"/>
    <x v="11"/>
  </r>
  <r>
    <x v="722"/>
    <x v="0"/>
    <x v="2"/>
    <x v="7"/>
    <n v="3038"/>
    <s v="Joaquim da Mota"/>
    <s v="795.648.231-37"/>
    <s v="795.648.231-37"/>
    <s v="Natal"/>
    <x v="7"/>
    <s v="Sim"/>
    <n v="45698"/>
    <x v="8"/>
  </r>
  <r>
    <x v="723"/>
    <x v="1"/>
    <x v="1"/>
    <x v="5"/>
    <n v="3036"/>
    <s v="Sr. Calebe Ramos"/>
    <s v="07395148657"/>
    <s v="073.951.486-57"/>
    <s v="Porto Velho"/>
    <x v="5"/>
    <s v="Sim"/>
    <n v="45681"/>
    <x v="9"/>
  </r>
  <r>
    <x v="724"/>
    <x v="1"/>
    <x v="3"/>
    <x v="5"/>
    <n v="3036"/>
    <s v="Sarah Melo"/>
    <s v="63910258786"/>
    <s v="639.102.587-86"/>
    <s v="Porto Velho"/>
    <x v="5"/>
    <s v="Sim"/>
    <n v="45660"/>
    <x v="13"/>
  </r>
  <r>
    <x v="725"/>
    <x v="1"/>
    <x v="1"/>
    <x v="9"/>
    <n v="3040"/>
    <s v="Ana Sophia da Conceição"/>
    <s v="47359208629"/>
    <s v="473.592.086-29"/>
    <s v="Jericoacara"/>
    <x v="6"/>
    <m/>
    <n v="45677"/>
    <x v="24"/>
  </r>
  <r>
    <x v="726"/>
    <x v="0"/>
    <x v="3"/>
    <x v="3"/>
    <n v="3034"/>
    <s v="Davi das Neves"/>
    <s v="425.691.708-01"/>
    <s v="425.691.708-01"/>
    <s v="Salvador"/>
    <x v="3"/>
    <s v="Sim"/>
    <n v="45675"/>
    <x v="23"/>
  </r>
  <r>
    <x v="727"/>
    <x v="0"/>
    <x v="2"/>
    <x v="4"/>
    <n v="3035"/>
    <s v="Caio Aragão"/>
    <s v="26197830540"/>
    <s v="261.978.305-40"/>
    <s v="Porto Alegre"/>
    <x v="4"/>
    <m/>
    <n v="45736"/>
    <x v="22"/>
  </r>
  <r>
    <x v="728"/>
    <x v="1"/>
    <x v="2"/>
    <x v="1"/>
    <n v="3032"/>
    <s v="Sr. Luiz Miguel Pinto"/>
    <s v="19286537409"/>
    <s v="192.865.374-09"/>
    <s v="Belém"/>
    <x v="1"/>
    <m/>
    <n v="45688"/>
    <x v="23"/>
  </r>
  <r>
    <x v="729"/>
    <x v="0"/>
    <x v="1"/>
    <x v="9"/>
    <n v="3040"/>
    <s v="Lara Farias"/>
    <s v="03461259870"/>
    <s v="034.612.598-70"/>
    <s v="Jericoacara"/>
    <x v="6"/>
    <m/>
    <n v="45742"/>
    <x v="28"/>
  </r>
  <r>
    <x v="730"/>
    <x v="1"/>
    <x v="0"/>
    <x v="6"/>
    <n v="3037"/>
    <s v="Luiz Gustavo Rodrigues"/>
    <s v="317.654.098-10"/>
    <s v="317.654.098-10"/>
    <s v="Fortaleza"/>
    <x v="6"/>
    <s v="Sim"/>
    <n v="45730"/>
    <x v="10"/>
  </r>
  <r>
    <x v="731"/>
    <x v="1"/>
    <x v="3"/>
    <x v="6"/>
    <n v="3037"/>
    <s v="Sophia Silva"/>
    <s v="57812934691"/>
    <s v="578.129.346-91"/>
    <s v="Fortaleza"/>
    <x v="6"/>
    <m/>
    <n v="45703"/>
    <x v="26"/>
  </r>
  <r>
    <x v="732"/>
    <x v="1"/>
    <x v="1"/>
    <x v="11"/>
    <n v="3042"/>
    <s v="Nathan Nunes"/>
    <s v="90316754820"/>
    <s v="903.167.548-20"/>
    <s v="Santa Catarina"/>
    <x v="9"/>
    <m/>
    <n v="45687"/>
    <x v="46"/>
  </r>
  <r>
    <x v="733"/>
    <x v="0"/>
    <x v="1"/>
    <x v="0"/>
    <n v="3031"/>
    <s v="Isis da Cruz"/>
    <s v="54170238680"/>
    <s v="541.702.386-80"/>
    <s v="Amazonas"/>
    <x v="0"/>
    <s v="Sim"/>
    <n v="45680"/>
    <x v="3"/>
  </r>
  <r>
    <x v="734"/>
    <x v="0"/>
    <x v="3"/>
    <x v="8"/>
    <n v="3039"/>
    <s v="Amanda Rezende"/>
    <s v="856.379.412-46"/>
    <s v="856.379.412-46"/>
    <s v="Recife"/>
    <x v="8"/>
    <m/>
    <n v="45688"/>
    <x v="48"/>
  </r>
  <r>
    <x v="735"/>
    <x v="1"/>
    <x v="1"/>
    <x v="2"/>
    <n v="3033"/>
    <s v="João Miguel Araújo"/>
    <s v="27395064143"/>
    <s v="273.950.641-43"/>
    <s v="Tocantins"/>
    <x v="2"/>
    <s v="Sim"/>
    <n v="45739"/>
    <x v="7"/>
  </r>
  <r>
    <x v="736"/>
    <x v="1"/>
    <x v="2"/>
    <x v="9"/>
    <n v="3040"/>
    <s v="Maitê Viana"/>
    <s v="143.065.287-07"/>
    <s v="143.065.287-07"/>
    <s v="Jericoacara"/>
    <x v="6"/>
    <m/>
    <n v="45690"/>
    <x v="29"/>
  </r>
  <r>
    <x v="737"/>
    <x v="0"/>
    <x v="3"/>
    <x v="9"/>
    <n v="3040"/>
    <s v="Renan Melo"/>
    <s v="49815762346"/>
    <s v="498.157.623-46"/>
    <s v="Jericoacara"/>
    <x v="6"/>
    <s v="Sim"/>
    <n v="45658"/>
    <x v="28"/>
  </r>
  <r>
    <x v="738"/>
    <x v="1"/>
    <x v="2"/>
    <x v="1"/>
    <n v="3032"/>
    <s v="Gustavo Henrique Monteiro"/>
    <s v="69035418700"/>
    <s v="690.354.187-00"/>
    <s v="Belém"/>
    <x v="1"/>
    <s v="Sim"/>
    <n v="45680"/>
    <x v="44"/>
  </r>
  <r>
    <x v="739"/>
    <x v="1"/>
    <x v="0"/>
    <x v="3"/>
    <n v="3034"/>
    <s v="Dra. Cecília Ribeiro"/>
    <s v="38759201630"/>
    <s v="387.592.016-30"/>
    <s v="Salvador"/>
    <x v="3"/>
    <s v="Sim"/>
    <n v="45699"/>
    <x v="11"/>
  </r>
  <r>
    <x v="740"/>
    <x v="0"/>
    <x v="1"/>
    <x v="4"/>
    <n v="3035"/>
    <s v="Sra. Cecília Pires"/>
    <s v="780.214.539-23"/>
    <s v="780.214.539-23"/>
    <s v="Porto Alegre"/>
    <x v="4"/>
    <s v="Sim"/>
    <n v="45706"/>
    <x v="4"/>
  </r>
  <r>
    <x v="741"/>
    <x v="0"/>
    <x v="0"/>
    <x v="1"/>
    <n v="3032"/>
    <s v="Isabella Mendes"/>
    <s v="36859421070"/>
    <s v="368.594.210-70"/>
    <s v="Belém"/>
    <x v="1"/>
    <m/>
    <n v="45713"/>
    <x v="25"/>
  </r>
  <r>
    <x v="742"/>
    <x v="0"/>
    <x v="1"/>
    <x v="7"/>
    <n v="3038"/>
    <s v="Daniel da Costa"/>
    <s v="56813094793"/>
    <s v="568.130.947-93"/>
    <s v="Natal"/>
    <x v="7"/>
    <m/>
    <n v="45668"/>
    <x v="8"/>
  </r>
  <r>
    <x v="743"/>
    <x v="1"/>
    <x v="2"/>
    <x v="10"/>
    <n v="3041"/>
    <s v="Dr. Pedro Miguel Jesus"/>
    <s v="12954708611"/>
    <s v="129.547.086-11"/>
    <s v="Petrolina"/>
    <x v="8"/>
    <s v="Sim"/>
    <n v="45660"/>
    <x v="35"/>
  </r>
  <r>
    <x v="744"/>
    <x v="0"/>
    <x v="3"/>
    <x v="5"/>
    <n v="3036"/>
    <s v="Eduardo Campos"/>
    <s v="643.128.097-04"/>
    <s v="643.128.097-04"/>
    <s v="Porto Velho"/>
    <x v="5"/>
    <m/>
    <n v="45693"/>
    <x v="13"/>
  </r>
  <r>
    <x v="745"/>
    <x v="1"/>
    <x v="2"/>
    <x v="4"/>
    <n v="3035"/>
    <s v="Alana da Cunha"/>
    <s v="568.107.349-10"/>
    <s v="568.107.349-10"/>
    <s v="Porto Alegre"/>
    <x v="4"/>
    <m/>
    <n v="45695"/>
    <x v="26"/>
  </r>
  <r>
    <x v="746"/>
    <x v="0"/>
    <x v="0"/>
    <x v="2"/>
    <n v="3033"/>
    <s v="Cauê da Rocha"/>
    <s v="467.195.230-07"/>
    <s v="467.195.230-07"/>
    <s v="Tocantins"/>
    <x v="2"/>
    <m/>
    <n v="45706"/>
    <x v="4"/>
  </r>
  <r>
    <x v="747"/>
    <x v="1"/>
    <x v="3"/>
    <x v="0"/>
    <n v="3031"/>
    <s v="Dra. Laís Freitas"/>
    <s v="30298617404"/>
    <s v="302.986.174-04"/>
    <s v="Amazonas"/>
    <x v="0"/>
    <m/>
    <n v="45746"/>
    <x v="5"/>
  </r>
  <r>
    <x v="748"/>
    <x v="0"/>
    <x v="0"/>
    <x v="5"/>
    <n v="3036"/>
    <s v="Luiza Ramos"/>
    <s v="701.253.649-70"/>
    <s v="701.253.649-70"/>
    <s v="Porto Velho"/>
    <x v="5"/>
    <m/>
    <n v="45695"/>
    <x v="13"/>
  </r>
  <r>
    <x v="749"/>
    <x v="0"/>
    <x v="0"/>
    <x v="0"/>
    <n v="3031"/>
    <s v="Camila Peixoto"/>
    <s v="32697104534"/>
    <s v="326.971.045-34"/>
    <s v="Amazonas"/>
    <x v="0"/>
    <m/>
    <n v="45681"/>
    <x v="0"/>
  </r>
  <r>
    <x v="750"/>
    <x v="1"/>
    <x v="2"/>
    <x v="11"/>
    <n v="3042"/>
    <s v="Guilherme Teixeira"/>
    <s v="413.769.085-57"/>
    <s v="413.769.085-57"/>
    <s v="Santa Catarina"/>
    <x v="9"/>
    <m/>
    <n v="45731"/>
    <x v="39"/>
  </r>
  <r>
    <x v="751"/>
    <x v="0"/>
    <x v="3"/>
    <x v="3"/>
    <n v="3034"/>
    <s v="Luiz Fernando Martins"/>
    <s v="67281405308"/>
    <s v="672.814.053-08"/>
    <s v="Salvador"/>
    <x v="3"/>
    <m/>
    <n v="45665"/>
    <x v="22"/>
  </r>
  <r>
    <x v="752"/>
    <x v="0"/>
    <x v="1"/>
    <x v="8"/>
    <n v="3039"/>
    <s v="Olivia Rezende"/>
    <s v="659.713.048-01"/>
    <s v="659.713.048-01"/>
    <s v="Recife"/>
    <x v="8"/>
    <s v="Sim"/>
    <n v="45669"/>
    <x v="21"/>
  </r>
  <r>
    <x v="753"/>
    <x v="0"/>
    <x v="2"/>
    <x v="5"/>
    <n v="3036"/>
    <s v="Srta. Giovanna Rezende"/>
    <s v="79104836510"/>
    <s v="791.048.365-10"/>
    <s v="Porto Velho"/>
    <x v="5"/>
    <m/>
    <n v="45737"/>
    <x v="13"/>
  </r>
  <r>
    <x v="754"/>
    <x v="0"/>
    <x v="1"/>
    <x v="7"/>
    <n v="3038"/>
    <s v="Davi Lucca da Cunha"/>
    <s v="012.794.356-07"/>
    <s v="012.794.356-07"/>
    <s v="Natal"/>
    <x v="7"/>
    <m/>
    <n v="45723"/>
    <x v="12"/>
  </r>
  <r>
    <x v="755"/>
    <x v="1"/>
    <x v="0"/>
    <x v="9"/>
    <n v="3040"/>
    <s v="Renan Fogaça"/>
    <s v="275.160.834-53"/>
    <s v="275.160.834-53"/>
    <s v="Jericoacara"/>
    <x v="6"/>
    <m/>
    <n v="45739"/>
    <x v="20"/>
  </r>
  <r>
    <x v="756"/>
    <x v="0"/>
    <x v="3"/>
    <x v="6"/>
    <n v="3037"/>
    <s v="Manuela Cavalcanti"/>
    <s v="64708951310"/>
    <s v="647.089.513-10"/>
    <s v="Fortaleza"/>
    <x v="6"/>
    <m/>
    <n v="45682"/>
    <x v="19"/>
  </r>
  <r>
    <x v="757"/>
    <x v="1"/>
    <x v="3"/>
    <x v="6"/>
    <n v="3037"/>
    <s v="Sr. Eduardo Carvalho"/>
    <s v="069.721.835-02"/>
    <s v="069.721.835-02"/>
    <s v="Fortaleza"/>
    <x v="6"/>
    <m/>
    <n v="45735"/>
    <x v="24"/>
  </r>
  <r>
    <x v="758"/>
    <x v="1"/>
    <x v="0"/>
    <x v="2"/>
    <n v="3033"/>
    <s v="Bárbara da Cunha"/>
    <s v="06182574976"/>
    <s v="061.825.749-76"/>
    <s v="Tocantins"/>
    <x v="2"/>
    <m/>
    <n v="45710"/>
    <x v="7"/>
  </r>
  <r>
    <x v="759"/>
    <x v="1"/>
    <x v="0"/>
    <x v="0"/>
    <n v="3031"/>
    <s v="Lara Costa"/>
    <s v="39126704552"/>
    <s v="391.267.045-52"/>
    <s v="Amazonas"/>
    <x v="0"/>
    <s v="Sim"/>
    <n v="45659"/>
    <x v="26"/>
  </r>
  <r>
    <x v="760"/>
    <x v="0"/>
    <x v="2"/>
    <x v="3"/>
    <n v="3034"/>
    <s v="Clara Ramos"/>
    <s v="314.572.096-16"/>
    <s v="314.572.096-16"/>
    <s v="Salvador"/>
    <x v="3"/>
    <m/>
    <n v="45697"/>
    <x v="17"/>
  </r>
  <r>
    <x v="761"/>
    <x v="1"/>
    <x v="2"/>
    <x v="4"/>
    <n v="3035"/>
    <s v="Vitor Sales"/>
    <s v="18270463922"/>
    <s v="182.704.639-22"/>
    <s v="Porto Alegre"/>
    <x v="4"/>
    <m/>
    <n v="45723"/>
    <x v="40"/>
  </r>
  <r>
    <x v="762"/>
    <x v="0"/>
    <x v="0"/>
    <x v="10"/>
    <n v="3041"/>
    <s v="Srta. Helena da Luz"/>
    <s v="57120438905"/>
    <s v="571.204.389-05"/>
    <s v="Petrolina"/>
    <x v="8"/>
    <m/>
    <n v="45706"/>
    <x v="28"/>
  </r>
  <r>
    <x v="763"/>
    <x v="1"/>
    <x v="0"/>
    <x v="10"/>
    <n v="3041"/>
    <s v="Rafaela Alves"/>
    <s v="30127956859"/>
    <s v="301.279.568-59"/>
    <s v="Petrolina"/>
    <x v="8"/>
    <m/>
    <n v="45663"/>
    <x v="28"/>
  </r>
  <r>
    <x v="764"/>
    <x v="1"/>
    <x v="3"/>
    <x v="6"/>
    <n v="3037"/>
    <s v="João Lucas Sales"/>
    <s v="43281057608"/>
    <s v="432.810.576-08"/>
    <s v="Fortaleza"/>
    <x v="6"/>
    <m/>
    <n v="45729"/>
    <x v="5"/>
  </r>
  <r>
    <x v="765"/>
    <x v="1"/>
    <x v="2"/>
    <x v="7"/>
    <n v="3038"/>
    <s v="Sr. Guilherme Lopes"/>
    <s v="08652917302"/>
    <s v="086.529.173-02"/>
    <s v="Natal"/>
    <x v="7"/>
    <m/>
    <n v="45691"/>
    <x v="21"/>
  </r>
  <r>
    <x v="766"/>
    <x v="0"/>
    <x v="2"/>
    <x v="8"/>
    <n v="3039"/>
    <s v="Emanuel Viana"/>
    <s v="038.476.291-31"/>
    <s v="038.476.291-31"/>
    <s v="Recife"/>
    <x v="8"/>
    <m/>
    <n v="45719"/>
    <x v="33"/>
  </r>
  <r>
    <x v="767"/>
    <x v="1"/>
    <x v="3"/>
    <x v="11"/>
    <n v="3042"/>
    <s v="Bernardo Rodrigues"/>
    <s v="130.596.472-16"/>
    <s v="130.596.472-16"/>
    <s v="Santa Catarina"/>
    <x v="9"/>
    <m/>
    <n v="45715"/>
    <x v="32"/>
  </r>
  <r>
    <x v="768"/>
    <x v="0"/>
    <x v="2"/>
    <x v="3"/>
    <n v="3034"/>
    <s v="Vitória da Rocha"/>
    <s v="381.956.204-42"/>
    <s v="381.956.204-42"/>
    <s v="Salvador"/>
    <x v="3"/>
    <m/>
    <n v="45681"/>
    <x v="22"/>
  </r>
  <r>
    <x v="769"/>
    <x v="0"/>
    <x v="2"/>
    <x v="2"/>
    <n v="3033"/>
    <s v="Camila Farias"/>
    <s v="49751230616"/>
    <s v="497.512.306-16"/>
    <s v="Tocantins"/>
    <x v="2"/>
    <m/>
    <n v="45696"/>
    <x v="2"/>
  </r>
  <r>
    <x v="770"/>
    <x v="1"/>
    <x v="2"/>
    <x v="8"/>
    <n v="3039"/>
    <s v="Bárbara Ribeiro"/>
    <s v="76891305268"/>
    <s v="768.913.052-68"/>
    <s v="Recife"/>
    <x v="8"/>
    <s v="Sim"/>
    <n v="45740"/>
    <x v="34"/>
  </r>
  <r>
    <x v="771"/>
    <x v="0"/>
    <x v="0"/>
    <x v="7"/>
    <n v="3038"/>
    <s v="Vitor Hugo Jesus"/>
    <s v="98245176346"/>
    <s v="982.451.763-46"/>
    <s v="Natal"/>
    <x v="7"/>
    <m/>
    <n v="45687"/>
    <x v="30"/>
  </r>
  <r>
    <x v="772"/>
    <x v="1"/>
    <x v="3"/>
    <x v="2"/>
    <n v="3033"/>
    <s v="Esther Nascimento"/>
    <s v="871.293.506-95"/>
    <s v="871.293.506-95"/>
    <s v="Tocantins"/>
    <x v="2"/>
    <m/>
    <n v="45658"/>
    <x v="4"/>
  </r>
  <r>
    <x v="773"/>
    <x v="1"/>
    <x v="1"/>
    <x v="8"/>
    <n v="3039"/>
    <s v="Luiz Fernando Moura"/>
    <s v="768.352.914-19"/>
    <s v="768.352.914-19"/>
    <s v="Recife"/>
    <x v="8"/>
    <s v="Sim"/>
    <n v="45720"/>
    <x v="42"/>
  </r>
  <r>
    <x v="774"/>
    <x v="0"/>
    <x v="1"/>
    <x v="11"/>
    <n v="3042"/>
    <s v="Ana Julia Oliveira"/>
    <s v="01648537235"/>
    <s v="016.485.372-35"/>
    <s v="Santa Catarina"/>
    <x v="9"/>
    <s v="Sim"/>
    <n v="45707"/>
    <x v="32"/>
  </r>
  <r>
    <x v="775"/>
    <x v="1"/>
    <x v="0"/>
    <x v="10"/>
    <n v="3041"/>
    <s v="Sra. Maysa Moura"/>
    <s v="068.517.394-10"/>
    <s v="068.517.394-10"/>
    <s v="Petrolina"/>
    <x v="8"/>
    <s v="Sim"/>
    <n v="45719"/>
    <x v="42"/>
  </r>
  <r>
    <x v="776"/>
    <x v="0"/>
    <x v="2"/>
    <x v="4"/>
    <n v="3035"/>
    <s v="Dra. Alice da Conceição"/>
    <s v="472.819.506-67"/>
    <s v="472.819.506-67"/>
    <s v="Porto Alegre"/>
    <x v="4"/>
    <m/>
    <n v="45732"/>
    <x v="22"/>
  </r>
  <r>
    <x v="777"/>
    <x v="0"/>
    <x v="2"/>
    <x v="8"/>
    <n v="3039"/>
    <s v="Pedro Nogueira"/>
    <s v="61378924509"/>
    <s v="613.789.245-09"/>
    <s v="Recife"/>
    <x v="8"/>
    <s v="Sim"/>
    <n v="45706"/>
    <x v="14"/>
  </r>
  <r>
    <x v="778"/>
    <x v="0"/>
    <x v="2"/>
    <x v="1"/>
    <n v="3032"/>
    <s v="Mirella Nascimento"/>
    <s v="94675082149"/>
    <s v="946.750.821-49"/>
    <s v="Belém"/>
    <x v="1"/>
    <m/>
    <n v="45737"/>
    <x v="47"/>
  </r>
  <r>
    <x v="779"/>
    <x v="1"/>
    <x v="0"/>
    <x v="1"/>
    <n v="3032"/>
    <s v="Gabriel da Rocha"/>
    <s v="640.137.859-00"/>
    <s v="640.137.859-00"/>
    <s v="Belém"/>
    <x v="1"/>
    <m/>
    <n v="45708"/>
    <x v="38"/>
  </r>
  <r>
    <x v="780"/>
    <x v="1"/>
    <x v="1"/>
    <x v="0"/>
    <n v="3031"/>
    <s v="Milena Gomes"/>
    <s v="62871543062"/>
    <s v="628.715.430-62"/>
    <s v="Amazonas"/>
    <x v="0"/>
    <m/>
    <n v="45706"/>
    <x v="36"/>
  </r>
  <r>
    <x v="781"/>
    <x v="1"/>
    <x v="0"/>
    <x v="10"/>
    <n v="3041"/>
    <s v="Levi da Rosa"/>
    <s v="230.516.948-51"/>
    <s v="230.516.948-51"/>
    <s v="Petrolina"/>
    <x v="8"/>
    <m/>
    <n v="45718"/>
    <x v="42"/>
  </r>
  <r>
    <x v="782"/>
    <x v="1"/>
    <x v="1"/>
    <x v="4"/>
    <n v="3035"/>
    <s v="Ana Lívia da Cunha"/>
    <s v="14930257670"/>
    <s v="149.302.576-70"/>
    <s v="Porto Alegre"/>
    <x v="4"/>
    <m/>
    <n v="45714"/>
    <x v="40"/>
  </r>
  <r>
    <x v="783"/>
    <x v="0"/>
    <x v="3"/>
    <x v="1"/>
    <n v="3032"/>
    <s v="Lucca Rodrigues"/>
    <s v="108.274.536-71"/>
    <s v="108.274.536-71"/>
    <s v="Belém"/>
    <x v="1"/>
    <m/>
    <n v="45708"/>
    <x v="25"/>
  </r>
  <r>
    <x v="784"/>
    <x v="1"/>
    <x v="3"/>
    <x v="9"/>
    <n v="3040"/>
    <s v="João Miguel Silveira"/>
    <s v="478.629.315-64"/>
    <s v="478.629.315-64"/>
    <s v="Jericoacara"/>
    <x v="6"/>
    <m/>
    <n v="45724"/>
    <x v="16"/>
  </r>
  <r>
    <x v="785"/>
    <x v="1"/>
    <x v="3"/>
    <x v="2"/>
    <n v="3033"/>
    <s v="Dr. Erick Moreira"/>
    <s v="69028741585"/>
    <s v="690.287.415-85"/>
    <s v="Tocantins"/>
    <x v="2"/>
    <m/>
    <n v="45728"/>
    <x v="2"/>
  </r>
  <r>
    <x v="786"/>
    <x v="1"/>
    <x v="3"/>
    <x v="11"/>
    <n v="3042"/>
    <s v="Antônio Costa"/>
    <s v="843.279.561-55"/>
    <s v="843.279.561-55"/>
    <s v="Santa Catarina"/>
    <x v="9"/>
    <m/>
    <n v="45722"/>
    <x v="24"/>
  </r>
  <r>
    <x v="787"/>
    <x v="0"/>
    <x v="2"/>
    <x v="10"/>
    <n v="3041"/>
    <s v="Alexandre Martins"/>
    <s v="059.682.371-12"/>
    <s v="059.682.371-12"/>
    <s v="Petrolina"/>
    <x v="8"/>
    <m/>
    <n v="45696"/>
    <x v="28"/>
  </r>
  <r>
    <x v="788"/>
    <x v="1"/>
    <x v="2"/>
    <x v="10"/>
    <n v="3041"/>
    <s v="Dra. Vitória Cardoso"/>
    <s v="567.980.314-39"/>
    <s v="567.980.314-39"/>
    <s v="Petrolina"/>
    <x v="8"/>
    <s v="Sim"/>
    <n v="45727"/>
    <x v="35"/>
  </r>
  <r>
    <x v="789"/>
    <x v="1"/>
    <x v="0"/>
    <x v="9"/>
    <n v="3040"/>
    <s v="Luiz Henrique Santos"/>
    <s v="027.698.351-30"/>
    <s v="027.698.351-30"/>
    <s v="Jericoacara"/>
    <x v="6"/>
    <m/>
    <n v="45669"/>
    <x v="16"/>
  </r>
  <r>
    <x v="790"/>
    <x v="0"/>
    <x v="1"/>
    <x v="5"/>
    <n v="3036"/>
    <s v="Mirella Viana"/>
    <s v="39815046748"/>
    <s v="398.150.467-48"/>
    <s v="Porto Velho"/>
    <x v="5"/>
    <s v="Sim"/>
    <n v="45673"/>
    <x v="13"/>
  </r>
  <r>
    <x v="791"/>
    <x v="1"/>
    <x v="0"/>
    <x v="4"/>
    <n v="3035"/>
    <s v="Dr. Vitor Freitas"/>
    <s v="347.501.968-00"/>
    <s v="347.501.968-00"/>
    <s v="Porto Alegre"/>
    <x v="4"/>
    <m/>
    <n v="45742"/>
    <x v="4"/>
  </r>
  <r>
    <x v="792"/>
    <x v="1"/>
    <x v="2"/>
    <x v="0"/>
    <n v="3031"/>
    <s v="Murilo Campos"/>
    <s v="56897430200"/>
    <s v="568.974.302-00"/>
    <s v="Amazonas"/>
    <x v="0"/>
    <m/>
    <n v="45683"/>
    <x v="36"/>
  </r>
  <r>
    <x v="793"/>
    <x v="0"/>
    <x v="3"/>
    <x v="1"/>
    <n v="3032"/>
    <s v="Gustavo Carvalho"/>
    <s v="195.748.026-20"/>
    <s v="195.748.026-20"/>
    <s v="Belém"/>
    <x v="1"/>
    <m/>
    <n v="45670"/>
    <x v="25"/>
  </r>
  <r>
    <x v="794"/>
    <x v="0"/>
    <x v="3"/>
    <x v="1"/>
    <n v="3032"/>
    <s v="Dr. Murilo Almeida"/>
    <s v="40367521890"/>
    <s v="403.675.218-90"/>
    <s v="Belém"/>
    <x v="1"/>
    <s v="Sim"/>
    <n v="45708"/>
    <x v="15"/>
  </r>
  <r>
    <x v="795"/>
    <x v="1"/>
    <x v="2"/>
    <x v="1"/>
    <n v="3032"/>
    <s v="Maria das Neves"/>
    <s v="16043295725"/>
    <s v="160.432.957-25"/>
    <s v="Belém"/>
    <x v="1"/>
    <m/>
    <n v="45706"/>
    <x v="25"/>
  </r>
  <r>
    <x v="796"/>
    <x v="1"/>
    <x v="3"/>
    <x v="5"/>
    <n v="3036"/>
    <s v="Laís da Conceição"/>
    <s v="942.560.718-49"/>
    <s v="942.560.718-49"/>
    <s v="Porto Velho"/>
    <x v="5"/>
    <m/>
    <n v="45684"/>
    <x v="9"/>
  </r>
  <r>
    <x v="797"/>
    <x v="1"/>
    <x v="2"/>
    <x v="3"/>
    <n v="3034"/>
    <s v="Dra. Luana da Rosa"/>
    <s v="74602185967"/>
    <s v="746.021.859-67"/>
    <s v="Salvador"/>
    <x v="3"/>
    <s v="Sim"/>
    <n v="45726"/>
    <x v="11"/>
  </r>
  <r>
    <x v="798"/>
    <x v="0"/>
    <x v="2"/>
    <x v="5"/>
    <n v="3036"/>
    <s v="Srta. Stephany da Luz"/>
    <s v="764.851.029-49"/>
    <s v="764.851.029-49"/>
    <s v="Porto Velho"/>
    <x v="5"/>
    <s v="Sim"/>
    <n v="45690"/>
    <x v="9"/>
  </r>
  <r>
    <x v="799"/>
    <x v="1"/>
    <x v="1"/>
    <x v="10"/>
    <n v="3041"/>
    <s v="Nicole Ribeiro"/>
    <s v="56804293738"/>
    <s v="568.042.937-38"/>
    <s v="Petrolina"/>
    <x v="8"/>
    <s v="Sim"/>
    <n v="45726"/>
    <x v="32"/>
  </r>
  <r>
    <x v="800"/>
    <x v="0"/>
    <x v="3"/>
    <x v="9"/>
    <n v="3040"/>
    <s v="Julia Castro"/>
    <s v="250.689.347-47"/>
    <s v="250.689.347-47"/>
    <s v="Jericoacara"/>
    <x v="6"/>
    <m/>
    <n v="45714"/>
    <x v="20"/>
  </r>
  <r>
    <x v="801"/>
    <x v="0"/>
    <x v="0"/>
    <x v="11"/>
    <n v="3042"/>
    <s v="Leonardo Rocha"/>
    <s v="42315609780"/>
    <s v="423.156.097-80"/>
    <s v="Santa Catarina"/>
    <x v="9"/>
    <m/>
    <n v="45723"/>
    <x v="39"/>
  </r>
  <r>
    <x v="802"/>
    <x v="1"/>
    <x v="3"/>
    <x v="2"/>
    <n v="3033"/>
    <s v="João Miguel Pereira"/>
    <s v="20193785404"/>
    <s v="201.937.854-04"/>
    <s v="Tocantins"/>
    <x v="2"/>
    <m/>
    <n v="45715"/>
    <x v="7"/>
  </r>
  <r>
    <x v="803"/>
    <x v="1"/>
    <x v="2"/>
    <x v="3"/>
    <n v="3034"/>
    <s v="Brenda Nunes"/>
    <s v="30179524879"/>
    <s v="301.795.248-79"/>
    <s v="Salvador"/>
    <x v="3"/>
    <m/>
    <n v="45721"/>
    <x v="5"/>
  </r>
  <r>
    <x v="804"/>
    <x v="0"/>
    <x v="3"/>
    <x v="11"/>
    <n v="3042"/>
    <s v="Sra. Stephany Carvalho"/>
    <s v="764.583.209-65"/>
    <s v="764.583.209-65"/>
    <s v="Santa Catarina"/>
    <x v="9"/>
    <s v="Sim"/>
    <n v="45669"/>
    <x v="39"/>
  </r>
  <r>
    <x v="805"/>
    <x v="0"/>
    <x v="3"/>
    <x v="6"/>
    <n v="3037"/>
    <s v="Cauã Rodrigues"/>
    <s v="830.465.917-48"/>
    <s v="830.465.917-48"/>
    <s v="Fortaleza"/>
    <x v="6"/>
    <s v="Sim"/>
    <n v="45735"/>
    <x v="19"/>
  </r>
  <r>
    <x v="806"/>
    <x v="0"/>
    <x v="2"/>
    <x v="1"/>
    <n v="3032"/>
    <s v="Carolina Nogueira"/>
    <s v="76491028313"/>
    <s v="764.910.283-13"/>
    <s v="Belém"/>
    <x v="1"/>
    <s v="Sim"/>
    <n v="45697"/>
    <x v="38"/>
  </r>
  <r>
    <x v="807"/>
    <x v="1"/>
    <x v="3"/>
    <x v="3"/>
    <n v="3034"/>
    <s v="Srta. Julia Teixeira"/>
    <s v="87146503208"/>
    <s v="871.465.032-08"/>
    <s v="Salvador"/>
    <x v="3"/>
    <m/>
    <n v="45675"/>
    <x v="17"/>
  </r>
  <r>
    <x v="808"/>
    <x v="1"/>
    <x v="1"/>
    <x v="6"/>
    <n v="3037"/>
    <s v="Olivia da Mata"/>
    <s v="08762943529"/>
    <s v="087.629.435-29"/>
    <s v="Fortaleza"/>
    <x v="6"/>
    <m/>
    <n v="45721"/>
    <x v="5"/>
  </r>
  <r>
    <x v="809"/>
    <x v="1"/>
    <x v="0"/>
    <x v="4"/>
    <n v="3035"/>
    <s v="Bryan Fernandes"/>
    <s v="01842573950"/>
    <s v="018.425.739-50"/>
    <s v="Porto Alegre"/>
    <x v="4"/>
    <m/>
    <n v="45682"/>
    <x v="4"/>
  </r>
  <r>
    <x v="810"/>
    <x v="0"/>
    <x v="2"/>
    <x v="5"/>
    <n v="3036"/>
    <s v="Augusto Silveira"/>
    <s v="487.193.256-73"/>
    <s v="487.193.256-73"/>
    <s v="Porto Velho"/>
    <x v="5"/>
    <m/>
    <n v="45716"/>
    <x v="9"/>
  </r>
  <r>
    <x v="811"/>
    <x v="1"/>
    <x v="1"/>
    <x v="2"/>
    <n v="3033"/>
    <s v="Maitê da Rocha"/>
    <s v="103.895.267-03"/>
    <s v="103.895.267-03"/>
    <s v="Tocantins"/>
    <x v="2"/>
    <m/>
    <n v="45716"/>
    <x v="8"/>
  </r>
  <r>
    <x v="812"/>
    <x v="0"/>
    <x v="1"/>
    <x v="8"/>
    <n v="3039"/>
    <s v="Clara Moraes"/>
    <s v="426.098.517-58"/>
    <s v="426.098.517-58"/>
    <s v="Recife"/>
    <x v="8"/>
    <s v="Sim"/>
    <n v="45696"/>
    <x v="14"/>
  </r>
  <r>
    <x v="813"/>
    <x v="1"/>
    <x v="1"/>
    <x v="6"/>
    <n v="3037"/>
    <s v="Ana Júlia Fernandes"/>
    <s v="623.058.147-71"/>
    <s v="623.058.147-71"/>
    <s v="Fortaleza"/>
    <x v="6"/>
    <s v="Sim"/>
    <n v="45712"/>
    <x v="19"/>
  </r>
  <r>
    <x v="814"/>
    <x v="1"/>
    <x v="3"/>
    <x v="9"/>
    <n v="3040"/>
    <s v="Melissa Silva"/>
    <s v="92671835086"/>
    <s v="926.718.350-86"/>
    <s v="Jericoacara"/>
    <x v="6"/>
    <m/>
    <n v="45716"/>
    <x v="28"/>
  </r>
  <r>
    <x v="815"/>
    <x v="1"/>
    <x v="3"/>
    <x v="2"/>
    <n v="3033"/>
    <s v="Breno Fogaça"/>
    <s v="189.543.076-39"/>
    <s v="189.543.076-39"/>
    <s v="Tocantins"/>
    <x v="2"/>
    <m/>
    <n v="45693"/>
    <x v="7"/>
  </r>
  <r>
    <x v="816"/>
    <x v="0"/>
    <x v="1"/>
    <x v="7"/>
    <n v="3038"/>
    <s v="Dr. Danilo das Neves"/>
    <s v="401.376.892-50"/>
    <s v="401.376.892-50"/>
    <s v="Natal"/>
    <x v="7"/>
    <s v="Sim"/>
    <n v="45709"/>
    <x v="43"/>
  </r>
  <r>
    <x v="817"/>
    <x v="0"/>
    <x v="2"/>
    <x v="4"/>
    <n v="3035"/>
    <s v="Sra. Maria Sophia Rodrigues"/>
    <s v="18574263044"/>
    <s v="185.742.630-44"/>
    <s v="Porto Alegre"/>
    <x v="4"/>
    <m/>
    <n v="45745"/>
    <x v="22"/>
  </r>
  <r>
    <x v="818"/>
    <x v="1"/>
    <x v="1"/>
    <x v="8"/>
    <n v="3039"/>
    <s v="Davi Luiz Lopes"/>
    <s v="625.974.310-61"/>
    <s v="625.974.310-61"/>
    <s v="Recife"/>
    <x v="8"/>
    <s v="Sim"/>
    <n v="45683"/>
    <x v="34"/>
  </r>
  <r>
    <x v="819"/>
    <x v="0"/>
    <x v="2"/>
    <x v="5"/>
    <n v="3036"/>
    <s v="Rodrigo Silva"/>
    <s v="298.347.051-23"/>
    <s v="298.347.051-23"/>
    <s v="Porto Velho"/>
    <x v="5"/>
    <s v="Sim"/>
    <n v="45726"/>
    <x v="13"/>
  </r>
  <r>
    <x v="820"/>
    <x v="0"/>
    <x v="0"/>
    <x v="2"/>
    <n v="3033"/>
    <s v="Renan Peixoto"/>
    <s v="729.834.615-64"/>
    <s v="729.834.615-64"/>
    <s v="Tocantins"/>
    <x v="2"/>
    <s v="Sim"/>
    <n v="45708"/>
    <x v="2"/>
  </r>
  <r>
    <x v="821"/>
    <x v="0"/>
    <x v="3"/>
    <x v="6"/>
    <n v="3037"/>
    <s v="Srta. Gabriela Carvalho"/>
    <s v="465.807.923-29"/>
    <s v="465.807.923-29"/>
    <s v="Fortaleza"/>
    <x v="6"/>
    <m/>
    <n v="45667"/>
    <x v="24"/>
  </r>
  <r>
    <x v="822"/>
    <x v="0"/>
    <x v="2"/>
    <x v="4"/>
    <n v="3035"/>
    <s v="Murilo Caldeira"/>
    <s v="14760398287"/>
    <s v="147.603.982-87"/>
    <s v="Porto Alegre"/>
    <x v="4"/>
    <m/>
    <n v="45708"/>
    <x v="22"/>
  </r>
  <r>
    <x v="823"/>
    <x v="0"/>
    <x v="1"/>
    <x v="8"/>
    <n v="3039"/>
    <s v="Nicole Teixeira"/>
    <s v="16049732507"/>
    <s v="160.497.325-07"/>
    <s v="Recife"/>
    <x v="8"/>
    <s v="Sim"/>
    <n v="45681"/>
    <x v="34"/>
  </r>
  <r>
    <x v="824"/>
    <x v="1"/>
    <x v="3"/>
    <x v="2"/>
    <n v="3033"/>
    <s v="Dra. Marcela Barbosa"/>
    <s v="972.541.603-16"/>
    <s v="972.541.603-16"/>
    <s v="Tocantins"/>
    <x v="2"/>
    <s v="Sim"/>
    <n v="45739"/>
    <x v="7"/>
  </r>
  <r>
    <x v="825"/>
    <x v="1"/>
    <x v="2"/>
    <x v="6"/>
    <n v="3037"/>
    <s v="Luiz Gustavo Moraes"/>
    <s v="067.312.958-68"/>
    <s v="067.312.958-68"/>
    <s v="Fortaleza"/>
    <x v="6"/>
    <s v="Sim"/>
    <n v="45738"/>
    <x v="26"/>
  </r>
  <r>
    <x v="826"/>
    <x v="1"/>
    <x v="0"/>
    <x v="6"/>
    <n v="3037"/>
    <s v="Stella Costa"/>
    <s v="497.261.058-11"/>
    <s v="497.261.058-11"/>
    <s v="Fortaleza"/>
    <x v="6"/>
    <m/>
    <n v="45679"/>
    <x v="19"/>
  </r>
  <r>
    <x v="827"/>
    <x v="1"/>
    <x v="1"/>
    <x v="2"/>
    <n v="3033"/>
    <s v="Pedro Silva"/>
    <s v="078.926.315-77"/>
    <s v="078.926.315-77"/>
    <s v="Tocantins"/>
    <x v="2"/>
    <s v="Sim"/>
    <n v="45692"/>
    <x v="8"/>
  </r>
  <r>
    <x v="828"/>
    <x v="1"/>
    <x v="3"/>
    <x v="9"/>
    <n v="3040"/>
    <s v="Alexandre Monteiro"/>
    <s v="265.083.479-00"/>
    <s v="265.083.479-00"/>
    <s v="Jericoacara"/>
    <x v="6"/>
    <m/>
    <n v="45709"/>
    <x v="16"/>
  </r>
  <r>
    <x v="829"/>
    <x v="1"/>
    <x v="3"/>
    <x v="11"/>
    <n v="3042"/>
    <s v="Brenda Oliveira"/>
    <s v="17095263434"/>
    <s v="170.952.634-34"/>
    <s v="Santa Catarina"/>
    <x v="9"/>
    <m/>
    <n v="45694"/>
    <x v="10"/>
  </r>
  <r>
    <x v="830"/>
    <x v="1"/>
    <x v="1"/>
    <x v="6"/>
    <n v="3037"/>
    <s v="João Guilherme Pereira"/>
    <s v="28403516762"/>
    <s v="284.035.167-62"/>
    <s v="Fortaleza"/>
    <x v="6"/>
    <m/>
    <n v="45730"/>
    <x v="26"/>
  </r>
  <r>
    <x v="831"/>
    <x v="1"/>
    <x v="3"/>
    <x v="2"/>
    <n v="3033"/>
    <s v="Agatha Moraes"/>
    <s v="319.208.746-31"/>
    <s v="319.208.746-31"/>
    <s v="Tocantins"/>
    <x v="2"/>
    <m/>
    <n v="45745"/>
    <x v="6"/>
  </r>
  <r>
    <x v="832"/>
    <x v="0"/>
    <x v="2"/>
    <x v="1"/>
    <n v="3032"/>
    <s v="Davi Lucca da Paz"/>
    <s v="741.368.520-53"/>
    <s v="741.368.520-53"/>
    <s v="Belém"/>
    <x v="1"/>
    <s v="Sim"/>
    <n v="45689"/>
    <x v="23"/>
  </r>
  <r>
    <x v="833"/>
    <x v="0"/>
    <x v="3"/>
    <x v="11"/>
    <n v="3042"/>
    <s v="Lívia Nogueira"/>
    <s v="218.607.435-44"/>
    <s v="218.607.435-44"/>
    <s v="Santa Catarina"/>
    <x v="9"/>
    <m/>
    <n v="45732"/>
    <x v="24"/>
  </r>
  <r>
    <x v="834"/>
    <x v="0"/>
    <x v="2"/>
    <x v="10"/>
    <n v="3041"/>
    <s v="Eduarda Barros"/>
    <s v="560.382.417-44"/>
    <s v="560.382.417-44"/>
    <s v="Petrolina"/>
    <x v="8"/>
    <m/>
    <n v="45731"/>
    <x v="28"/>
  </r>
  <r>
    <x v="835"/>
    <x v="1"/>
    <x v="3"/>
    <x v="6"/>
    <n v="3037"/>
    <s v="Elisa da Costa"/>
    <s v="823.906.147-87"/>
    <s v="823.906.147-87"/>
    <s v="Fortaleza"/>
    <x v="6"/>
    <s v="Sim"/>
    <n v="45677"/>
    <x v="24"/>
  </r>
  <r>
    <x v="836"/>
    <x v="0"/>
    <x v="1"/>
    <x v="3"/>
    <n v="3034"/>
    <s v="Rafaela Cavalcanti"/>
    <s v="82364150906"/>
    <s v="823.641.509-06"/>
    <s v="Salvador"/>
    <x v="3"/>
    <m/>
    <n v="45696"/>
    <x v="5"/>
  </r>
  <r>
    <x v="837"/>
    <x v="1"/>
    <x v="0"/>
    <x v="0"/>
    <n v="3031"/>
    <s v="Guilherme da Mota"/>
    <s v="26041785911"/>
    <s v="260.417.859-11"/>
    <s v="Amazonas"/>
    <x v="0"/>
    <m/>
    <n v="45708"/>
    <x v="9"/>
  </r>
  <r>
    <x v="838"/>
    <x v="1"/>
    <x v="1"/>
    <x v="3"/>
    <n v="3034"/>
    <s v="Samuel Dias"/>
    <s v="35690472883"/>
    <s v="356.904.728-83"/>
    <s v="Salvador"/>
    <x v="3"/>
    <m/>
    <n v="45687"/>
    <x v="22"/>
  </r>
  <r>
    <x v="839"/>
    <x v="1"/>
    <x v="0"/>
    <x v="4"/>
    <n v="3035"/>
    <s v="Gabriel Moreira"/>
    <s v="45612079885"/>
    <s v="456.120.798-85"/>
    <s v="Porto Alegre"/>
    <x v="4"/>
    <m/>
    <n v="45663"/>
    <x v="4"/>
  </r>
  <r>
    <x v="840"/>
    <x v="0"/>
    <x v="2"/>
    <x v="3"/>
    <n v="3034"/>
    <s v="Sofia Martins"/>
    <s v="347.280.951-50"/>
    <s v="347.280.951-50"/>
    <s v="Salvador"/>
    <x v="3"/>
    <s v="Sim"/>
    <n v="45705"/>
    <x v="22"/>
  </r>
  <r>
    <x v="841"/>
    <x v="1"/>
    <x v="3"/>
    <x v="3"/>
    <n v="3034"/>
    <s v="Dr. Heitor Correia"/>
    <s v="102.765.489-49"/>
    <s v="102.765.489-49"/>
    <s v="Salvador"/>
    <x v="3"/>
    <m/>
    <n v="45678"/>
    <x v="22"/>
  </r>
  <r>
    <x v="842"/>
    <x v="0"/>
    <x v="0"/>
    <x v="0"/>
    <n v="3031"/>
    <s v="Joana Carvalho"/>
    <s v="12904758305"/>
    <s v="129.047.583-05"/>
    <s v="Amazonas"/>
    <x v="0"/>
    <s v="Sim"/>
    <n v="45667"/>
    <x v="0"/>
  </r>
  <r>
    <x v="843"/>
    <x v="1"/>
    <x v="3"/>
    <x v="7"/>
    <n v="3038"/>
    <s v="Marcelo Mendes"/>
    <s v="473.951.082-05"/>
    <s v="473.951.082-05"/>
    <s v="Natal"/>
    <x v="7"/>
    <m/>
    <n v="45698"/>
    <x v="31"/>
  </r>
  <r>
    <x v="844"/>
    <x v="0"/>
    <x v="1"/>
    <x v="5"/>
    <n v="3036"/>
    <s v="Raquel Fernandes"/>
    <s v="859.370.641-00"/>
    <s v="859.370.641-00"/>
    <s v="Porto Velho"/>
    <x v="5"/>
    <s v="Sim"/>
    <n v="45698"/>
    <x v="27"/>
  </r>
  <r>
    <x v="845"/>
    <x v="0"/>
    <x v="1"/>
    <x v="4"/>
    <n v="3035"/>
    <s v="Lívia Aragão"/>
    <s v="24970856338"/>
    <s v="249.708.563-38"/>
    <s v="Porto Alegre"/>
    <x v="4"/>
    <m/>
    <n v="45729"/>
    <x v="4"/>
  </r>
  <r>
    <x v="846"/>
    <x v="0"/>
    <x v="3"/>
    <x v="9"/>
    <n v="3040"/>
    <s v="Luna Teixeira"/>
    <s v="812.346.597-19"/>
    <s v="812.346.597-19"/>
    <s v="Jericoacara"/>
    <x v="6"/>
    <m/>
    <n v="45678"/>
    <x v="20"/>
  </r>
  <r>
    <x v="847"/>
    <x v="0"/>
    <x v="0"/>
    <x v="5"/>
    <n v="3036"/>
    <s v="Alexandre da Cruz"/>
    <s v="930.648.217-50"/>
    <s v="930.648.217-50"/>
    <s v="Porto Velho"/>
    <x v="5"/>
    <m/>
    <n v="45686"/>
    <x v="17"/>
  </r>
  <r>
    <x v="848"/>
    <x v="1"/>
    <x v="3"/>
    <x v="7"/>
    <n v="3038"/>
    <s v="Sra. Maria Clara Costa"/>
    <s v="230.419.768-03"/>
    <s v="230.419.768-03"/>
    <s v="Natal"/>
    <x v="7"/>
    <m/>
    <n v="45743"/>
    <x v="31"/>
  </r>
  <r>
    <x v="849"/>
    <x v="1"/>
    <x v="3"/>
    <x v="4"/>
    <n v="3035"/>
    <s v="Daniel Fogaça"/>
    <s v="03849527123"/>
    <s v="038.495.271-23"/>
    <s v="Porto Alegre"/>
    <x v="4"/>
    <m/>
    <n v="45689"/>
    <x v="8"/>
  </r>
  <r>
    <x v="850"/>
    <x v="0"/>
    <x v="2"/>
    <x v="4"/>
    <n v="3035"/>
    <s v="Thales Vieira"/>
    <s v="426.985.073-65"/>
    <s v="426.985.073-65"/>
    <s v="Porto Alegre"/>
    <x v="4"/>
    <m/>
    <n v="45737"/>
    <x v="8"/>
  </r>
  <r>
    <x v="851"/>
    <x v="1"/>
    <x v="0"/>
    <x v="0"/>
    <n v="3031"/>
    <s v="Sr. Thomas Freitas"/>
    <s v="240.856.791-20"/>
    <s v="240.856.791-20"/>
    <s v="Amazonas"/>
    <x v="0"/>
    <s v="Sim"/>
    <n v="45721"/>
    <x v="13"/>
  </r>
  <r>
    <x v="852"/>
    <x v="0"/>
    <x v="2"/>
    <x v="11"/>
    <n v="3042"/>
    <s v="Pedro Lucas Vieira"/>
    <s v="37926180440"/>
    <s v="379.261.804-40"/>
    <s v="Santa Catarina"/>
    <x v="9"/>
    <m/>
    <n v="45680"/>
    <x v="37"/>
  </r>
  <r>
    <x v="853"/>
    <x v="0"/>
    <x v="0"/>
    <x v="8"/>
    <n v="3039"/>
    <s v="Dra. Larissa Moura"/>
    <s v="27138650930"/>
    <s v="271.386.509-30"/>
    <s v="Recife"/>
    <x v="8"/>
    <s v="Sim"/>
    <n v="45713"/>
    <x v="42"/>
  </r>
  <r>
    <x v="854"/>
    <x v="1"/>
    <x v="0"/>
    <x v="1"/>
    <n v="3032"/>
    <s v="Sabrina da Mata"/>
    <s v="409.163.582-24"/>
    <s v="409.163.582-24"/>
    <s v="Belém"/>
    <x v="1"/>
    <s v="Sim"/>
    <n v="45664"/>
    <x v="47"/>
  </r>
  <r>
    <x v="855"/>
    <x v="1"/>
    <x v="0"/>
    <x v="11"/>
    <n v="3042"/>
    <s v="Elisa Ramos"/>
    <s v="61250498767"/>
    <s v="612.504.987-67"/>
    <s v="Santa Catarina"/>
    <x v="9"/>
    <m/>
    <n v="45660"/>
    <x v="32"/>
  </r>
  <r>
    <x v="856"/>
    <x v="1"/>
    <x v="3"/>
    <x v="7"/>
    <n v="3038"/>
    <s v="André Barbosa"/>
    <s v="231.974.086-40"/>
    <s v="231.974.086-40"/>
    <s v="Natal"/>
    <x v="7"/>
    <s v="Sim"/>
    <n v="45710"/>
    <x v="34"/>
  </r>
  <r>
    <x v="857"/>
    <x v="1"/>
    <x v="2"/>
    <x v="4"/>
    <n v="3035"/>
    <s v="Sra. Rafaela Cardoso"/>
    <s v="327.649.158-37"/>
    <s v="327.649.158-37"/>
    <s v="Porto Alegre"/>
    <x v="4"/>
    <s v="Sim"/>
    <n v="45704"/>
    <x v="4"/>
  </r>
  <r>
    <x v="858"/>
    <x v="0"/>
    <x v="1"/>
    <x v="6"/>
    <n v="3037"/>
    <s v="Felipe Caldeira"/>
    <s v="841.065.297-85"/>
    <s v="841.065.297-85"/>
    <s v="Fortaleza"/>
    <x v="6"/>
    <m/>
    <n v="45671"/>
    <x v="26"/>
  </r>
  <r>
    <x v="859"/>
    <x v="1"/>
    <x v="2"/>
    <x v="2"/>
    <n v="3033"/>
    <s v="Enzo Gabriel Araújo"/>
    <s v="368.125.749-37"/>
    <s v="368.125.749-37"/>
    <s v="Tocantins"/>
    <x v="2"/>
    <m/>
    <n v="45724"/>
    <x v="8"/>
  </r>
  <r>
    <x v="860"/>
    <x v="1"/>
    <x v="2"/>
    <x v="7"/>
    <n v="3038"/>
    <s v="Srta. Luiza da Cunha"/>
    <s v="139.260.547-43"/>
    <s v="139.260.547-43"/>
    <s v="Natal"/>
    <x v="7"/>
    <m/>
    <n v="45666"/>
    <x v="12"/>
  </r>
  <r>
    <x v="861"/>
    <x v="1"/>
    <x v="3"/>
    <x v="7"/>
    <n v="3038"/>
    <s v="Otávio da Costa"/>
    <s v="265.413.798-82"/>
    <s v="265.413.798-82"/>
    <s v="Natal"/>
    <x v="7"/>
    <m/>
    <n v="45718"/>
    <x v="31"/>
  </r>
  <r>
    <x v="862"/>
    <x v="1"/>
    <x v="3"/>
    <x v="1"/>
    <n v="3032"/>
    <s v="João Felipe Cavalcanti"/>
    <s v="47528093629"/>
    <s v="475.280.936-29"/>
    <s v="Belém"/>
    <x v="1"/>
    <s v="Sim"/>
    <n v="45689"/>
    <x v="15"/>
  </r>
  <r>
    <x v="863"/>
    <x v="0"/>
    <x v="0"/>
    <x v="1"/>
    <n v="3032"/>
    <s v="João Pedro Porto"/>
    <s v="71843290588"/>
    <s v="718.432.905-88"/>
    <s v="Belém"/>
    <x v="1"/>
    <m/>
    <n v="45670"/>
    <x v="23"/>
  </r>
  <r>
    <x v="864"/>
    <x v="1"/>
    <x v="1"/>
    <x v="10"/>
    <n v="3041"/>
    <s v="Vitor Nogueira"/>
    <s v="59736820483"/>
    <s v="597.368.204-83"/>
    <s v="Petrolina"/>
    <x v="8"/>
    <s v="Sim"/>
    <n v="45695"/>
    <x v="32"/>
  </r>
  <r>
    <x v="865"/>
    <x v="0"/>
    <x v="1"/>
    <x v="3"/>
    <n v="3034"/>
    <s v="Maria Clara Sales"/>
    <s v="897.461.305-01"/>
    <s v="897.461.305-01"/>
    <s v="Salvador"/>
    <x v="3"/>
    <m/>
    <n v="45709"/>
    <x v="23"/>
  </r>
  <r>
    <x v="866"/>
    <x v="0"/>
    <x v="2"/>
    <x v="4"/>
    <n v="3035"/>
    <s v="Stephany das Neves"/>
    <s v="135.096.287-21"/>
    <s v="135.096.287-21"/>
    <s v="Porto Alegre"/>
    <x v="4"/>
    <s v="Sim"/>
    <n v="45670"/>
    <x v="22"/>
  </r>
  <r>
    <x v="867"/>
    <x v="1"/>
    <x v="1"/>
    <x v="4"/>
    <n v="3035"/>
    <s v="Benício Monteiro"/>
    <s v="524.317.608-71"/>
    <s v="524.317.608-71"/>
    <s v="Porto Alegre"/>
    <x v="4"/>
    <s v="Sim"/>
    <n v="45738"/>
    <x v="8"/>
  </r>
  <r>
    <x v="868"/>
    <x v="1"/>
    <x v="1"/>
    <x v="7"/>
    <n v="3038"/>
    <s v="Benício Cunha"/>
    <s v="12650387408"/>
    <s v="126.503.874-08"/>
    <s v="Natal"/>
    <x v="7"/>
    <m/>
    <n v="45722"/>
    <x v="34"/>
  </r>
  <r>
    <x v="869"/>
    <x v="0"/>
    <x v="0"/>
    <x v="1"/>
    <n v="3032"/>
    <s v="Ana Julia Rocha"/>
    <s v="920.186.735-21"/>
    <s v="920.186.735-21"/>
    <s v="Belém"/>
    <x v="1"/>
    <m/>
    <n v="45659"/>
    <x v="44"/>
  </r>
  <r>
    <x v="870"/>
    <x v="1"/>
    <x v="0"/>
    <x v="1"/>
    <n v="3032"/>
    <s v="Kamilly da Costa"/>
    <s v="27954831655"/>
    <s v="279.548.316-55"/>
    <s v="Belém"/>
    <x v="1"/>
    <m/>
    <n v="45701"/>
    <x v="44"/>
  </r>
  <r>
    <x v="871"/>
    <x v="1"/>
    <x v="2"/>
    <x v="2"/>
    <n v="3033"/>
    <s v="Olivia Alves"/>
    <s v="412.056.879-20"/>
    <s v="412.056.879-20"/>
    <s v="Tocantins"/>
    <x v="2"/>
    <m/>
    <n v="45659"/>
    <x v="6"/>
  </r>
  <r>
    <x v="872"/>
    <x v="0"/>
    <x v="0"/>
    <x v="11"/>
    <n v="3042"/>
    <s v="Lara Ramos"/>
    <s v="849.513.670-84"/>
    <s v="849.513.670-84"/>
    <s v="Santa Catarina"/>
    <x v="9"/>
    <s v="Sim"/>
    <n v="45708"/>
    <x v="32"/>
  </r>
  <r>
    <x v="873"/>
    <x v="0"/>
    <x v="1"/>
    <x v="0"/>
    <n v="3031"/>
    <s v="Ana da Rosa"/>
    <s v="603.714.825-26"/>
    <s v="603.714.825-26"/>
    <s v="Amazonas"/>
    <x v="0"/>
    <s v="Sim"/>
    <n v="45704"/>
    <x v="5"/>
  </r>
  <r>
    <x v="874"/>
    <x v="0"/>
    <x v="2"/>
    <x v="1"/>
    <n v="3032"/>
    <s v="Dr. João Miguel da Cunha"/>
    <s v="056.129.437-25"/>
    <s v="056.129.437-25"/>
    <s v="Belém"/>
    <x v="1"/>
    <m/>
    <n v="45716"/>
    <x v="44"/>
  </r>
  <r>
    <x v="875"/>
    <x v="0"/>
    <x v="0"/>
    <x v="4"/>
    <n v="3035"/>
    <s v="Sr. Erick Gomes"/>
    <s v="281.074.653-26"/>
    <s v="281.074.653-26"/>
    <s v="Porto Alegre"/>
    <x v="4"/>
    <m/>
    <n v="45711"/>
    <x v="4"/>
  </r>
  <r>
    <x v="876"/>
    <x v="0"/>
    <x v="2"/>
    <x v="10"/>
    <n v="3041"/>
    <s v="Pedro Miguel Azevedo"/>
    <s v="341.860.952-05"/>
    <s v="341.860.952-05"/>
    <s v="Petrolina"/>
    <x v="8"/>
    <m/>
    <n v="45688"/>
    <x v="23"/>
  </r>
  <r>
    <x v="877"/>
    <x v="0"/>
    <x v="0"/>
    <x v="3"/>
    <n v="3034"/>
    <s v="Henrique Alves"/>
    <s v="546.812.379-73"/>
    <s v="546.812.379-73"/>
    <s v="Salvador"/>
    <x v="3"/>
    <m/>
    <n v="45670"/>
    <x v="5"/>
  </r>
  <r>
    <x v="878"/>
    <x v="0"/>
    <x v="0"/>
    <x v="2"/>
    <n v="3033"/>
    <s v="Dra. Ana Luiza Melo"/>
    <s v="681.470.359-93"/>
    <s v="681.470.359-93"/>
    <s v="Tocantins"/>
    <x v="2"/>
    <m/>
    <n v="45686"/>
    <x v="7"/>
  </r>
  <r>
    <x v="879"/>
    <x v="0"/>
    <x v="3"/>
    <x v="5"/>
    <n v="3036"/>
    <s v="Davi Lucas Rezende"/>
    <s v="19385642782"/>
    <s v="193.856.427-82"/>
    <s v="Porto Velho"/>
    <x v="5"/>
    <s v="Sim"/>
    <n v="45701"/>
    <x v="17"/>
  </r>
  <r>
    <x v="880"/>
    <x v="0"/>
    <x v="1"/>
    <x v="5"/>
    <n v="3036"/>
    <s v="Joaquim Gonçalves"/>
    <s v="56098317259"/>
    <s v="560.983.172-59"/>
    <s v="Porto Velho"/>
    <x v="5"/>
    <m/>
    <n v="45672"/>
    <x v="9"/>
  </r>
  <r>
    <x v="881"/>
    <x v="0"/>
    <x v="2"/>
    <x v="5"/>
    <n v="3036"/>
    <s v="Marina Sales"/>
    <s v="102.674.893-31"/>
    <s v="102.674.893-31"/>
    <s v="Porto Velho"/>
    <x v="5"/>
    <m/>
    <n v="45702"/>
    <x v="27"/>
  </r>
  <r>
    <x v="882"/>
    <x v="1"/>
    <x v="2"/>
    <x v="5"/>
    <n v="3036"/>
    <s v="Sr. Gustavo da Cruz"/>
    <s v="14520796334"/>
    <s v="145.207.963-34"/>
    <s v="Porto Velho"/>
    <x v="5"/>
    <m/>
    <n v="45683"/>
    <x v="13"/>
  </r>
  <r>
    <x v="883"/>
    <x v="1"/>
    <x v="0"/>
    <x v="0"/>
    <n v="3031"/>
    <s v="Eloah Pires"/>
    <s v="21709538686"/>
    <s v="217.095.386-86"/>
    <s v="Amazonas"/>
    <x v="0"/>
    <m/>
    <n v="45700"/>
    <x v="0"/>
  </r>
  <r>
    <x v="884"/>
    <x v="0"/>
    <x v="1"/>
    <x v="2"/>
    <n v="3033"/>
    <s v="Dr. João Lucas Cardoso"/>
    <s v="68725049356"/>
    <s v="687.250.493-56"/>
    <s v="Tocantins"/>
    <x v="2"/>
    <s v="Sim"/>
    <n v="45725"/>
    <x v="7"/>
  </r>
  <r>
    <x v="885"/>
    <x v="1"/>
    <x v="0"/>
    <x v="6"/>
    <n v="3037"/>
    <s v="Alana da Costa"/>
    <s v="14698305748"/>
    <s v="146.983.057-48"/>
    <s v="Fortaleza"/>
    <x v="6"/>
    <m/>
    <n v="45742"/>
    <x v="24"/>
  </r>
  <r>
    <x v="886"/>
    <x v="0"/>
    <x v="3"/>
    <x v="8"/>
    <n v="3039"/>
    <s v="Natália Carvalho"/>
    <s v="578.943.062-74"/>
    <s v="578.943.062-74"/>
    <s v="Recife"/>
    <x v="8"/>
    <m/>
    <n v="45729"/>
    <x v="16"/>
  </r>
  <r>
    <x v="887"/>
    <x v="0"/>
    <x v="0"/>
    <x v="1"/>
    <n v="3032"/>
    <s v="João Vitor Pinto"/>
    <s v="365.027.981-95"/>
    <s v="365.027.981-95"/>
    <s v="Belém"/>
    <x v="1"/>
    <m/>
    <n v="45669"/>
    <x v="41"/>
  </r>
  <r>
    <x v="888"/>
    <x v="1"/>
    <x v="2"/>
    <x v="10"/>
    <n v="3041"/>
    <s v="Lorenzo Azevedo"/>
    <s v="827.156.930-95"/>
    <s v="827.156.930-95"/>
    <s v="Petrolina"/>
    <x v="8"/>
    <s v="Sim"/>
    <n v="45716"/>
    <x v="35"/>
  </r>
  <r>
    <x v="889"/>
    <x v="0"/>
    <x v="3"/>
    <x v="11"/>
    <n v="3042"/>
    <s v="Ana Carolina Moreira"/>
    <s v="673.019.852-40"/>
    <s v="673.019.852-40"/>
    <s v="Santa Catarina"/>
    <x v="9"/>
    <m/>
    <n v="45719"/>
    <x v="24"/>
  </r>
  <r>
    <x v="890"/>
    <x v="0"/>
    <x v="0"/>
    <x v="8"/>
    <n v="3039"/>
    <s v="Bruno da Conceição"/>
    <s v="146.023.857-53"/>
    <s v="146.023.857-53"/>
    <s v="Recife"/>
    <x v="8"/>
    <m/>
    <n v="45723"/>
    <x v="48"/>
  </r>
  <r>
    <x v="891"/>
    <x v="1"/>
    <x v="0"/>
    <x v="5"/>
    <n v="3036"/>
    <s v="Diego Barros"/>
    <s v="165.829.437-82"/>
    <s v="165.829.437-82"/>
    <s v="Porto Velho"/>
    <x v="5"/>
    <m/>
    <n v="45704"/>
    <x v="9"/>
  </r>
  <r>
    <x v="892"/>
    <x v="1"/>
    <x v="2"/>
    <x v="4"/>
    <n v="3035"/>
    <s v="Maria Alice da Cruz"/>
    <s v="659.704.182-85"/>
    <s v="659.704.182-85"/>
    <s v="Porto Alegre"/>
    <x v="4"/>
    <s v="Sim"/>
    <n v="45689"/>
    <x v="4"/>
  </r>
  <r>
    <x v="893"/>
    <x v="0"/>
    <x v="3"/>
    <x v="2"/>
    <n v="3033"/>
    <s v="Sabrina Lopes"/>
    <s v="027.138.946-03"/>
    <s v="027.138.946-03"/>
    <s v="Tocantins"/>
    <x v="2"/>
    <s v="Sim"/>
    <n v="45683"/>
    <x v="6"/>
  </r>
  <r>
    <x v="894"/>
    <x v="0"/>
    <x v="1"/>
    <x v="11"/>
    <n v="3042"/>
    <s v="Rebeca Almeida"/>
    <s v="729.540.638-74"/>
    <s v="729.540.638-74"/>
    <s v="Santa Catarina"/>
    <x v="9"/>
    <m/>
    <n v="45698"/>
    <x v="39"/>
  </r>
  <r>
    <x v="895"/>
    <x v="0"/>
    <x v="3"/>
    <x v="0"/>
    <n v="3031"/>
    <s v="Dra. Stephany da Cunha"/>
    <s v="963.215.048-15"/>
    <s v="963.215.048-15"/>
    <s v="Amazonas"/>
    <x v="0"/>
    <m/>
    <n v="45659"/>
    <x v="26"/>
  </r>
  <r>
    <x v="896"/>
    <x v="1"/>
    <x v="1"/>
    <x v="8"/>
    <n v="3039"/>
    <s v="Henrique Santos"/>
    <s v="17836245900"/>
    <s v="178.362.459-00"/>
    <s v="Recife"/>
    <x v="8"/>
    <m/>
    <n v="45708"/>
    <x v="16"/>
  </r>
  <r>
    <x v="897"/>
    <x v="0"/>
    <x v="1"/>
    <x v="3"/>
    <n v="3034"/>
    <s v="Sr. Davi Ramos"/>
    <s v="652.491.387-64"/>
    <s v="652.491.387-64"/>
    <s v="Salvador"/>
    <x v="3"/>
    <s v="Sim"/>
    <n v="45740"/>
    <x v="5"/>
  </r>
  <r>
    <x v="898"/>
    <x v="0"/>
    <x v="3"/>
    <x v="4"/>
    <n v="3035"/>
    <s v="Olivia Pinto"/>
    <s v="41860592767"/>
    <s v="418.605.927-67"/>
    <s v="Porto Alegre"/>
    <x v="4"/>
    <s v="Sim"/>
    <n v="45668"/>
    <x v="40"/>
  </r>
  <r>
    <x v="899"/>
    <x v="1"/>
    <x v="3"/>
    <x v="10"/>
    <n v="3041"/>
    <s v="Sofia Viana"/>
    <s v="17052398460"/>
    <s v="170.523.984-60"/>
    <s v="Petrolina"/>
    <x v="8"/>
    <m/>
    <n v="45711"/>
    <x v="13"/>
  </r>
  <r>
    <x v="900"/>
    <x v="1"/>
    <x v="3"/>
    <x v="9"/>
    <n v="3040"/>
    <s v="Ana Sophia da Paz"/>
    <s v="715.639.408-84"/>
    <s v="715.639.408-84"/>
    <s v="Jericoacara"/>
    <x v="6"/>
    <m/>
    <n v="45733"/>
    <x v="45"/>
  </r>
  <r>
    <x v="901"/>
    <x v="0"/>
    <x v="3"/>
    <x v="1"/>
    <n v="3032"/>
    <s v="Luiz Fernando Gomes"/>
    <s v="498.631.075-57"/>
    <s v="498.631.075-57"/>
    <s v="Belém"/>
    <x v="1"/>
    <m/>
    <n v="45659"/>
    <x v="44"/>
  </r>
  <r>
    <x v="902"/>
    <x v="1"/>
    <x v="2"/>
    <x v="0"/>
    <n v="3031"/>
    <s v="Davi Lucas Moura"/>
    <s v="85914362709"/>
    <s v="859.143.627-09"/>
    <s v="Amazonas"/>
    <x v="0"/>
    <m/>
    <n v="45676"/>
    <x v="26"/>
  </r>
  <r>
    <x v="903"/>
    <x v="1"/>
    <x v="0"/>
    <x v="2"/>
    <n v="3033"/>
    <s v="Melissa Novaes"/>
    <s v="062.531.849-89"/>
    <s v="062.531.849-89"/>
    <s v="Tocantins"/>
    <x v="2"/>
    <m/>
    <n v="45700"/>
    <x v="8"/>
  </r>
  <r>
    <x v="904"/>
    <x v="1"/>
    <x v="2"/>
    <x v="3"/>
    <n v="3034"/>
    <s v="Caio Costela"/>
    <s v="816.752.930-40"/>
    <s v="816.752.930-40"/>
    <s v="Salvador"/>
    <x v="3"/>
    <s v="Sim"/>
    <n v="45667"/>
    <x v="23"/>
  </r>
  <r>
    <x v="905"/>
    <x v="0"/>
    <x v="2"/>
    <x v="8"/>
    <n v="3039"/>
    <s v="Antônio Pinto"/>
    <s v="02945678101"/>
    <s v="029.456.781-01"/>
    <s v="Recife"/>
    <x v="8"/>
    <s v="Sim"/>
    <n v="45660"/>
    <x v="14"/>
  </r>
  <r>
    <x v="906"/>
    <x v="0"/>
    <x v="0"/>
    <x v="8"/>
    <n v="3039"/>
    <s v="Dra. Ana Ramos"/>
    <s v="523.918.640-51"/>
    <s v="523.918.640-51"/>
    <s v="Recife"/>
    <x v="8"/>
    <m/>
    <n v="45728"/>
    <x v="33"/>
  </r>
  <r>
    <x v="907"/>
    <x v="1"/>
    <x v="3"/>
    <x v="9"/>
    <n v="3040"/>
    <s v="Stella Ferreira"/>
    <s v="04175983600"/>
    <s v="041.759.836-00"/>
    <s v="Jericoacara"/>
    <x v="6"/>
    <s v="Sim"/>
    <n v="45715"/>
    <x v="24"/>
  </r>
  <r>
    <x v="908"/>
    <x v="0"/>
    <x v="2"/>
    <x v="1"/>
    <n v="3032"/>
    <s v="Calebe da Conceição"/>
    <s v="49206375199"/>
    <s v="492.063.751-99"/>
    <s v="Belém"/>
    <x v="1"/>
    <s v="Sim"/>
    <n v="45667"/>
    <x v="44"/>
  </r>
  <r>
    <x v="909"/>
    <x v="0"/>
    <x v="2"/>
    <x v="7"/>
    <n v="3038"/>
    <s v="Vitória Aragão"/>
    <s v="617.508.342-35"/>
    <s v="617.508.342-35"/>
    <s v="Natal"/>
    <x v="7"/>
    <m/>
    <n v="45719"/>
    <x v="43"/>
  </r>
  <r>
    <x v="910"/>
    <x v="0"/>
    <x v="2"/>
    <x v="2"/>
    <n v="3033"/>
    <s v="Bruna da Mata"/>
    <s v="402.596.831-24"/>
    <s v="402.596.831-24"/>
    <s v="Tocantins"/>
    <x v="2"/>
    <m/>
    <n v="45691"/>
    <x v="7"/>
  </r>
  <r>
    <x v="911"/>
    <x v="0"/>
    <x v="1"/>
    <x v="7"/>
    <n v="3038"/>
    <s v="Mariana Viana"/>
    <s v="024.917.683-13"/>
    <s v="024.917.683-13"/>
    <s v="Natal"/>
    <x v="7"/>
    <m/>
    <n v="45708"/>
    <x v="31"/>
  </r>
  <r>
    <x v="912"/>
    <x v="1"/>
    <x v="2"/>
    <x v="10"/>
    <n v="3041"/>
    <s v="Sophie da Costa"/>
    <s v="35170268408"/>
    <s v="351.702.684-08"/>
    <s v="Petrolina"/>
    <x v="8"/>
    <s v="Sim"/>
    <n v="45728"/>
    <x v="42"/>
  </r>
  <r>
    <x v="913"/>
    <x v="1"/>
    <x v="0"/>
    <x v="6"/>
    <n v="3037"/>
    <s v="Srta. Emanuelly Freitas"/>
    <s v="731.254.698-64"/>
    <s v="731.254.698-64"/>
    <s v="Fortaleza"/>
    <x v="6"/>
    <s v="Sim"/>
    <n v="45700"/>
    <x v="5"/>
  </r>
  <r>
    <x v="914"/>
    <x v="0"/>
    <x v="0"/>
    <x v="6"/>
    <n v="3037"/>
    <s v="Juliana da Mota"/>
    <s v="423.568.701-80"/>
    <s v="423.568.701-80"/>
    <s v="Fortaleza"/>
    <x v="6"/>
    <s v="Sim"/>
    <n v="45674"/>
    <x v="5"/>
  </r>
  <r>
    <x v="915"/>
    <x v="0"/>
    <x v="1"/>
    <x v="1"/>
    <n v="3032"/>
    <s v="Thiago Rodrigues"/>
    <s v="67945283047"/>
    <s v="679.452.830-47"/>
    <s v="Belém"/>
    <x v="1"/>
    <m/>
    <n v="45716"/>
    <x v="47"/>
  </r>
  <r>
    <x v="916"/>
    <x v="0"/>
    <x v="0"/>
    <x v="5"/>
    <n v="3036"/>
    <s v="Lara da Paz"/>
    <s v="958.703.164-48"/>
    <s v="958.703.164-48"/>
    <s v="Porto Velho"/>
    <x v="5"/>
    <s v="Sim"/>
    <n v="45714"/>
    <x v="3"/>
  </r>
  <r>
    <x v="917"/>
    <x v="1"/>
    <x v="3"/>
    <x v="1"/>
    <n v="3032"/>
    <s v="Evelyn Souza"/>
    <s v="56071238986"/>
    <s v="560.712.389-86"/>
    <s v="Belém"/>
    <x v="1"/>
    <s v="Sim"/>
    <n v="45681"/>
    <x v="7"/>
  </r>
  <r>
    <x v="918"/>
    <x v="0"/>
    <x v="3"/>
    <x v="6"/>
    <n v="3037"/>
    <s v="Enrico Moura"/>
    <s v="52906874167"/>
    <s v="529.068.741-67"/>
    <s v="Fortaleza"/>
    <x v="6"/>
    <s v="Sim"/>
    <n v="45678"/>
    <x v="24"/>
  </r>
  <r>
    <x v="919"/>
    <x v="0"/>
    <x v="2"/>
    <x v="6"/>
    <n v="3037"/>
    <s v="Maria Fernanda Martins"/>
    <s v="38192475050"/>
    <s v="381.924.750-50"/>
    <s v="Fortaleza"/>
    <x v="6"/>
    <s v="Sim"/>
    <n v="45667"/>
    <x v="26"/>
  </r>
  <r>
    <x v="920"/>
    <x v="0"/>
    <x v="0"/>
    <x v="4"/>
    <n v="3035"/>
    <s v="Emilly Cardoso"/>
    <s v="96827140369"/>
    <s v="968.271.403-69"/>
    <s v="Porto Alegre"/>
    <x v="4"/>
    <s v="Sim"/>
    <n v="45706"/>
    <x v="4"/>
  </r>
  <r>
    <x v="921"/>
    <x v="0"/>
    <x v="0"/>
    <x v="4"/>
    <n v="3035"/>
    <s v="Guilherme Peixoto"/>
    <s v="19784230550"/>
    <s v="197.842.305-50"/>
    <s v="Porto Alegre"/>
    <x v="4"/>
    <m/>
    <n v="45685"/>
    <x v="22"/>
  </r>
  <r>
    <x v="922"/>
    <x v="1"/>
    <x v="0"/>
    <x v="6"/>
    <n v="3037"/>
    <s v="Pedro Almeida"/>
    <s v="742.630.815-44"/>
    <s v="742.630.815-44"/>
    <s v="Fortaleza"/>
    <x v="6"/>
    <s v="Sim"/>
    <n v="45664"/>
    <x v="26"/>
  </r>
  <r>
    <x v="923"/>
    <x v="1"/>
    <x v="0"/>
    <x v="2"/>
    <n v="3033"/>
    <s v="Ana Luiza Peixoto"/>
    <s v="495.623.071-07"/>
    <s v="495.623.071-07"/>
    <s v="Tocantins"/>
    <x v="2"/>
    <s v="Sim"/>
    <n v="45705"/>
    <x v="6"/>
  </r>
  <r>
    <x v="924"/>
    <x v="0"/>
    <x v="2"/>
    <x v="6"/>
    <n v="3037"/>
    <s v="Ana Beatriz Novaes"/>
    <s v="478.650.239-10"/>
    <s v="478.650.239-10"/>
    <s v="Fortaleza"/>
    <x v="6"/>
    <m/>
    <n v="45660"/>
    <x v="10"/>
  </r>
  <r>
    <x v="925"/>
    <x v="1"/>
    <x v="0"/>
    <x v="1"/>
    <n v="3032"/>
    <s v="Benjamin Alves"/>
    <s v="21567380921"/>
    <s v="215.673.809-21"/>
    <s v="Belém"/>
    <x v="1"/>
    <s v="Sim"/>
    <n v="45676"/>
    <x v="38"/>
  </r>
  <r>
    <x v="926"/>
    <x v="1"/>
    <x v="3"/>
    <x v="5"/>
    <n v="3036"/>
    <s v="Sra. Maria Alice Almeida"/>
    <s v="049.762.518-02"/>
    <s v="049.762.518-02"/>
    <s v="Porto Velho"/>
    <x v="5"/>
    <m/>
    <n v="45724"/>
    <x v="3"/>
  </r>
  <r>
    <x v="927"/>
    <x v="0"/>
    <x v="2"/>
    <x v="1"/>
    <n v="3032"/>
    <s v="Vitória Nascimento"/>
    <s v="428.930.156-89"/>
    <s v="428.930.156-89"/>
    <s v="Belém"/>
    <x v="1"/>
    <m/>
    <n v="45731"/>
    <x v="7"/>
  </r>
  <r>
    <x v="928"/>
    <x v="1"/>
    <x v="2"/>
    <x v="5"/>
    <n v="3036"/>
    <s v="Júlia Porto"/>
    <s v="183.475.296-55"/>
    <s v="183.475.296-55"/>
    <s v="Porto Velho"/>
    <x v="5"/>
    <m/>
    <n v="45679"/>
    <x v="9"/>
  </r>
  <r>
    <x v="929"/>
    <x v="1"/>
    <x v="2"/>
    <x v="6"/>
    <n v="3037"/>
    <s v="Francisco Gonçalves"/>
    <s v="153.869.074-84"/>
    <s v="153.869.074-84"/>
    <s v="Fortaleza"/>
    <x v="6"/>
    <m/>
    <n v="45663"/>
    <x v="24"/>
  </r>
  <r>
    <x v="930"/>
    <x v="1"/>
    <x v="0"/>
    <x v="2"/>
    <n v="3033"/>
    <s v="André da Rosa"/>
    <s v="76390214804"/>
    <s v="763.902.148-04"/>
    <s v="Tocantins"/>
    <x v="2"/>
    <m/>
    <n v="45731"/>
    <x v="6"/>
  </r>
  <r>
    <x v="931"/>
    <x v="0"/>
    <x v="2"/>
    <x v="5"/>
    <n v="3036"/>
    <s v="Thales Ramos"/>
    <s v="28176935077"/>
    <s v="281.769.350-77"/>
    <s v="Porto Velho"/>
    <x v="5"/>
    <m/>
    <n v="45733"/>
    <x v="9"/>
  </r>
  <r>
    <x v="932"/>
    <x v="1"/>
    <x v="2"/>
    <x v="2"/>
    <n v="3033"/>
    <s v="Caroline Campos"/>
    <s v="46257903106"/>
    <s v="462.579.031-06"/>
    <s v="Tocantins"/>
    <x v="2"/>
    <m/>
    <n v="45743"/>
    <x v="8"/>
  </r>
  <r>
    <x v="933"/>
    <x v="0"/>
    <x v="3"/>
    <x v="10"/>
    <n v="3041"/>
    <s v="Vinicius Correia"/>
    <s v="30712895612"/>
    <s v="307.128.956-12"/>
    <s v="Petrolina"/>
    <x v="8"/>
    <m/>
    <n v="45692"/>
    <x v="35"/>
  </r>
  <r>
    <x v="934"/>
    <x v="0"/>
    <x v="2"/>
    <x v="9"/>
    <n v="3040"/>
    <s v="Cauã Vieira"/>
    <s v="156.973.428-37"/>
    <s v="156.973.428-37"/>
    <s v="Jericoacara"/>
    <x v="6"/>
    <s v="Sim"/>
    <n v="45663"/>
    <x v="16"/>
  </r>
  <r>
    <x v="935"/>
    <x v="1"/>
    <x v="3"/>
    <x v="1"/>
    <n v="3032"/>
    <s v="Emanuelly Moura"/>
    <s v="10653928424"/>
    <s v="106.539.284-24"/>
    <s v="Belém"/>
    <x v="1"/>
    <m/>
    <n v="45675"/>
    <x v="18"/>
  </r>
  <r>
    <x v="936"/>
    <x v="1"/>
    <x v="3"/>
    <x v="11"/>
    <n v="3042"/>
    <s v="Emilly Souza"/>
    <s v="97605814267"/>
    <s v="976.058.142-67"/>
    <s v="Santa Catarina"/>
    <x v="9"/>
    <m/>
    <n v="45669"/>
    <x v="10"/>
  </r>
  <r>
    <x v="937"/>
    <x v="1"/>
    <x v="3"/>
    <x v="6"/>
    <n v="3037"/>
    <s v="Arthur Fogaça"/>
    <s v="31827495600"/>
    <s v="318.274.956-00"/>
    <s v="Fortaleza"/>
    <x v="6"/>
    <s v="Sim"/>
    <n v="45667"/>
    <x v="10"/>
  </r>
  <r>
    <x v="938"/>
    <x v="1"/>
    <x v="2"/>
    <x v="11"/>
    <n v="3042"/>
    <s v="Thomas Fogaça"/>
    <s v="732.619.485-82"/>
    <s v="732.619.485-82"/>
    <s v="Santa Catarina"/>
    <x v="9"/>
    <s v="Sim"/>
    <n v="45729"/>
    <x v="37"/>
  </r>
  <r>
    <x v="939"/>
    <x v="1"/>
    <x v="1"/>
    <x v="0"/>
    <n v="3031"/>
    <s v="Caio da Mata"/>
    <s v="874.651.930-01"/>
    <s v="874.651.930-01"/>
    <s v="Amazonas"/>
    <x v="0"/>
    <m/>
    <n v="45674"/>
    <x v="5"/>
  </r>
  <r>
    <x v="940"/>
    <x v="1"/>
    <x v="1"/>
    <x v="4"/>
    <n v="3035"/>
    <s v="Isaac Ramos"/>
    <s v="20739816403"/>
    <s v="207.398.164-03"/>
    <s v="Porto Alegre"/>
    <x v="4"/>
    <m/>
    <n v="45674"/>
    <x v="8"/>
  </r>
  <r>
    <x v="941"/>
    <x v="0"/>
    <x v="3"/>
    <x v="5"/>
    <n v="3036"/>
    <s v="Sophie Alves"/>
    <s v="957.403.168-39"/>
    <s v="957.403.168-39"/>
    <s v="Porto Velho"/>
    <x v="5"/>
    <s v="Sim"/>
    <n v="45662"/>
    <x v="3"/>
  </r>
  <r>
    <x v="942"/>
    <x v="0"/>
    <x v="0"/>
    <x v="5"/>
    <n v="3036"/>
    <s v="Miguel Gonçalves"/>
    <s v="38261045790"/>
    <s v="382.610.457-90"/>
    <s v="Porto Velho"/>
    <x v="5"/>
    <s v="Sim"/>
    <n v="45701"/>
    <x v="9"/>
  </r>
  <r>
    <x v="943"/>
    <x v="0"/>
    <x v="2"/>
    <x v="10"/>
    <n v="3041"/>
    <s v="Sarah Monteiro"/>
    <s v="84726301535"/>
    <s v="847.263.015-35"/>
    <s v="Petrolina"/>
    <x v="8"/>
    <m/>
    <n v="45726"/>
    <x v="23"/>
  </r>
  <r>
    <x v="944"/>
    <x v="0"/>
    <x v="0"/>
    <x v="6"/>
    <n v="3037"/>
    <s v="Dr. Carlos Eduardo Fogaça"/>
    <s v="80231574932"/>
    <s v="802.315.749-32"/>
    <s v="Fortaleza"/>
    <x v="6"/>
    <m/>
    <n v="45681"/>
    <x v="10"/>
  </r>
  <r>
    <x v="945"/>
    <x v="1"/>
    <x v="1"/>
    <x v="10"/>
    <n v="3041"/>
    <s v="Sarah Pinto"/>
    <s v="53178029621"/>
    <s v="531.780.296-21"/>
    <s v="Petrolina"/>
    <x v="8"/>
    <s v="Sim"/>
    <n v="45743"/>
    <x v="42"/>
  </r>
  <r>
    <x v="946"/>
    <x v="1"/>
    <x v="1"/>
    <x v="9"/>
    <n v="3040"/>
    <s v="Camila Ferreira"/>
    <s v="59643270874"/>
    <s v="596.432.708-74"/>
    <s v="Jericoacara"/>
    <x v="6"/>
    <m/>
    <n v="45714"/>
    <x v="16"/>
  </r>
  <r>
    <x v="947"/>
    <x v="1"/>
    <x v="3"/>
    <x v="4"/>
    <n v="3035"/>
    <s v="Pietra Mendes"/>
    <s v="916.734.280-96"/>
    <s v="916.734.280-96"/>
    <s v="Porto Alegre"/>
    <x v="4"/>
    <m/>
    <n v="45658"/>
    <x v="26"/>
  </r>
  <r>
    <x v="948"/>
    <x v="1"/>
    <x v="2"/>
    <x v="2"/>
    <n v="3033"/>
    <s v="Nina da Conceição"/>
    <s v="724.961.853-91"/>
    <s v="724.961.853-91"/>
    <s v="Tocantins"/>
    <x v="2"/>
    <s v="Sim"/>
    <n v="45664"/>
    <x v="2"/>
  </r>
  <r>
    <x v="949"/>
    <x v="0"/>
    <x v="2"/>
    <x v="4"/>
    <n v="3035"/>
    <s v="André Ramos"/>
    <s v="034.679.512-52"/>
    <s v="034.679.512-52"/>
    <s v="Porto Alegre"/>
    <x v="4"/>
    <m/>
    <n v="45658"/>
    <x v="8"/>
  </r>
  <r>
    <x v="950"/>
    <x v="1"/>
    <x v="0"/>
    <x v="3"/>
    <n v="3034"/>
    <s v="Isabella Almeida"/>
    <s v="042.768.193-69"/>
    <s v="042.768.193-69"/>
    <s v="Salvador"/>
    <x v="3"/>
    <m/>
    <n v="45671"/>
    <x v="23"/>
  </r>
  <r>
    <x v="951"/>
    <x v="1"/>
    <x v="1"/>
    <x v="2"/>
    <n v="3033"/>
    <s v="Srta. Larissa Cardoso"/>
    <s v="43082169589"/>
    <s v="430.821.695-89"/>
    <s v="Tocantins"/>
    <x v="2"/>
    <m/>
    <n v="45745"/>
    <x v="6"/>
  </r>
  <r>
    <x v="952"/>
    <x v="1"/>
    <x v="1"/>
    <x v="0"/>
    <n v="3031"/>
    <s v="Francisco Jesus"/>
    <s v="942.837.160-22"/>
    <s v="942.837.160-22"/>
    <s v="Amazonas"/>
    <x v="0"/>
    <s v="Sim"/>
    <n v="45682"/>
    <x v="0"/>
  </r>
  <r>
    <x v="953"/>
    <x v="1"/>
    <x v="2"/>
    <x v="3"/>
    <n v="3034"/>
    <s v="Kaique Vieira"/>
    <s v="348.027.956-29"/>
    <s v="348.027.956-29"/>
    <s v="Salvador"/>
    <x v="3"/>
    <m/>
    <n v="45694"/>
    <x v="5"/>
  </r>
  <r>
    <x v="954"/>
    <x v="1"/>
    <x v="3"/>
    <x v="3"/>
    <n v="3034"/>
    <s v="Ana Luiza Cunha"/>
    <s v="87549231664"/>
    <s v="875.492.316-64"/>
    <s v="Salvador"/>
    <x v="3"/>
    <m/>
    <n v="45703"/>
    <x v="23"/>
  </r>
  <r>
    <x v="955"/>
    <x v="1"/>
    <x v="2"/>
    <x v="8"/>
    <n v="3039"/>
    <s v="Júlia Rezende"/>
    <s v="08963712559"/>
    <s v="089.637.125-59"/>
    <s v="Recife"/>
    <x v="8"/>
    <s v="Sim"/>
    <n v="45734"/>
    <x v="8"/>
  </r>
  <r>
    <x v="956"/>
    <x v="0"/>
    <x v="3"/>
    <x v="8"/>
    <n v="3039"/>
    <s v="Nathan Silva"/>
    <s v="52403198633"/>
    <s v="524.031.986-33"/>
    <s v="Recife"/>
    <x v="8"/>
    <m/>
    <n v="45702"/>
    <x v="42"/>
  </r>
  <r>
    <x v="957"/>
    <x v="1"/>
    <x v="0"/>
    <x v="9"/>
    <n v="3040"/>
    <s v="Laís Barros"/>
    <s v="10465823726"/>
    <s v="104.658.237-26"/>
    <s v="Jericoacara"/>
    <x v="6"/>
    <m/>
    <n v="45737"/>
    <x v="24"/>
  </r>
  <r>
    <x v="958"/>
    <x v="0"/>
    <x v="1"/>
    <x v="2"/>
    <n v="3033"/>
    <s v="Miguel Rocha"/>
    <s v="501.946.823-15"/>
    <s v="501.946.823-15"/>
    <s v="Tocantins"/>
    <x v="2"/>
    <m/>
    <n v="45708"/>
    <x v="7"/>
  </r>
  <r>
    <x v="959"/>
    <x v="1"/>
    <x v="0"/>
    <x v="0"/>
    <n v="3031"/>
    <s v="Matheus Sales"/>
    <s v="239.756.018-68"/>
    <s v="239.756.018-68"/>
    <s v="Amazonas"/>
    <x v="0"/>
    <s v="Sim"/>
    <n v="45669"/>
    <x v="5"/>
  </r>
  <r>
    <x v="960"/>
    <x v="0"/>
    <x v="1"/>
    <x v="1"/>
    <n v="3032"/>
    <s v="Alexandre da Costa"/>
    <s v="91876034548"/>
    <s v="918.760.345-48"/>
    <s v="Belém"/>
    <x v="1"/>
    <m/>
    <n v="45695"/>
    <x v="18"/>
  </r>
  <r>
    <x v="961"/>
    <x v="0"/>
    <x v="2"/>
    <x v="8"/>
    <n v="3039"/>
    <s v="Cauã Jesus"/>
    <s v="672.914.835-73"/>
    <s v="672.914.835-73"/>
    <s v="Recife"/>
    <x v="8"/>
    <s v="Sim"/>
    <n v="45741"/>
    <x v="48"/>
  </r>
  <r>
    <x v="962"/>
    <x v="1"/>
    <x v="0"/>
    <x v="11"/>
    <n v="3042"/>
    <s v="Mariana Costa"/>
    <s v="620.195.487-20"/>
    <s v="620.195.487-20"/>
    <s v="Santa Catarina"/>
    <x v="9"/>
    <s v="Sim"/>
    <n v="45704"/>
    <x v="32"/>
  </r>
  <r>
    <x v="963"/>
    <x v="1"/>
    <x v="0"/>
    <x v="3"/>
    <n v="3034"/>
    <s v="Evelyn Gonçalves"/>
    <s v="175.823.460-17"/>
    <s v="175.823.460-17"/>
    <s v="Salvador"/>
    <x v="3"/>
    <s v="Sim"/>
    <n v="45703"/>
    <x v="5"/>
  </r>
  <r>
    <x v="964"/>
    <x v="1"/>
    <x v="2"/>
    <x v="3"/>
    <n v="3034"/>
    <s v="Lara da Conceição"/>
    <s v="04798362131"/>
    <s v="047.983.621-31"/>
    <s v="Salvador"/>
    <x v="3"/>
    <m/>
    <n v="45661"/>
    <x v="5"/>
  </r>
  <r>
    <x v="965"/>
    <x v="1"/>
    <x v="2"/>
    <x v="6"/>
    <n v="3037"/>
    <s v="Milena Pires"/>
    <s v="052.386.794-83"/>
    <s v="052.386.794-83"/>
    <s v="Fortaleza"/>
    <x v="6"/>
    <m/>
    <n v="45692"/>
    <x v="5"/>
  </r>
  <r>
    <x v="966"/>
    <x v="0"/>
    <x v="1"/>
    <x v="11"/>
    <n v="3042"/>
    <s v="Lívia da Rocha"/>
    <s v="58640173290"/>
    <s v="586.401.732-90"/>
    <s v="Santa Catarina"/>
    <x v="9"/>
    <m/>
    <n v="45702"/>
    <x v="46"/>
  </r>
  <r>
    <x v="967"/>
    <x v="1"/>
    <x v="1"/>
    <x v="1"/>
    <n v="3032"/>
    <s v="Srta. Emilly Jesus"/>
    <s v="61739482573"/>
    <s v="617.394.825-73"/>
    <s v="Belém"/>
    <x v="1"/>
    <s v="Sim"/>
    <n v="45670"/>
    <x v="47"/>
  </r>
  <r>
    <x v="968"/>
    <x v="1"/>
    <x v="1"/>
    <x v="0"/>
    <n v="3031"/>
    <s v="Sra. Maria Sophia Monteiro"/>
    <s v="961.087.452-58"/>
    <s v="961.087.452-58"/>
    <s v="Amazonas"/>
    <x v="0"/>
    <s v="Sim"/>
    <n v="45706"/>
    <x v="5"/>
  </r>
  <r>
    <x v="969"/>
    <x v="1"/>
    <x v="1"/>
    <x v="0"/>
    <n v="3031"/>
    <s v="Lorena Martins"/>
    <s v="39175840260"/>
    <s v="391.758.402-60"/>
    <s v="Amazonas"/>
    <x v="0"/>
    <m/>
    <n v="45717"/>
    <x v="5"/>
  </r>
  <r>
    <x v="970"/>
    <x v="1"/>
    <x v="3"/>
    <x v="2"/>
    <n v="3033"/>
    <s v="Carlos Eduardo Azevedo"/>
    <s v="175.480.936-75"/>
    <s v="175.480.936-75"/>
    <s v="Tocantins"/>
    <x v="2"/>
    <m/>
    <n v="45725"/>
    <x v="4"/>
  </r>
  <r>
    <x v="971"/>
    <x v="0"/>
    <x v="2"/>
    <x v="5"/>
    <n v="3036"/>
    <s v="Isis Cunha"/>
    <s v="98312745637"/>
    <s v="983.127.456-37"/>
    <s v="Porto Velho"/>
    <x v="5"/>
    <m/>
    <n v="45679"/>
    <x v="9"/>
  </r>
  <r>
    <x v="972"/>
    <x v="1"/>
    <x v="2"/>
    <x v="11"/>
    <n v="3042"/>
    <s v="Vicente da Cruz"/>
    <s v="68304957256"/>
    <s v="683.049.572-56"/>
    <s v="Santa Catarina"/>
    <x v="9"/>
    <m/>
    <n v="45736"/>
    <x v="37"/>
  </r>
  <r>
    <x v="973"/>
    <x v="0"/>
    <x v="1"/>
    <x v="3"/>
    <n v="3034"/>
    <s v="Alexandre Moreira"/>
    <s v="681.274.309-78"/>
    <s v="681.274.309-78"/>
    <s v="Salvador"/>
    <x v="3"/>
    <m/>
    <n v="45713"/>
    <x v="17"/>
  </r>
  <r>
    <x v="974"/>
    <x v="0"/>
    <x v="0"/>
    <x v="2"/>
    <n v="3033"/>
    <s v="Lívia Moraes"/>
    <s v="582.603.471-80"/>
    <s v="582.603.471-80"/>
    <s v="Tocantins"/>
    <x v="2"/>
    <s v="Sim"/>
    <n v="45742"/>
    <x v="7"/>
  </r>
  <r>
    <x v="975"/>
    <x v="1"/>
    <x v="1"/>
    <x v="11"/>
    <n v="3042"/>
    <s v="Miguel Cardoso"/>
    <s v="28406315717"/>
    <s v="284.063.157-17"/>
    <s v="Santa Catarina"/>
    <x v="9"/>
    <s v="Sim"/>
    <n v="45660"/>
    <x v="32"/>
  </r>
  <r>
    <x v="976"/>
    <x v="1"/>
    <x v="2"/>
    <x v="3"/>
    <n v="3034"/>
    <s v="Gustavo Fernandes"/>
    <s v="65197204370"/>
    <s v="651.972.043-70"/>
    <s v="Salvador"/>
    <x v="3"/>
    <m/>
    <n v="45740"/>
    <x v="22"/>
  </r>
  <r>
    <x v="977"/>
    <x v="0"/>
    <x v="3"/>
    <x v="2"/>
    <n v="3033"/>
    <s v="Mariana Santos"/>
    <s v="46095731801"/>
    <s v="460.957.318-01"/>
    <s v="Tocantins"/>
    <x v="2"/>
    <s v="Sim"/>
    <n v="45661"/>
    <x v="4"/>
  </r>
  <r>
    <x v="978"/>
    <x v="0"/>
    <x v="0"/>
    <x v="11"/>
    <n v="3042"/>
    <s v="Dr. Francisco da Paz"/>
    <s v="50214783626"/>
    <s v="502.147.836-26"/>
    <s v="Santa Catarina"/>
    <x v="9"/>
    <m/>
    <n v="45665"/>
    <x v="32"/>
  </r>
  <r>
    <x v="979"/>
    <x v="1"/>
    <x v="3"/>
    <x v="2"/>
    <n v="3033"/>
    <s v="Mariana Azevedo"/>
    <s v="51649702876"/>
    <s v="516.497.028-76"/>
    <s v="Tocantins"/>
    <x v="2"/>
    <s v="Sim"/>
    <n v="45670"/>
    <x v="6"/>
  </r>
  <r>
    <x v="980"/>
    <x v="1"/>
    <x v="0"/>
    <x v="0"/>
    <n v="3031"/>
    <s v="Thiago Barbosa"/>
    <s v="10749235616"/>
    <s v="107.492.356-16"/>
    <s v="Amazonas"/>
    <x v="0"/>
    <m/>
    <n v="45733"/>
    <x v="26"/>
  </r>
  <r>
    <x v="981"/>
    <x v="0"/>
    <x v="0"/>
    <x v="1"/>
    <n v="3032"/>
    <s v="Anthony Caldeira"/>
    <s v="03657984100"/>
    <s v="036.579.841-00"/>
    <s v="Belém"/>
    <x v="1"/>
    <m/>
    <n v="45732"/>
    <x v="47"/>
  </r>
  <r>
    <x v="982"/>
    <x v="0"/>
    <x v="1"/>
    <x v="5"/>
    <n v="3036"/>
    <s v="Pietra Costela"/>
    <s v="69203871403"/>
    <s v="692.038.714-03"/>
    <s v="Porto Velho"/>
    <x v="5"/>
    <m/>
    <n v="45691"/>
    <x v="17"/>
  </r>
  <r>
    <x v="983"/>
    <x v="0"/>
    <x v="3"/>
    <x v="4"/>
    <n v="3035"/>
    <s v="Ana Carolina Duarte"/>
    <s v="310.894.752-41"/>
    <s v="310.894.752-41"/>
    <s v="Porto Alegre"/>
    <x v="4"/>
    <m/>
    <n v="45736"/>
    <x v="40"/>
  </r>
  <r>
    <x v="984"/>
    <x v="0"/>
    <x v="1"/>
    <x v="5"/>
    <n v="3036"/>
    <s v="Breno Caldeira"/>
    <s v="27980643500"/>
    <s v="279.806.435-00"/>
    <s v="Porto Velho"/>
    <x v="5"/>
    <s v="Sim"/>
    <n v="45686"/>
    <x v="17"/>
  </r>
  <r>
    <x v="985"/>
    <x v="0"/>
    <x v="0"/>
    <x v="8"/>
    <n v="3039"/>
    <s v="Otávio Novaes"/>
    <s v="718.024.935-14"/>
    <s v="718.024.935-14"/>
    <s v="Recife"/>
    <x v="8"/>
    <m/>
    <n v="45745"/>
    <x v="8"/>
  </r>
  <r>
    <x v="986"/>
    <x v="0"/>
    <x v="3"/>
    <x v="10"/>
    <n v="3041"/>
    <s v="Leonardo Jesus"/>
    <s v="584.691.270-20"/>
    <s v="584.691.270-20"/>
    <s v="Petrolina"/>
    <x v="8"/>
    <m/>
    <n v="45663"/>
    <x v="35"/>
  </r>
  <r>
    <x v="987"/>
    <x v="1"/>
    <x v="1"/>
    <x v="0"/>
    <n v="3031"/>
    <s v="Dr. Thales Rodrigues"/>
    <s v="413.896.270-04"/>
    <s v="413.896.270-04"/>
    <s v="Amazonas"/>
    <x v="0"/>
    <s v="Sim"/>
    <n v="45669"/>
    <x v="26"/>
  </r>
  <r>
    <x v="988"/>
    <x v="1"/>
    <x v="3"/>
    <x v="8"/>
    <n v="3039"/>
    <s v="Sr. Arthur Duarte"/>
    <s v="79103628540"/>
    <s v="791.036.285-40"/>
    <s v="Recife"/>
    <x v="8"/>
    <s v="Sim"/>
    <n v="45687"/>
    <x v="42"/>
  </r>
  <r>
    <x v="989"/>
    <x v="0"/>
    <x v="3"/>
    <x v="1"/>
    <n v="3032"/>
    <s v="Benício Freitas"/>
    <s v="96703548200"/>
    <s v="967.035.482-00"/>
    <s v="Belém"/>
    <x v="1"/>
    <m/>
    <n v="45677"/>
    <x v="44"/>
  </r>
  <r>
    <x v="990"/>
    <x v="0"/>
    <x v="0"/>
    <x v="0"/>
    <n v="3031"/>
    <s v="Carolina Pinto"/>
    <s v="80497265176"/>
    <s v="804.972.651-76"/>
    <s v="Amazonas"/>
    <x v="0"/>
    <m/>
    <n v="45738"/>
    <x v="9"/>
  </r>
  <r>
    <x v="991"/>
    <x v="0"/>
    <x v="0"/>
    <x v="8"/>
    <n v="3039"/>
    <s v="Vitor Gabriel da Rosa"/>
    <s v="056.739.421-25"/>
    <s v="056.739.421-25"/>
    <s v="Recife"/>
    <x v="8"/>
    <m/>
    <n v="45728"/>
    <x v="48"/>
  </r>
  <r>
    <x v="992"/>
    <x v="1"/>
    <x v="2"/>
    <x v="7"/>
    <n v="3038"/>
    <s v="Esther Teixeira"/>
    <s v="76413580208"/>
    <s v="764.135.802-08"/>
    <s v="Natal"/>
    <x v="7"/>
    <m/>
    <n v="45685"/>
    <x v="31"/>
  </r>
  <r>
    <x v="993"/>
    <x v="1"/>
    <x v="2"/>
    <x v="0"/>
    <n v="3031"/>
    <s v="Emilly Cardoso"/>
    <s v="384.279.061-96"/>
    <s v="384.279.061-96"/>
    <s v="Amazonas"/>
    <x v="0"/>
    <m/>
    <n v="45693"/>
    <x v="9"/>
  </r>
  <r>
    <x v="994"/>
    <x v="0"/>
    <x v="3"/>
    <x v="1"/>
    <n v="3032"/>
    <s v="Rafael Fernandes"/>
    <s v="90124658776"/>
    <s v="901.246.587-76"/>
    <s v="Belém"/>
    <x v="1"/>
    <m/>
    <n v="45702"/>
    <x v="18"/>
  </r>
  <r>
    <x v="995"/>
    <x v="1"/>
    <x v="2"/>
    <x v="3"/>
    <n v="3034"/>
    <s v="Leonardo Alves"/>
    <s v="705.394.168-00"/>
    <s v="705.394.168-00"/>
    <s v="Salvador"/>
    <x v="3"/>
    <m/>
    <n v="45714"/>
    <x v="22"/>
  </r>
  <r>
    <x v="996"/>
    <x v="1"/>
    <x v="1"/>
    <x v="2"/>
    <n v="3033"/>
    <s v="Guilherme Vieira"/>
    <s v="517.829.460-20"/>
    <s v="517.829.460-20"/>
    <s v="Tocantins"/>
    <x v="2"/>
    <s v="Sim"/>
    <n v="45680"/>
    <x v="2"/>
  </r>
  <r>
    <x v="997"/>
    <x v="1"/>
    <x v="1"/>
    <x v="4"/>
    <n v="3035"/>
    <s v="Camila da Conceição"/>
    <s v="90385612702"/>
    <s v="903.856.127-02"/>
    <s v="Porto Alegre"/>
    <x v="4"/>
    <s v="Sim"/>
    <n v="45714"/>
    <x v="22"/>
  </r>
  <r>
    <x v="998"/>
    <x v="0"/>
    <x v="1"/>
    <x v="0"/>
    <n v="3031"/>
    <s v="Sr. Marcos Vinicius Dias"/>
    <s v="04895267300"/>
    <s v="048.952.673-00"/>
    <s v="Amazonas"/>
    <x v="0"/>
    <s v="Sim"/>
    <n v="45691"/>
    <x v="3"/>
  </r>
  <r>
    <x v="999"/>
    <x v="1"/>
    <x v="1"/>
    <x v="6"/>
    <n v="3037"/>
    <s v="Breno Santos"/>
    <s v="718.962.435-09"/>
    <s v="718.962.435-09"/>
    <s v="Fortaleza"/>
    <x v="6"/>
    <m/>
    <n v="45664"/>
    <x v="26"/>
  </r>
  <r>
    <x v="1000"/>
    <x v="1"/>
    <x v="3"/>
    <x v="4"/>
    <n v="3035"/>
    <s v="Lara Gomes"/>
    <s v="205.497.361-07"/>
    <s v="205.497.361-07"/>
    <s v="Porto Alegre"/>
    <x v="4"/>
    <m/>
    <n v="45703"/>
    <x v="26"/>
  </r>
  <r>
    <x v="1001"/>
    <x v="1"/>
    <x v="0"/>
    <x v="0"/>
    <n v="3031"/>
    <s v="Pedro Henrique Araújo"/>
    <s v="250.914.736-61"/>
    <s v="250.914.736-61"/>
    <s v="Amazonas"/>
    <x v="0"/>
    <m/>
    <n v="45736"/>
    <x v="13"/>
  </r>
  <r>
    <x v="1002"/>
    <x v="0"/>
    <x v="0"/>
    <x v="11"/>
    <n v="3042"/>
    <s v="Dr. Enrico Nascimento"/>
    <s v="902.358.461-98"/>
    <s v="902.358.461-98"/>
    <s v="Santa Catarina"/>
    <x v="9"/>
    <m/>
    <n v="45710"/>
    <x v="24"/>
  </r>
  <r>
    <x v="1003"/>
    <x v="1"/>
    <x v="2"/>
    <x v="2"/>
    <n v="3033"/>
    <s v="Srta. Marcela Barros"/>
    <s v="97826150485"/>
    <s v="978.261.504-85"/>
    <s v="Tocantins"/>
    <x v="2"/>
    <m/>
    <n v="45681"/>
    <x v="7"/>
  </r>
  <r>
    <x v="1004"/>
    <x v="0"/>
    <x v="2"/>
    <x v="2"/>
    <n v="3033"/>
    <s v="Sr. Lorenzo Lopes"/>
    <s v="13758209668"/>
    <s v="137.582.096-68"/>
    <s v="Tocantins"/>
    <x v="2"/>
    <s v="Sim"/>
    <n v="45746"/>
    <x v="8"/>
  </r>
  <r>
    <x v="1005"/>
    <x v="1"/>
    <x v="3"/>
    <x v="8"/>
    <n v="3039"/>
    <s v="Dr. Otávio Dias"/>
    <s v="76341859066"/>
    <s v="763.418.590-66"/>
    <s v="Recife"/>
    <x v="8"/>
    <s v="Sim"/>
    <n v="45716"/>
    <x v="34"/>
  </r>
  <r>
    <x v="1006"/>
    <x v="1"/>
    <x v="3"/>
    <x v="4"/>
    <n v="3035"/>
    <s v="Gustavo Henrique Mendes"/>
    <s v="51836472919"/>
    <s v="518.364.729-19"/>
    <s v="Porto Alegre"/>
    <x v="4"/>
    <m/>
    <n v="45719"/>
    <x v="40"/>
  </r>
  <r>
    <x v="1007"/>
    <x v="1"/>
    <x v="1"/>
    <x v="2"/>
    <n v="3033"/>
    <s v="Diego Ramos"/>
    <s v="021.384.659-42"/>
    <s v="021.384.659-42"/>
    <s v="Tocantins"/>
    <x v="2"/>
    <m/>
    <n v="45670"/>
    <x v="6"/>
  </r>
  <r>
    <x v="1008"/>
    <x v="1"/>
    <x v="1"/>
    <x v="2"/>
    <n v="3033"/>
    <s v="Leandro Araújo"/>
    <s v="219.463.580-70"/>
    <s v="219.463.580-70"/>
    <s v="Tocantins"/>
    <x v="2"/>
    <m/>
    <n v="45697"/>
    <x v="7"/>
  </r>
  <r>
    <x v="1009"/>
    <x v="0"/>
    <x v="3"/>
    <x v="7"/>
    <n v="3038"/>
    <s v="Dra. Eduarda Gonçalves"/>
    <s v="15846702317"/>
    <s v="158.467.023-17"/>
    <s v="Natal"/>
    <x v="7"/>
    <m/>
    <n v="45665"/>
    <x v="21"/>
  </r>
  <r>
    <x v="1010"/>
    <x v="1"/>
    <x v="2"/>
    <x v="8"/>
    <n v="3039"/>
    <s v="Sra. Lavínia Oliveira"/>
    <s v="764.831.920-96"/>
    <s v="764.831.920-96"/>
    <s v="Recife"/>
    <x v="8"/>
    <s v="Sim"/>
    <n v="45672"/>
    <x v="33"/>
  </r>
  <r>
    <x v="1011"/>
    <x v="0"/>
    <x v="0"/>
    <x v="4"/>
    <n v="3035"/>
    <s v="Nicolas Moura"/>
    <s v="765.314.208-71"/>
    <s v="765.314.208-71"/>
    <s v="Porto Alegre"/>
    <x v="4"/>
    <m/>
    <n v="45686"/>
    <x v="26"/>
  </r>
  <r>
    <x v="1012"/>
    <x v="0"/>
    <x v="0"/>
    <x v="7"/>
    <n v="3038"/>
    <s v="Heloísa Barros"/>
    <s v="986.273.504-00"/>
    <s v="986.273.504-00"/>
    <s v="Natal"/>
    <x v="7"/>
    <s v="Sim"/>
    <n v="45662"/>
    <x v="34"/>
  </r>
  <r>
    <x v="1013"/>
    <x v="0"/>
    <x v="2"/>
    <x v="2"/>
    <n v="3033"/>
    <s v="Dra. Cecília Pinto"/>
    <s v="845.027.163-08"/>
    <s v="845.027.163-08"/>
    <s v="Tocantins"/>
    <x v="2"/>
    <m/>
    <n v="45684"/>
    <x v="2"/>
  </r>
  <r>
    <x v="1014"/>
    <x v="0"/>
    <x v="1"/>
    <x v="0"/>
    <n v="3031"/>
    <s v="Laura das Neves"/>
    <s v="24870195305"/>
    <s v="248.701.953-05"/>
    <s v="Amazonas"/>
    <x v="0"/>
    <s v="Sim"/>
    <n v="45678"/>
    <x v="3"/>
  </r>
  <r>
    <x v="1015"/>
    <x v="1"/>
    <x v="2"/>
    <x v="11"/>
    <n v="3042"/>
    <s v="Maitê da Cunha"/>
    <s v="093.876.241-96"/>
    <s v="093.876.241-96"/>
    <s v="Santa Catarina"/>
    <x v="9"/>
    <m/>
    <n v="45713"/>
    <x v="46"/>
  </r>
  <r>
    <x v="1016"/>
    <x v="1"/>
    <x v="3"/>
    <x v="11"/>
    <n v="3042"/>
    <s v="Sabrina Pires"/>
    <s v="82790531668"/>
    <s v="827.905.316-68"/>
    <s v="Santa Catarina"/>
    <x v="9"/>
    <m/>
    <n v="45683"/>
    <x v="24"/>
  </r>
  <r>
    <x v="1017"/>
    <x v="1"/>
    <x v="1"/>
    <x v="8"/>
    <n v="3039"/>
    <s v="Daniel Freitas"/>
    <s v="15987024676"/>
    <s v="159.870.246-76"/>
    <s v="Recife"/>
    <x v="8"/>
    <m/>
    <n v="45684"/>
    <x v="14"/>
  </r>
  <r>
    <x v="1018"/>
    <x v="1"/>
    <x v="1"/>
    <x v="2"/>
    <n v="3033"/>
    <s v="Marina Silva"/>
    <s v="150.374.286-53"/>
    <s v="150.374.286-53"/>
    <s v="Tocantins"/>
    <x v="2"/>
    <s v="Sim"/>
    <n v="45719"/>
    <x v="2"/>
  </r>
  <r>
    <x v="1019"/>
    <x v="0"/>
    <x v="2"/>
    <x v="10"/>
    <n v="3041"/>
    <s v="Alana Farias"/>
    <s v="263.519.708-30"/>
    <s v="263.519.708-30"/>
    <s v="Petrolina"/>
    <x v="8"/>
    <m/>
    <n v="45737"/>
    <x v="13"/>
  </r>
  <r>
    <x v="1020"/>
    <x v="0"/>
    <x v="1"/>
    <x v="6"/>
    <n v="3037"/>
    <s v="Thomas Sales"/>
    <s v="42350916707"/>
    <s v="423.509.167-07"/>
    <s v="Fortaleza"/>
    <x v="6"/>
    <s v="Sim"/>
    <n v="45664"/>
    <x v="26"/>
  </r>
  <r>
    <x v="1021"/>
    <x v="0"/>
    <x v="0"/>
    <x v="0"/>
    <n v="3031"/>
    <s v="Maria Eduarda da Rocha"/>
    <s v="206.594.378-56"/>
    <s v="206.594.378-56"/>
    <s v="Amazonas"/>
    <x v="0"/>
    <m/>
    <n v="45719"/>
    <x v="9"/>
  </r>
  <r>
    <x v="1022"/>
    <x v="0"/>
    <x v="3"/>
    <x v="8"/>
    <n v="3039"/>
    <s v="Dr. Luiz Miguel da Mata"/>
    <s v="43958672191"/>
    <s v="439.586.721-91"/>
    <s v="Recife"/>
    <x v="8"/>
    <m/>
    <n v="45710"/>
    <x v="33"/>
  </r>
  <r>
    <x v="1023"/>
    <x v="0"/>
    <x v="3"/>
    <x v="10"/>
    <n v="3041"/>
    <s v="Evelyn Castro"/>
    <s v="31496287509"/>
    <s v="314.962.875-09"/>
    <s v="Petrolina"/>
    <x v="8"/>
    <s v="Sim"/>
    <n v="45669"/>
    <x v="35"/>
  </r>
  <r>
    <x v="1024"/>
    <x v="1"/>
    <x v="3"/>
    <x v="0"/>
    <n v="3031"/>
    <s v="Lucas Gabriel Lopes"/>
    <s v="156.893.427-00"/>
    <s v="156.893.427-00"/>
    <s v="Amazonas"/>
    <x v="0"/>
    <s v="Sim"/>
    <n v="45724"/>
    <x v="9"/>
  </r>
  <r>
    <x v="1025"/>
    <x v="1"/>
    <x v="0"/>
    <x v="6"/>
    <n v="3037"/>
    <s v="Antônio Gonçalves"/>
    <s v="48367021517"/>
    <s v="483.670.215-17"/>
    <s v="Fortaleza"/>
    <x v="6"/>
    <m/>
    <n v="45697"/>
    <x v="19"/>
  </r>
  <r>
    <x v="1026"/>
    <x v="1"/>
    <x v="3"/>
    <x v="9"/>
    <n v="3040"/>
    <s v="Laura Pereira"/>
    <s v="640.231.957-07"/>
    <s v="640.231.957-07"/>
    <s v="Jericoacara"/>
    <x v="6"/>
    <m/>
    <n v="45687"/>
    <x v="29"/>
  </r>
  <r>
    <x v="1027"/>
    <x v="0"/>
    <x v="2"/>
    <x v="0"/>
    <n v="3031"/>
    <s v="Júlia das Neves"/>
    <s v="92365084729"/>
    <s v="923.650.847-29"/>
    <s v="Amazonas"/>
    <x v="0"/>
    <m/>
    <n v="45728"/>
    <x v="36"/>
  </r>
  <r>
    <x v="1028"/>
    <x v="0"/>
    <x v="1"/>
    <x v="2"/>
    <n v="3033"/>
    <s v="João Miguel Carvalho"/>
    <s v="59180473601"/>
    <s v="591.804.736-01"/>
    <s v="Tocantins"/>
    <x v="2"/>
    <m/>
    <n v="45673"/>
    <x v="7"/>
  </r>
  <r>
    <x v="1029"/>
    <x v="1"/>
    <x v="2"/>
    <x v="9"/>
    <n v="3040"/>
    <s v="Julia Dias"/>
    <s v="42583190660"/>
    <s v="425.831.906-60"/>
    <s v="Jericoacara"/>
    <x v="6"/>
    <m/>
    <n v="45740"/>
    <x v="16"/>
  </r>
  <r>
    <x v="1030"/>
    <x v="1"/>
    <x v="3"/>
    <x v="9"/>
    <n v="3040"/>
    <s v="Vitor Gabriel Souza"/>
    <s v="18673095212"/>
    <s v="186.730.952-12"/>
    <s v="Jericoacara"/>
    <x v="6"/>
    <m/>
    <n v="45660"/>
    <x v="16"/>
  </r>
  <r>
    <x v="1031"/>
    <x v="1"/>
    <x v="2"/>
    <x v="3"/>
    <n v="3034"/>
    <s v="Pedro Lucas Farias"/>
    <s v="041.635.728-80"/>
    <s v="041.635.728-80"/>
    <s v="Salvador"/>
    <x v="3"/>
    <m/>
    <n v="45741"/>
    <x v="23"/>
  </r>
  <r>
    <x v="1032"/>
    <x v="1"/>
    <x v="3"/>
    <x v="5"/>
    <n v="3036"/>
    <s v="Breno Cardoso"/>
    <s v="860.754.193-57"/>
    <s v="860.754.193-57"/>
    <s v="Porto Velho"/>
    <x v="5"/>
    <s v="Sim"/>
    <n v="45676"/>
    <x v="13"/>
  </r>
  <r>
    <x v="1033"/>
    <x v="1"/>
    <x v="3"/>
    <x v="6"/>
    <n v="3037"/>
    <s v="Gabriela Martins"/>
    <s v="680.293.174-50"/>
    <s v="680.293.174-50"/>
    <s v="Fortaleza"/>
    <x v="6"/>
    <s v="Sim"/>
    <n v="45721"/>
    <x v="10"/>
  </r>
  <r>
    <x v="1034"/>
    <x v="1"/>
    <x v="0"/>
    <x v="2"/>
    <n v="3033"/>
    <s v="Lorena Nascimento"/>
    <s v="46173928582"/>
    <s v="461.739.285-82"/>
    <s v="Tocantins"/>
    <x v="2"/>
    <m/>
    <n v="45746"/>
    <x v="7"/>
  </r>
  <r>
    <x v="1035"/>
    <x v="0"/>
    <x v="0"/>
    <x v="7"/>
    <n v="3038"/>
    <s v="Dra. Lívia Farias"/>
    <s v="60753281902"/>
    <s v="607.532.819-02"/>
    <s v="Natal"/>
    <x v="7"/>
    <s v="Sim"/>
    <n v="45714"/>
    <x v="21"/>
  </r>
  <r>
    <x v="1036"/>
    <x v="1"/>
    <x v="0"/>
    <x v="5"/>
    <n v="3036"/>
    <s v="João Vitor Dias"/>
    <s v="759.402.683-74"/>
    <s v="759.402.683-74"/>
    <s v="Porto Velho"/>
    <x v="5"/>
    <s v="Sim"/>
    <n v="45667"/>
    <x v="9"/>
  </r>
  <r>
    <x v="1037"/>
    <x v="1"/>
    <x v="0"/>
    <x v="3"/>
    <n v="3034"/>
    <s v="Bárbara da Rocha"/>
    <s v="731.984.520-23"/>
    <s v="731.984.520-23"/>
    <s v="Salvador"/>
    <x v="3"/>
    <m/>
    <n v="45663"/>
    <x v="17"/>
  </r>
  <r>
    <x v="1038"/>
    <x v="1"/>
    <x v="1"/>
    <x v="6"/>
    <n v="3037"/>
    <s v="Eloah Oliveira"/>
    <s v="45207936107"/>
    <s v="452.079.361-07"/>
    <s v="Fortaleza"/>
    <x v="6"/>
    <m/>
    <n v="45725"/>
    <x v="10"/>
  </r>
  <r>
    <x v="1039"/>
    <x v="1"/>
    <x v="3"/>
    <x v="4"/>
    <n v="3035"/>
    <s v="Vitor Gabriel Rodrigues"/>
    <s v="875.912.346-09"/>
    <s v="875.912.346-09"/>
    <s v="Porto Alegre"/>
    <x v="4"/>
    <m/>
    <n v="45707"/>
    <x v="8"/>
  </r>
  <r>
    <x v="1040"/>
    <x v="0"/>
    <x v="3"/>
    <x v="11"/>
    <n v="3042"/>
    <s v="Sarah Cardoso"/>
    <s v="16937052499"/>
    <s v="169.370.524-99"/>
    <s v="Santa Catarina"/>
    <x v="9"/>
    <s v="Sim"/>
    <n v="45674"/>
    <x v="24"/>
  </r>
  <r>
    <x v="1041"/>
    <x v="1"/>
    <x v="1"/>
    <x v="1"/>
    <n v="3032"/>
    <s v="Leonardo Correia"/>
    <s v="067.154.398-93"/>
    <s v="067.154.398-93"/>
    <s v="Belém"/>
    <x v="1"/>
    <m/>
    <n v="45696"/>
    <x v="25"/>
  </r>
  <r>
    <x v="1042"/>
    <x v="1"/>
    <x v="3"/>
    <x v="10"/>
    <n v="3041"/>
    <s v="Gustavo Costa"/>
    <s v="648.729.530-29"/>
    <s v="648.729.530-29"/>
    <s v="Petrolina"/>
    <x v="8"/>
    <s v="Sim"/>
    <n v="45671"/>
    <x v="28"/>
  </r>
  <r>
    <x v="1043"/>
    <x v="0"/>
    <x v="1"/>
    <x v="6"/>
    <n v="3037"/>
    <s v="Luiz Henrique da Rocha"/>
    <s v="95436128033"/>
    <s v="954.361.280-33"/>
    <s v="Fortaleza"/>
    <x v="6"/>
    <s v="Sim"/>
    <n v="45673"/>
    <x v="5"/>
  </r>
  <r>
    <x v="1044"/>
    <x v="1"/>
    <x v="1"/>
    <x v="1"/>
    <n v="3032"/>
    <s v="Raquel Ribeiro"/>
    <s v="056.173.948-00"/>
    <s v="056.173.948-00"/>
    <s v="Belém"/>
    <x v="1"/>
    <s v="Sim"/>
    <n v="45726"/>
    <x v="18"/>
  </r>
  <r>
    <x v="1045"/>
    <x v="0"/>
    <x v="2"/>
    <x v="7"/>
    <n v="3038"/>
    <s v="Eduardo Castro"/>
    <s v="875.064.329-00"/>
    <s v="875.064.329-00"/>
    <s v="Natal"/>
    <x v="7"/>
    <s v="Sim"/>
    <n v="45664"/>
    <x v="31"/>
  </r>
  <r>
    <x v="1046"/>
    <x v="0"/>
    <x v="2"/>
    <x v="9"/>
    <n v="3040"/>
    <s v="Sr. João Felipe Alves"/>
    <s v="34869721546"/>
    <s v="348.697.215-46"/>
    <s v="Jericoacara"/>
    <x v="6"/>
    <m/>
    <n v="45682"/>
    <x v="29"/>
  </r>
  <r>
    <x v="1047"/>
    <x v="1"/>
    <x v="0"/>
    <x v="0"/>
    <n v="3031"/>
    <s v="Maria Cecília da Paz"/>
    <s v="129.578.630-30"/>
    <s v="129.578.630-30"/>
    <s v="Amazonas"/>
    <x v="0"/>
    <m/>
    <n v="45670"/>
    <x v="5"/>
  </r>
  <r>
    <x v="1048"/>
    <x v="1"/>
    <x v="3"/>
    <x v="3"/>
    <n v="3034"/>
    <s v="Maria Sophia Nogueira"/>
    <s v="54716098249"/>
    <s v="547.160.982-49"/>
    <s v="Salvador"/>
    <x v="3"/>
    <m/>
    <n v="45735"/>
    <x v="11"/>
  </r>
  <r>
    <x v="1049"/>
    <x v="0"/>
    <x v="1"/>
    <x v="5"/>
    <n v="3036"/>
    <s v="Bianca da Conceição"/>
    <s v="27098516368"/>
    <s v="270.985.163-68"/>
    <s v="Porto Velho"/>
    <x v="5"/>
    <s v="Sim"/>
    <n v="45699"/>
    <x v="3"/>
  </r>
  <r>
    <x v="1050"/>
    <x v="0"/>
    <x v="3"/>
    <x v="1"/>
    <n v="3032"/>
    <s v="Lorena Martins"/>
    <s v="481.793.562-64"/>
    <s v="481.793.562-64"/>
    <s v="Belém"/>
    <x v="1"/>
    <m/>
    <n v="45692"/>
    <x v="7"/>
  </r>
  <r>
    <x v="1051"/>
    <x v="0"/>
    <x v="2"/>
    <x v="4"/>
    <n v="3035"/>
    <s v="Luiz Henrique Lopes"/>
    <s v="81395267464"/>
    <s v="813.952.674-64"/>
    <s v="Porto Alegre"/>
    <x v="4"/>
    <m/>
    <n v="45705"/>
    <x v="26"/>
  </r>
  <r>
    <x v="1052"/>
    <x v="0"/>
    <x v="3"/>
    <x v="6"/>
    <n v="3037"/>
    <s v="Sra. Nina Costa"/>
    <s v="86510234998"/>
    <s v="865.102.349-98"/>
    <s v="Fortaleza"/>
    <x v="6"/>
    <s v="Sim"/>
    <n v="45728"/>
    <x v="5"/>
  </r>
  <r>
    <x v="1053"/>
    <x v="0"/>
    <x v="0"/>
    <x v="10"/>
    <n v="3041"/>
    <s v="Clara da Mota"/>
    <s v="652.801.349-70"/>
    <s v="652.801.349-70"/>
    <s v="Petrolina"/>
    <x v="8"/>
    <m/>
    <n v="45658"/>
    <x v="42"/>
  </r>
  <r>
    <x v="1054"/>
    <x v="0"/>
    <x v="1"/>
    <x v="11"/>
    <n v="3042"/>
    <s v="Gabriela Melo"/>
    <s v="154.706.289-49"/>
    <s v="154.706.289-49"/>
    <s v="Santa Catarina"/>
    <x v="9"/>
    <m/>
    <n v="45720"/>
    <x v="10"/>
  </r>
  <r>
    <x v="1055"/>
    <x v="0"/>
    <x v="0"/>
    <x v="4"/>
    <n v="3035"/>
    <s v="Julia Barbosa"/>
    <s v="490.873.615-48"/>
    <s v="490.873.615-48"/>
    <s v="Porto Alegre"/>
    <x v="4"/>
    <s v="Sim"/>
    <n v="45703"/>
    <x v="8"/>
  </r>
  <r>
    <x v="1056"/>
    <x v="0"/>
    <x v="0"/>
    <x v="8"/>
    <n v="3039"/>
    <s v="Dra. Sophia Viana"/>
    <s v="105.849.762-67"/>
    <s v="105.849.762-67"/>
    <s v="Recife"/>
    <x v="8"/>
    <s v="Sim"/>
    <n v="45698"/>
    <x v="16"/>
  </r>
  <r>
    <x v="1057"/>
    <x v="1"/>
    <x v="0"/>
    <x v="3"/>
    <n v="3034"/>
    <s v="Benício Pires"/>
    <s v="05164278901"/>
    <s v="051.642.789-01"/>
    <s v="Salvador"/>
    <x v="3"/>
    <m/>
    <n v="45690"/>
    <x v="23"/>
  </r>
  <r>
    <x v="1058"/>
    <x v="1"/>
    <x v="0"/>
    <x v="11"/>
    <n v="3042"/>
    <s v="Gabrielly da Cunha"/>
    <s v="95083674238"/>
    <s v="950.836.742-38"/>
    <s v="Santa Catarina"/>
    <x v="9"/>
    <m/>
    <n v="45738"/>
    <x v="32"/>
  </r>
  <r>
    <x v="1059"/>
    <x v="1"/>
    <x v="1"/>
    <x v="6"/>
    <n v="3037"/>
    <s v="Bianca Fogaça"/>
    <s v="127.084.953-05"/>
    <s v="127.084.953-05"/>
    <s v="Fortaleza"/>
    <x v="6"/>
    <s v="Sim"/>
    <n v="45674"/>
    <x v="24"/>
  </r>
  <r>
    <x v="1060"/>
    <x v="0"/>
    <x v="0"/>
    <x v="4"/>
    <n v="3035"/>
    <s v="Sofia Almeida"/>
    <s v="49502367170"/>
    <s v="495.023.671-70"/>
    <s v="Porto Alegre"/>
    <x v="4"/>
    <s v="Sim"/>
    <n v="45666"/>
    <x v="40"/>
  </r>
  <r>
    <x v="1061"/>
    <x v="1"/>
    <x v="1"/>
    <x v="1"/>
    <n v="3032"/>
    <s v="Bryan da Mata"/>
    <s v="125.470.968-11"/>
    <s v="125.470.968-11"/>
    <s v="Belém"/>
    <x v="1"/>
    <s v="Sim"/>
    <n v="45719"/>
    <x v="7"/>
  </r>
  <r>
    <x v="1062"/>
    <x v="1"/>
    <x v="0"/>
    <x v="9"/>
    <n v="3040"/>
    <s v="Dr. Bruno Farias"/>
    <s v="432.708.651-71"/>
    <s v="432.708.651-71"/>
    <s v="Jericoacara"/>
    <x v="6"/>
    <s v="Sim"/>
    <n v="45671"/>
    <x v="20"/>
  </r>
  <r>
    <x v="1063"/>
    <x v="1"/>
    <x v="3"/>
    <x v="11"/>
    <n v="3042"/>
    <s v="Gabrielly Oliveira"/>
    <s v="394.162.785-64"/>
    <s v="394.162.785-64"/>
    <s v="Santa Catarina"/>
    <x v="9"/>
    <m/>
    <n v="45683"/>
    <x v="37"/>
  </r>
  <r>
    <x v="1064"/>
    <x v="0"/>
    <x v="3"/>
    <x v="3"/>
    <n v="3034"/>
    <s v="Luigi Moraes"/>
    <s v="958.674.320-92"/>
    <s v="958.674.320-92"/>
    <s v="Salvador"/>
    <x v="3"/>
    <m/>
    <n v="45661"/>
    <x v="17"/>
  </r>
  <r>
    <x v="1065"/>
    <x v="0"/>
    <x v="1"/>
    <x v="5"/>
    <n v="3036"/>
    <s v="Joana da Costa"/>
    <s v="836.257.194-28"/>
    <s v="836.257.194-28"/>
    <s v="Porto Velho"/>
    <x v="5"/>
    <m/>
    <n v="45666"/>
    <x v="17"/>
  </r>
  <r>
    <x v="1066"/>
    <x v="0"/>
    <x v="2"/>
    <x v="10"/>
    <n v="3041"/>
    <s v="Stella da Rocha"/>
    <s v="437.205.189-14"/>
    <s v="437.205.189-14"/>
    <s v="Petrolina"/>
    <x v="8"/>
    <m/>
    <n v="45703"/>
    <x v="28"/>
  </r>
  <r>
    <x v="1067"/>
    <x v="1"/>
    <x v="3"/>
    <x v="11"/>
    <n v="3042"/>
    <s v="Giovanna Moura"/>
    <s v="96025784329"/>
    <s v="960.257.843-29"/>
    <s v="Santa Catarina"/>
    <x v="9"/>
    <s v="Sim"/>
    <n v="45698"/>
    <x v="10"/>
  </r>
  <r>
    <x v="1068"/>
    <x v="1"/>
    <x v="2"/>
    <x v="9"/>
    <n v="3040"/>
    <s v="Helena Mendes"/>
    <s v="125.893.704-23"/>
    <s v="125.893.704-23"/>
    <s v="Jericoacara"/>
    <x v="6"/>
    <m/>
    <n v="45736"/>
    <x v="24"/>
  </r>
  <r>
    <x v="1069"/>
    <x v="0"/>
    <x v="0"/>
    <x v="7"/>
    <n v="3038"/>
    <s v="Laís Pinto"/>
    <s v="673.259.418-46"/>
    <s v="673.259.418-46"/>
    <s v="Natal"/>
    <x v="7"/>
    <m/>
    <n v="45687"/>
    <x v="21"/>
  </r>
  <r>
    <x v="1070"/>
    <x v="0"/>
    <x v="1"/>
    <x v="11"/>
    <n v="3042"/>
    <s v="Enzo Santos"/>
    <s v="16872435062"/>
    <s v="168.724.350-62"/>
    <s v="Santa Catarina"/>
    <x v="9"/>
    <m/>
    <n v="45673"/>
    <x v="37"/>
  </r>
  <r>
    <x v="1071"/>
    <x v="1"/>
    <x v="0"/>
    <x v="10"/>
    <n v="3041"/>
    <s v="Bárbara Jesus"/>
    <s v="983.415.207-88"/>
    <s v="983.415.207-88"/>
    <s v="Petrolina"/>
    <x v="8"/>
    <m/>
    <n v="45688"/>
    <x v="32"/>
  </r>
  <r>
    <x v="1072"/>
    <x v="1"/>
    <x v="2"/>
    <x v="8"/>
    <n v="3039"/>
    <s v="João Felipe Ramos"/>
    <s v="62705149325"/>
    <s v="627.051.493-25"/>
    <s v="Recife"/>
    <x v="8"/>
    <s v="Sim"/>
    <n v="45687"/>
    <x v="48"/>
  </r>
  <r>
    <x v="1073"/>
    <x v="0"/>
    <x v="0"/>
    <x v="5"/>
    <n v="3036"/>
    <s v="Diego Duarte"/>
    <s v="36157820462"/>
    <s v="361.578.204-62"/>
    <s v="Porto Velho"/>
    <x v="5"/>
    <s v="Sim"/>
    <n v="45673"/>
    <x v="3"/>
  </r>
  <r>
    <x v="1074"/>
    <x v="1"/>
    <x v="0"/>
    <x v="4"/>
    <n v="3035"/>
    <s v="Sr. Lucas Vieira"/>
    <s v="637.589.104-39"/>
    <s v="637.589.104-39"/>
    <s v="Porto Alegre"/>
    <x v="4"/>
    <m/>
    <n v="45670"/>
    <x v="8"/>
  </r>
  <r>
    <x v="1075"/>
    <x v="0"/>
    <x v="2"/>
    <x v="5"/>
    <n v="3036"/>
    <s v="Sr. João Martins"/>
    <s v="468.902.375-10"/>
    <s v="468.902.375-10"/>
    <s v="Porto Velho"/>
    <x v="5"/>
    <m/>
    <n v="45679"/>
    <x v="9"/>
  </r>
  <r>
    <x v="1076"/>
    <x v="1"/>
    <x v="3"/>
    <x v="10"/>
    <n v="3041"/>
    <s v="Camila Duarte"/>
    <s v="598.406.372-74"/>
    <s v="598.406.372-74"/>
    <s v="Petrolina"/>
    <x v="8"/>
    <s v="Sim"/>
    <n v="45671"/>
    <x v="23"/>
  </r>
  <r>
    <x v="1077"/>
    <x v="0"/>
    <x v="1"/>
    <x v="10"/>
    <n v="3041"/>
    <s v="Caroline Barbosa"/>
    <s v="34602918778"/>
    <s v="346.029.187-78"/>
    <s v="Petrolina"/>
    <x v="8"/>
    <m/>
    <n v="45685"/>
    <x v="13"/>
  </r>
  <r>
    <x v="1078"/>
    <x v="0"/>
    <x v="2"/>
    <x v="5"/>
    <n v="3036"/>
    <s v="João Pedro Rocha"/>
    <s v="04617395857"/>
    <s v="046.173.958-57"/>
    <s v="Porto Velho"/>
    <x v="5"/>
    <s v="Sim"/>
    <n v="45691"/>
    <x v="17"/>
  </r>
  <r>
    <x v="1079"/>
    <x v="0"/>
    <x v="1"/>
    <x v="9"/>
    <n v="3040"/>
    <s v="Sabrina Castro"/>
    <s v="60271439599"/>
    <s v="602.714.395-99"/>
    <s v="Jericoacara"/>
    <x v="6"/>
    <s v="Sim"/>
    <n v="45659"/>
    <x v="16"/>
  </r>
  <r>
    <x v="1080"/>
    <x v="1"/>
    <x v="2"/>
    <x v="10"/>
    <n v="3041"/>
    <s v="Milena Nunes"/>
    <s v="60432895124"/>
    <s v="604.328.951-24"/>
    <s v="Petrolina"/>
    <x v="8"/>
    <s v="Sim"/>
    <n v="45733"/>
    <x v="35"/>
  </r>
  <r>
    <x v="1081"/>
    <x v="1"/>
    <x v="1"/>
    <x v="6"/>
    <n v="3037"/>
    <s v="Raquel Melo"/>
    <s v="85167342007"/>
    <s v="851.673.420-07"/>
    <s v="Fortaleza"/>
    <x v="6"/>
    <s v="Sim"/>
    <n v="45672"/>
    <x v="5"/>
  </r>
  <r>
    <x v="1082"/>
    <x v="0"/>
    <x v="0"/>
    <x v="10"/>
    <n v="3041"/>
    <s v="Joaquim Ferreira"/>
    <s v="38790625447"/>
    <s v="387.906.254-47"/>
    <s v="Petrolina"/>
    <x v="8"/>
    <m/>
    <n v="45742"/>
    <x v="23"/>
  </r>
  <r>
    <x v="1083"/>
    <x v="1"/>
    <x v="3"/>
    <x v="7"/>
    <n v="3038"/>
    <s v="Laís Moreira"/>
    <s v="054.328.971-05"/>
    <s v="054.328.971-05"/>
    <s v="Natal"/>
    <x v="7"/>
    <s v="Sim"/>
    <n v="45675"/>
    <x v="34"/>
  </r>
  <r>
    <x v="1084"/>
    <x v="0"/>
    <x v="1"/>
    <x v="10"/>
    <n v="3041"/>
    <s v="João Gabriel Peixoto"/>
    <s v="075.289.413-79"/>
    <s v="075.289.413-79"/>
    <s v="Petrolina"/>
    <x v="8"/>
    <s v="Sim"/>
    <n v="45709"/>
    <x v="23"/>
  </r>
  <r>
    <x v="1085"/>
    <x v="0"/>
    <x v="1"/>
    <x v="10"/>
    <n v="3041"/>
    <s v="Sra. Elisa da Luz"/>
    <s v="18975634264"/>
    <s v="189.756.342-64"/>
    <s v="Petrolina"/>
    <x v="8"/>
    <m/>
    <n v="45691"/>
    <x v="23"/>
  </r>
  <r>
    <x v="1086"/>
    <x v="1"/>
    <x v="2"/>
    <x v="5"/>
    <n v="3036"/>
    <s v="Olivia Farias"/>
    <s v="870.925.634-29"/>
    <s v="870.925.634-29"/>
    <s v="Porto Velho"/>
    <x v="5"/>
    <m/>
    <n v="45695"/>
    <x v="27"/>
  </r>
  <r>
    <x v="1087"/>
    <x v="0"/>
    <x v="0"/>
    <x v="5"/>
    <n v="3036"/>
    <s v="Rebeca Cardoso"/>
    <s v="54630127925"/>
    <s v="546.301.279-25"/>
    <s v="Porto Velho"/>
    <x v="5"/>
    <m/>
    <n v="45739"/>
    <x v="13"/>
  </r>
  <r>
    <x v="1088"/>
    <x v="0"/>
    <x v="1"/>
    <x v="2"/>
    <n v="3033"/>
    <s v="Ana Sophia da Mota"/>
    <s v="94876512094"/>
    <s v="948.765.120-94"/>
    <s v="Tocantins"/>
    <x v="2"/>
    <m/>
    <n v="45694"/>
    <x v="8"/>
  </r>
  <r>
    <x v="1089"/>
    <x v="0"/>
    <x v="2"/>
    <x v="7"/>
    <n v="3038"/>
    <s v="Lorena da Rosa"/>
    <s v="642.780.351-44"/>
    <s v="642.780.351-44"/>
    <s v="Natal"/>
    <x v="7"/>
    <m/>
    <n v="45684"/>
    <x v="8"/>
  </r>
  <r>
    <x v="1090"/>
    <x v="1"/>
    <x v="2"/>
    <x v="2"/>
    <n v="3033"/>
    <s v="Juan da Rocha"/>
    <s v="06278359456"/>
    <s v="062.783.594-56"/>
    <s v="Tocantins"/>
    <x v="2"/>
    <m/>
    <n v="45679"/>
    <x v="2"/>
  </r>
  <r>
    <x v="1091"/>
    <x v="1"/>
    <x v="2"/>
    <x v="8"/>
    <n v="3039"/>
    <s v="Thales Martins"/>
    <s v="314.567.928-73"/>
    <s v="314.567.928-73"/>
    <s v="Recife"/>
    <x v="8"/>
    <s v="Sim"/>
    <n v="45719"/>
    <x v="42"/>
  </r>
  <r>
    <x v="1092"/>
    <x v="0"/>
    <x v="1"/>
    <x v="6"/>
    <n v="3037"/>
    <s v="Helena Viana"/>
    <s v="67029541820"/>
    <s v="670.295.418-20"/>
    <s v="Fortaleza"/>
    <x v="6"/>
    <s v="Sim"/>
    <n v="45702"/>
    <x v="5"/>
  </r>
  <r>
    <x v="1093"/>
    <x v="1"/>
    <x v="1"/>
    <x v="10"/>
    <n v="3041"/>
    <s v="Sra. Cecília Teixeira"/>
    <s v="26430759199"/>
    <s v="264.307.591-99"/>
    <s v="Petrolina"/>
    <x v="8"/>
    <s v="Sim"/>
    <n v="45712"/>
    <x v="32"/>
  </r>
  <r>
    <x v="1094"/>
    <x v="0"/>
    <x v="3"/>
    <x v="9"/>
    <n v="3040"/>
    <s v="Sr. Emanuel Souza"/>
    <s v="548.623.709-00"/>
    <s v="548.623.709-00"/>
    <s v="Jericoacara"/>
    <x v="6"/>
    <m/>
    <n v="45718"/>
    <x v="16"/>
  </r>
  <r>
    <x v="1095"/>
    <x v="0"/>
    <x v="3"/>
    <x v="3"/>
    <n v="3034"/>
    <s v="Bárbara Moraes"/>
    <s v="96870235112"/>
    <s v="968.702.351-12"/>
    <s v="Salvador"/>
    <x v="3"/>
    <s v="Sim"/>
    <n v="45710"/>
    <x v="11"/>
  </r>
  <r>
    <x v="1096"/>
    <x v="0"/>
    <x v="0"/>
    <x v="6"/>
    <n v="3037"/>
    <s v="João Miguel Costa"/>
    <s v="163.904.257-16"/>
    <s v="163.904.257-16"/>
    <s v="Fortaleza"/>
    <x v="6"/>
    <m/>
    <n v="45732"/>
    <x v="26"/>
  </r>
  <r>
    <x v="1097"/>
    <x v="1"/>
    <x v="2"/>
    <x v="1"/>
    <n v="3032"/>
    <s v="Sra. Maria Clara Oliveira"/>
    <s v="53642978029"/>
    <s v="536.429.780-29"/>
    <s v="Belém"/>
    <x v="1"/>
    <s v="Sim"/>
    <n v="45722"/>
    <x v="38"/>
  </r>
  <r>
    <x v="1098"/>
    <x v="0"/>
    <x v="1"/>
    <x v="2"/>
    <n v="3033"/>
    <s v="Maysa Lopes"/>
    <s v="89613547282"/>
    <s v="896.135.472-82"/>
    <s v="Tocantins"/>
    <x v="2"/>
    <s v="Sim"/>
    <n v="45673"/>
    <x v="6"/>
  </r>
  <r>
    <x v="1099"/>
    <x v="0"/>
    <x v="3"/>
    <x v="2"/>
    <n v="3033"/>
    <s v="João Gomes"/>
    <s v="085.631.942-24"/>
    <s v="085.631.942-24"/>
    <s v="Tocantins"/>
    <x v="2"/>
    <m/>
    <n v="45698"/>
    <x v="7"/>
  </r>
  <r>
    <x v="1100"/>
    <x v="0"/>
    <x v="0"/>
    <x v="9"/>
    <n v="3040"/>
    <s v="Caroline Araújo"/>
    <s v="93246507180"/>
    <s v="932.465.071-80"/>
    <s v="Jericoacara"/>
    <x v="6"/>
    <s v="Sim"/>
    <n v="45660"/>
    <x v="20"/>
  </r>
  <r>
    <x v="1101"/>
    <x v="0"/>
    <x v="3"/>
    <x v="9"/>
    <n v="3040"/>
    <s v="Sr. Davi Luiz Ribeiro"/>
    <s v="15084397610"/>
    <s v="150.843.976-10"/>
    <s v="Jericoacara"/>
    <x v="6"/>
    <s v="Sim"/>
    <n v="45693"/>
    <x v="29"/>
  </r>
  <r>
    <x v="1102"/>
    <x v="0"/>
    <x v="3"/>
    <x v="5"/>
    <n v="3036"/>
    <s v="Srta. Camila Ribeiro"/>
    <s v="352.708.169-03"/>
    <s v="352.708.169-03"/>
    <s v="Porto Velho"/>
    <x v="5"/>
    <m/>
    <n v="45702"/>
    <x v="3"/>
  </r>
  <r>
    <x v="1103"/>
    <x v="0"/>
    <x v="2"/>
    <x v="7"/>
    <n v="3038"/>
    <s v="Rodrigo Pires"/>
    <s v="32745086910"/>
    <s v="327.450.869-10"/>
    <s v="Natal"/>
    <x v="7"/>
    <m/>
    <n v="45702"/>
    <x v="30"/>
  </r>
  <r>
    <x v="1104"/>
    <x v="1"/>
    <x v="1"/>
    <x v="2"/>
    <n v="3033"/>
    <s v="Srta. Agatha Azevedo"/>
    <s v="687.930.514-84"/>
    <s v="687.930.514-84"/>
    <s v="Tocantins"/>
    <x v="2"/>
    <m/>
    <n v="45727"/>
    <x v="8"/>
  </r>
  <r>
    <x v="1105"/>
    <x v="0"/>
    <x v="0"/>
    <x v="10"/>
    <n v="3041"/>
    <s v="Melissa Teixeira"/>
    <s v="07865921411"/>
    <s v="078.659.214-11"/>
    <s v="Petrolina"/>
    <x v="8"/>
    <m/>
    <n v="45693"/>
    <x v="32"/>
  </r>
  <r>
    <x v="1106"/>
    <x v="1"/>
    <x v="2"/>
    <x v="2"/>
    <n v="3033"/>
    <s v="Raquel Silva"/>
    <s v="76109284378"/>
    <s v="761.092.843-78"/>
    <s v="Tocantins"/>
    <x v="2"/>
    <s v="Sim"/>
    <n v="45693"/>
    <x v="4"/>
  </r>
  <r>
    <x v="1107"/>
    <x v="0"/>
    <x v="0"/>
    <x v="7"/>
    <n v="3038"/>
    <s v="Mirella Mendes"/>
    <s v="23719058441"/>
    <s v="237.190.584-41"/>
    <s v="Natal"/>
    <x v="7"/>
    <m/>
    <n v="45702"/>
    <x v="12"/>
  </r>
  <r>
    <x v="1108"/>
    <x v="1"/>
    <x v="3"/>
    <x v="1"/>
    <n v="3032"/>
    <s v="Sra. Sophia Farias"/>
    <s v="45983267191"/>
    <s v="459.832.671-91"/>
    <s v="Belém"/>
    <x v="1"/>
    <m/>
    <n v="45713"/>
    <x v="25"/>
  </r>
  <r>
    <x v="1109"/>
    <x v="1"/>
    <x v="3"/>
    <x v="11"/>
    <n v="3042"/>
    <s v="Noah Azevedo"/>
    <s v="294.018.735-50"/>
    <s v="294.018.735-50"/>
    <s v="Santa Catarina"/>
    <x v="9"/>
    <s v="Sim"/>
    <n v="45687"/>
    <x v="32"/>
  </r>
  <r>
    <x v="1110"/>
    <x v="1"/>
    <x v="2"/>
    <x v="1"/>
    <n v="3032"/>
    <s v="Srta. Maria Fernanda Lima"/>
    <s v="79415682337"/>
    <s v="794.156.823-37"/>
    <s v="Belém"/>
    <x v="1"/>
    <m/>
    <n v="45741"/>
    <x v="15"/>
  </r>
  <r>
    <x v="1111"/>
    <x v="0"/>
    <x v="1"/>
    <x v="9"/>
    <n v="3040"/>
    <s v="Eloah Dias"/>
    <s v="034.179.268-31"/>
    <s v="034.179.268-31"/>
    <s v="Jericoacara"/>
    <x v="6"/>
    <s v="Sim"/>
    <n v="45704"/>
    <x v="45"/>
  </r>
  <r>
    <x v="1112"/>
    <x v="0"/>
    <x v="0"/>
    <x v="11"/>
    <n v="3042"/>
    <s v="Bárbara Monteiro"/>
    <s v="28549367010"/>
    <s v="285.493.670-10"/>
    <s v="Santa Catarina"/>
    <x v="9"/>
    <m/>
    <n v="45742"/>
    <x v="39"/>
  </r>
  <r>
    <x v="1113"/>
    <x v="0"/>
    <x v="0"/>
    <x v="4"/>
    <n v="3035"/>
    <s v="Luana da Luz"/>
    <s v="760.592.138-12"/>
    <s v="760.592.138-12"/>
    <s v="Porto Alegre"/>
    <x v="4"/>
    <m/>
    <n v="45679"/>
    <x v="4"/>
  </r>
  <r>
    <x v="1114"/>
    <x v="0"/>
    <x v="2"/>
    <x v="9"/>
    <n v="3040"/>
    <s v="Guilherme Costa"/>
    <s v="357.940.128-97"/>
    <s v="357.940.128-97"/>
    <s v="Jericoacara"/>
    <x v="6"/>
    <s v="Sim"/>
    <n v="45693"/>
    <x v="28"/>
  </r>
  <r>
    <x v="1115"/>
    <x v="1"/>
    <x v="1"/>
    <x v="8"/>
    <n v="3039"/>
    <s v="Alícia Nunes"/>
    <s v="15924803732"/>
    <s v="159.248.037-32"/>
    <s v="Recife"/>
    <x v="8"/>
    <m/>
    <n v="45713"/>
    <x v="33"/>
  </r>
  <r>
    <x v="1116"/>
    <x v="1"/>
    <x v="2"/>
    <x v="9"/>
    <n v="3040"/>
    <s v="Elisa Farias"/>
    <s v="423.157.609-25"/>
    <s v="423.157.609-25"/>
    <s v="Jericoacara"/>
    <x v="6"/>
    <m/>
    <n v="45711"/>
    <x v="28"/>
  </r>
  <r>
    <x v="1117"/>
    <x v="0"/>
    <x v="3"/>
    <x v="7"/>
    <n v="3038"/>
    <s v="Bryan da Mota"/>
    <s v="12409578314"/>
    <s v="124.095.783-14"/>
    <s v="Natal"/>
    <x v="7"/>
    <m/>
    <n v="45703"/>
    <x v="12"/>
  </r>
  <r>
    <x v="1118"/>
    <x v="1"/>
    <x v="1"/>
    <x v="2"/>
    <n v="3033"/>
    <s v="Luiz Otávio Barros"/>
    <s v="51370698410"/>
    <s v="513.706.984-10"/>
    <s v="Tocantins"/>
    <x v="2"/>
    <s v="Sim"/>
    <n v="45667"/>
    <x v="6"/>
  </r>
  <r>
    <x v="1119"/>
    <x v="0"/>
    <x v="3"/>
    <x v="8"/>
    <n v="3039"/>
    <s v="Maria Sophia da Rosa"/>
    <s v="974.806.351-84"/>
    <s v="974.806.351-84"/>
    <s v="Recife"/>
    <x v="8"/>
    <m/>
    <n v="45733"/>
    <x v="8"/>
  </r>
  <r>
    <x v="1120"/>
    <x v="1"/>
    <x v="0"/>
    <x v="8"/>
    <n v="3039"/>
    <s v="Caroline Ramos"/>
    <s v="046.823.175-71"/>
    <s v="046.823.175-71"/>
    <s v="Recife"/>
    <x v="8"/>
    <m/>
    <n v="45707"/>
    <x v="14"/>
  </r>
  <r>
    <x v="1121"/>
    <x v="0"/>
    <x v="3"/>
    <x v="3"/>
    <n v="3034"/>
    <s v="Pedro Jesus"/>
    <s v="483.269.571-19"/>
    <s v="483.269.571-19"/>
    <s v="Salvador"/>
    <x v="3"/>
    <m/>
    <n v="45668"/>
    <x v="17"/>
  </r>
  <r>
    <x v="1122"/>
    <x v="0"/>
    <x v="2"/>
    <x v="1"/>
    <n v="3032"/>
    <s v="Luigi Almeida"/>
    <s v="587.319.042-97"/>
    <s v="587.319.042-97"/>
    <s v="Belém"/>
    <x v="1"/>
    <m/>
    <n v="45667"/>
    <x v="44"/>
  </r>
  <r>
    <x v="1123"/>
    <x v="1"/>
    <x v="1"/>
    <x v="4"/>
    <n v="3035"/>
    <s v="Heloísa Teixeira"/>
    <s v="231.675.984-09"/>
    <s v="231.675.984-09"/>
    <s v="Porto Alegre"/>
    <x v="4"/>
    <m/>
    <n v="45689"/>
    <x v="22"/>
  </r>
  <r>
    <x v="1124"/>
    <x v="0"/>
    <x v="2"/>
    <x v="2"/>
    <n v="3033"/>
    <s v="Lorena Cavalcanti"/>
    <s v="43271580626"/>
    <s v="432.715.806-26"/>
    <s v="Tocantins"/>
    <x v="2"/>
    <m/>
    <n v="45717"/>
    <x v="7"/>
  </r>
  <r>
    <x v="1125"/>
    <x v="1"/>
    <x v="2"/>
    <x v="11"/>
    <n v="3042"/>
    <s v="Bruna Martins"/>
    <s v="876.952.134-46"/>
    <s v="876.952.134-46"/>
    <s v="Santa Catarina"/>
    <x v="9"/>
    <m/>
    <n v="45741"/>
    <x v="10"/>
  </r>
  <r>
    <x v="1126"/>
    <x v="0"/>
    <x v="0"/>
    <x v="7"/>
    <n v="3038"/>
    <s v="João Lucas da Conceição"/>
    <s v="458.672.319-09"/>
    <s v="458.672.319-09"/>
    <s v="Natal"/>
    <x v="7"/>
    <m/>
    <n v="45712"/>
    <x v="43"/>
  </r>
  <r>
    <x v="1127"/>
    <x v="1"/>
    <x v="1"/>
    <x v="7"/>
    <n v="3038"/>
    <s v="Sophie Peixoto"/>
    <s v="069.321.847-96"/>
    <s v="069.321.847-96"/>
    <s v="Natal"/>
    <x v="7"/>
    <s v="Sim"/>
    <n v="45737"/>
    <x v="31"/>
  </r>
  <r>
    <x v="1128"/>
    <x v="1"/>
    <x v="2"/>
    <x v="2"/>
    <n v="3033"/>
    <s v="Srta. Cecília Fernandes"/>
    <s v="450.238.697-92"/>
    <s v="450.238.697-92"/>
    <s v="Tocantins"/>
    <x v="2"/>
    <m/>
    <n v="45735"/>
    <x v="7"/>
  </r>
  <r>
    <x v="1129"/>
    <x v="1"/>
    <x v="0"/>
    <x v="4"/>
    <n v="3035"/>
    <s v="Pedro Henrique Santos"/>
    <s v="74109523850"/>
    <s v="741.095.238-50"/>
    <s v="Porto Alegre"/>
    <x v="4"/>
    <s v="Sim"/>
    <n v="45728"/>
    <x v="22"/>
  </r>
  <r>
    <x v="1130"/>
    <x v="1"/>
    <x v="1"/>
    <x v="9"/>
    <n v="3040"/>
    <s v="Lorena Barbosa"/>
    <s v="673.245.809-47"/>
    <s v="673.245.809-47"/>
    <s v="Jericoacara"/>
    <x v="6"/>
    <s v="Sim"/>
    <n v="45663"/>
    <x v="16"/>
  </r>
  <r>
    <x v="1131"/>
    <x v="1"/>
    <x v="2"/>
    <x v="10"/>
    <n v="3041"/>
    <s v="Heloísa Freitas"/>
    <s v="857.203.169-30"/>
    <s v="857.203.169-30"/>
    <s v="Petrolina"/>
    <x v="8"/>
    <s v="Sim"/>
    <n v="45689"/>
    <x v="35"/>
  </r>
  <r>
    <x v="1132"/>
    <x v="1"/>
    <x v="3"/>
    <x v="5"/>
    <n v="3036"/>
    <s v="Sra. Brenda da Costa"/>
    <s v="943.807.162-87"/>
    <s v="943.807.162-87"/>
    <s v="Porto Velho"/>
    <x v="5"/>
    <m/>
    <n v="45712"/>
    <x v="9"/>
  </r>
  <r>
    <x v="1133"/>
    <x v="0"/>
    <x v="2"/>
    <x v="0"/>
    <n v="3031"/>
    <s v="Evelyn Aragão"/>
    <s v="21569380406"/>
    <s v="215.693.804-06"/>
    <s v="Amazonas"/>
    <x v="0"/>
    <s v="Sim"/>
    <n v="45703"/>
    <x v="5"/>
  </r>
  <r>
    <x v="1134"/>
    <x v="0"/>
    <x v="3"/>
    <x v="3"/>
    <n v="3034"/>
    <s v="Lorenzo Moreira"/>
    <s v="534.270.198-88"/>
    <s v="534.270.198-88"/>
    <s v="Salvador"/>
    <x v="3"/>
    <s v="Sim"/>
    <n v="45699"/>
    <x v="11"/>
  </r>
  <r>
    <x v="1135"/>
    <x v="0"/>
    <x v="2"/>
    <x v="10"/>
    <n v="3041"/>
    <s v="Luiza Barros"/>
    <s v="805.943.621-05"/>
    <s v="805.943.621-05"/>
    <s v="Petrolina"/>
    <x v="8"/>
    <m/>
    <n v="45734"/>
    <x v="28"/>
  </r>
  <r>
    <x v="1136"/>
    <x v="1"/>
    <x v="3"/>
    <x v="8"/>
    <n v="3039"/>
    <s v="Luiza Gomes"/>
    <s v="95180462398"/>
    <s v="951.804.623-98"/>
    <s v="Recife"/>
    <x v="8"/>
    <m/>
    <n v="45709"/>
    <x v="8"/>
  </r>
  <r>
    <x v="1137"/>
    <x v="1"/>
    <x v="0"/>
    <x v="11"/>
    <n v="3042"/>
    <s v="Luiz Gustavo Carvalho"/>
    <s v="973.608.214-87"/>
    <s v="973.608.214-87"/>
    <s v="Santa Catarina"/>
    <x v="9"/>
    <m/>
    <n v="45744"/>
    <x v="46"/>
  </r>
  <r>
    <x v="1138"/>
    <x v="1"/>
    <x v="3"/>
    <x v="0"/>
    <n v="3031"/>
    <s v="Srta. Milena Melo"/>
    <s v="12534609815"/>
    <s v="125.346.098-15"/>
    <s v="Amazonas"/>
    <x v="0"/>
    <m/>
    <n v="45658"/>
    <x v="0"/>
  </r>
  <r>
    <x v="1139"/>
    <x v="0"/>
    <x v="3"/>
    <x v="4"/>
    <n v="3035"/>
    <s v="Joana Aragão"/>
    <s v="03581274671"/>
    <s v="035.812.746-71"/>
    <s v="Porto Alegre"/>
    <x v="4"/>
    <m/>
    <n v="45709"/>
    <x v="22"/>
  </r>
  <r>
    <x v="1140"/>
    <x v="0"/>
    <x v="3"/>
    <x v="7"/>
    <n v="3038"/>
    <s v="Milena da Paz"/>
    <s v="95216870377"/>
    <s v="952.168.703-77"/>
    <s v="Natal"/>
    <x v="7"/>
    <m/>
    <n v="45660"/>
    <x v="12"/>
  </r>
  <r>
    <x v="1141"/>
    <x v="0"/>
    <x v="3"/>
    <x v="8"/>
    <n v="3039"/>
    <s v="Maria Barbosa"/>
    <s v="285.097.146-49"/>
    <s v="285.097.146-49"/>
    <s v="Recife"/>
    <x v="8"/>
    <m/>
    <n v="45677"/>
    <x v="34"/>
  </r>
  <r>
    <x v="1142"/>
    <x v="1"/>
    <x v="3"/>
    <x v="10"/>
    <n v="3041"/>
    <s v="Davi Lucca Pereira"/>
    <s v="43862017931"/>
    <s v="438.620.179-31"/>
    <s v="Petrolina"/>
    <x v="8"/>
    <m/>
    <n v="45738"/>
    <x v="32"/>
  </r>
  <r>
    <x v="1143"/>
    <x v="0"/>
    <x v="3"/>
    <x v="7"/>
    <n v="3038"/>
    <s v="Alice Pires"/>
    <s v="36098517401"/>
    <s v="360.985.174-01"/>
    <s v="Natal"/>
    <x v="7"/>
    <s v="Sim"/>
    <n v="45715"/>
    <x v="31"/>
  </r>
  <r>
    <x v="1144"/>
    <x v="1"/>
    <x v="3"/>
    <x v="5"/>
    <n v="3036"/>
    <s v="Bryan da Luz"/>
    <s v="891.760.325-40"/>
    <s v="891.760.325-40"/>
    <s v="Porto Velho"/>
    <x v="5"/>
    <m/>
    <n v="45730"/>
    <x v="3"/>
  </r>
  <r>
    <x v="1145"/>
    <x v="0"/>
    <x v="2"/>
    <x v="6"/>
    <n v="3037"/>
    <s v="Dr. Diogo da Rocha"/>
    <s v="18532409660"/>
    <s v="185.324.096-60"/>
    <s v="Fortaleza"/>
    <x v="6"/>
    <m/>
    <n v="45658"/>
    <x v="5"/>
  </r>
  <r>
    <x v="1146"/>
    <x v="1"/>
    <x v="0"/>
    <x v="3"/>
    <n v="3034"/>
    <s v="Yasmin Peixoto"/>
    <s v="61529037859"/>
    <s v="615.290.378-59"/>
    <s v="Salvador"/>
    <x v="3"/>
    <m/>
    <n v="45680"/>
    <x v="11"/>
  </r>
  <r>
    <x v="1147"/>
    <x v="0"/>
    <x v="1"/>
    <x v="2"/>
    <n v="3033"/>
    <s v="Srta. Milena Nogueira"/>
    <s v="70456283900"/>
    <s v="704.562.839-00"/>
    <s v="Tocantins"/>
    <x v="2"/>
    <m/>
    <n v="45675"/>
    <x v="4"/>
  </r>
  <r>
    <x v="1148"/>
    <x v="0"/>
    <x v="1"/>
    <x v="5"/>
    <n v="3036"/>
    <s v="Alana Costela"/>
    <s v="82953047638"/>
    <s v="829.530.476-38"/>
    <s v="Porto Velho"/>
    <x v="5"/>
    <m/>
    <n v="45742"/>
    <x v="27"/>
  </r>
  <r>
    <x v="1149"/>
    <x v="1"/>
    <x v="0"/>
    <x v="11"/>
    <n v="3042"/>
    <s v="Dra. Evelyn Moura"/>
    <s v="962.315.470-43"/>
    <s v="962.315.470-43"/>
    <s v="Santa Catarina"/>
    <x v="9"/>
    <m/>
    <n v="45693"/>
    <x v="37"/>
  </r>
  <r>
    <x v="1150"/>
    <x v="1"/>
    <x v="3"/>
    <x v="5"/>
    <n v="3036"/>
    <s v="Yuri da Cruz"/>
    <s v="07328645180"/>
    <s v="073.286.451-80"/>
    <s v="Porto Velho"/>
    <x v="5"/>
    <s v="Sim"/>
    <n v="45660"/>
    <x v="17"/>
  </r>
  <r>
    <x v="1151"/>
    <x v="0"/>
    <x v="0"/>
    <x v="4"/>
    <n v="3035"/>
    <s v="Isaac Araújo"/>
    <s v="702.384.695-65"/>
    <s v="702.384.695-65"/>
    <s v="Porto Alegre"/>
    <x v="4"/>
    <s v="Sim"/>
    <n v="45673"/>
    <x v="40"/>
  </r>
  <r>
    <x v="1152"/>
    <x v="0"/>
    <x v="3"/>
    <x v="1"/>
    <n v="3032"/>
    <s v="André Monteiro"/>
    <s v="31607948222"/>
    <s v="316.079.482-22"/>
    <s v="Belém"/>
    <x v="1"/>
    <s v="Sim"/>
    <n v="45671"/>
    <x v="47"/>
  </r>
  <r>
    <x v="1153"/>
    <x v="1"/>
    <x v="2"/>
    <x v="7"/>
    <n v="3038"/>
    <s v="Maysa Almeida"/>
    <s v="47821693022"/>
    <s v="478.216.930-22"/>
    <s v="Natal"/>
    <x v="7"/>
    <s v="Sim"/>
    <n v="45704"/>
    <x v="31"/>
  </r>
  <r>
    <x v="1154"/>
    <x v="1"/>
    <x v="1"/>
    <x v="7"/>
    <n v="3038"/>
    <s v="Sofia da Paz"/>
    <s v="239.615.078-21"/>
    <s v="239.615.078-21"/>
    <s v="Natal"/>
    <x v="7"/>
    <m/>
    <n v="45727"/>
    <x v="31"/>
  </r>
  <r>
    <x v="1155"/>
    <x v="1"/>
    <x v="1"/>
    <x v="3"/>
    <n v="3034"/>
    <s v="Esther Cavalcanti"/>
    <s v="394.152.786-09"/>
    <s v="394.152.786-09"/>
    <s v="Salvador"/>
    <x v="3"/>
    <s v="Sim"/>
    <n v="45722"/>
    <x v="23"/>
  </r>
  <r>
    <x v="1156"/>
    <x v="1"/>
    <x v="0"/>
    <x v="1"/>
    <n v="3032"/>
    <s v="Manuela Silveira"/>
    <s v="942.736.180-87"/>
    <s v="942.736.180-87"/>
    <s v="Belém"/>
    <x v="1"/>
    <m/>
    <n v="45730"/>
    <x v="15"/>
  </r>
  <r>
    <x v="1157"/>
    <x v="0"/>
    <x v="3"/>
    <x v="6"/>
    <n v="3037"/>
    <s v="Marina Barros"/>
    <s v="320.157.649-25"/>
    <s v="320.157.649-25"/>
    <s v="Fortaleza"/>
    <x v="6"/>
    <m/>
    <n v="45689"/>
    <x v="24"/>
  </r>
  <r>
    <x v="1158"/>
    <x v="0"/>
    <x v="3"/>
    <x v="10"/>
    <n v="3041"/>
    <s v="Murilo Rocha"/>
    <s v="753.849.601-75"/>
    <s v="753.849.601-75"/>
    <s v="Petrolina"/>
    <x v="8"/>
    <s v="Sim"/>
    <n v="45718"/>
    <x v="13"/>
  </r>
  <r>
    <x v="1159"/>
    <x v="0"/>
    <x v="3"/>
    <x v="11"/>
    <n v="3042"/>
    <s v="Marcelo Pires"/>
    <s v="14529687309"/>
    <s v="145.296.873-09"/>
    <s v="Santa Catarina"/>
    <x v="9"/>
    <m/>
    <n v="45722"/>
    <x v="37"/>
  </r>
  <r>
    <x v="1160"/>
    <x v="1"/>
    <x v="1"/>
    <x v="8"/>
    <n v="3039"/>
    <s v="Raul Mendes"/>
    <s v="841.623.059-51"/>
    <s v="841.623.059-51"/>
    <s v="Recife"/>
    <x v="8"/>
    <s v="Sim"/>
    <n v="45667"/>
    <x v="14"/>
  </r>
  <r>
    <x v="1161"/>
    <x v="1"/>
    <x v="0"/>
    <x v="11"/>
    <n v="3042"/>
    <s v="Lorenzo Correia"/>
    <s v="184.925.360-98"/>
    <s v="184.925.360-98"/>
    <s v="Santa Catarina"/>
    <x v="9"/>
    <m/>
    <n v="45742"/>
    <x v="32"/>
  </r>
  <r>
    <x v="1162"/>
    <x v="1"/>
    <x v="1"/>
    <x v="1"/>
    <n v="3032"/>
    <s v="Carolina Novaes"/>
    <s v="832.651.094-70"/>
    <s v="832.651.094-70"/>
    <s v="Belém"/>
    <x v="1"/>
    <m/>
    <n v="45709"/>
    <x v="38"/>
  </r>
  <r>
    <x v="1163"/>
    <x v="0"/>
    <x v="3"/>
    <x v="9"/>
    <n v="3040"/>
    <s v="Stephany da Costa"/>
    <s v="98064215749"/>
    <s v="980.642.157-49"/>
    <s v="Jericoacara"/>
    <x v="6"/>
    <s v="Sim"/>
    <n v="45694"/>
    <x v="28"/>
  </r>
  <r>
    <x v="1164"/>
    <x v="0"/>
    <x v="1"/>
    <x v="5"/>
    <n v="3036"/>
    <s v="Caio da Cunha"/>
    <s v="93246815089"/>
    <s v="932.468.150-89"/>
    <s v="Porto Velho"/>
    <x v="5"/>
    <m/>
    <n v="45696"/>
    <x v="17"/>
  </r>
  <r>
    <x v="1165"/>
    <x v="1"/>
    <x v="2"/>
    <x v="9"/>
    <n v="3040"/>
    <s v="João Pedro Silveira"/>
    <s v="678.219.035-40"/>
    <s v="678.219.035-40"/>
    <s v="Jericoacara"/>
    <x v="6"/>
    <m/>
    <n v="45726"/>
    <x v="24"/>
  </r>
  <r>
    <x v="1166"/>
    <x v="0"/>
    <x v="2"/>
    <x v="1"/>
    <n v="3032"/>
    <s v="Natália Lima"/>
    <s v="31069845701"/>
    <s v="310.698.457-01"/>
    <s v="Belém"/>
    <x v="1"/>
    <m/>
    <n v="45732"/>
    <x v="15"/>
  </r>
  <r>
    <x v="1167"/>
    <x v="0"/>
    <x v="2"/>
    <x v="1"/>
    <n v="3032"/>
    <s v="João Vitor da Cruz"/>
    <s v="693.120.874-87"/>
    <s v="693.120.874-87"/>
    <s v="Belém"/>
    <x v="1"/>
    <m/>
    <n v="45744"/>
    <x v="47"/>
  </r>
  <r>
    <x v="1168"/>
    <x v="0"/>
    <x v="2"/>
    <x v="5"/>
    <n v="3036"/>
    <s v="Ana Vitória da Costa"/>
    <s v="37258604910"/>
    <s v="372.586.049-10"/>
    <s v="Porto Velho"/>
    <x v="5"/>
    <m/>
    <n v="45708"/>
    <x v="13"/>
  </r>
  <r>
    <x v="1169"/>
    <x v="1"/>
    <x v="0"/>
    <x v="6"/>
    <n v="3037"/>
    <s v="Luiz Miguel Cavalcanti"/>
    <s v="973.582.041-23"/>
    <s v="973.582.041-23"/>
    <s v="Fortaleza"/>
    <x v="6"/>
    <m/>
    <n v="45672"/>
    <x v="5"/>
  </r>
  <r>
    <x v="1170"/>
    <x v="1"/>
    <x v="2"/>
    <x v="5"/>
    <n v="3036"/>
    <s v="Vitor Gabriel Mendes"/>
    <s v="40672831996"/>
    <s v="406.728.319-96"/>
    <s v="Porto Velho"/>
    <x v="5"/>
    <m/>
    <n v="45743"/>
    <x v="13"/>
  </r>
  <r>
    <x v="1171"/>
    <x v="1"/>
    <x v="0"/>
    <x v="7"/>
    <n v="3038"/>
    <s v="Dra. Vitória Rodrigues"/>
    <s v="431.059.267-80"/>
    <s v="431.059.267-80"/>
    <s v="Natal"/>
    <x v="7"/>
    <s v="Sim"/>
    <n v="45739"/>
    <x v="43"/>
  </r>
  <r>
    <x v="1172"/>
    <x v="0"/>
    <x v="0"/>
    <x v="1"/>
    <n v="3032"/>
    <s v="Sra. Kamilly Caldeira"/>
    <s v="148.257.693-73"/>
    <s v="148.257.693-73"/>
    <s v="Belém"/>
    <x v="1"/>
    <s v="Sim"/>
    <n v="45692"/>
    <x v="15"/>
  </r>
  <r>
    <x v="1173"/>
    <x v="0"/>
    <x v="2"/>
    <x v="2"/>
    <n v="3033"/>
    <s v="André Castro"/>
    <s v="73914820640"/>
    <s v="739.148.206-40"/>
    <s v="Tocantins"/>
    <x v="2"/>
    <s v="Sim"/>
    <n v="45712"/>
    <x v="7"/>
  </r>
  <r>
    <x v="1174"/>
    <x v="0"/>
    <x v="0"/>
    <x v="4"/>
    <n v="3035"/>
    <s v="Maria Fernanda Nascimento"/>
    <s v="986.047.523-74"/>
    <s v="986.047.523-74"/>
    <s v="Porto Alegre"/>
    <x v="4"/>
    <s v="Sim"/>
    <n v="45669"/>
    <x v="22"/>
  </r>
  <r>
    <x v="1175"/>
    <x v="1"/>
    <x v="1"/>
    <x v="7"/>
    <n v="3038"/>
    <s v="João Guilherme Peixoto"/>
    <s v="60573981221"/>
    <s v="605.739.812-21"/>
    <s v="Natal"/>
    <x v="7"/>
    <m/>
    <n v="45722"/>
    <x v="43"/>
  </r>
  <r>
    <x v="1176"/>
    <x v="0"/>
    <x v="2"/>
    <x v="2"/>
    <n v="3033"/>
    <s v="Enrico da Mata"/>
    <s v="051.239.876-30"/>
    <s v="051.239.876-30"/>
    <s v="Tocantins"/>
    <x v="2"/>
    <m/>
    <n v="45737"/>
    <x v="2"/>
  </r>
  <r>
    <x v="1177"/>
    <x v="1"/>
    <x v="2"/>
    <x v="0"/>
    <n v="3031"/>
    <s v="Isabel Moraes"/>
    <s v="347.602.981-69"/>
    <s v="347.602.981-69"/>
    <s v="Amazonas"/>
    <x v="0"/>
    <m/>
    <n v="45732"/>
    <x v="5"/>
  </r>
  <r>
    <x v="1178"/>
    <x v="1"/>
    <x v="1"/>
    <x v="7"/>
    <n v="3038"/>
    <s v="Emanuel Vieira"/>
    <s v="56981307286"/>
    <s v="569.813.072-86"/>
    <s v="Natal"/>
    <x v="7"/>
    <m/>
    <n v="45717"/>
    <x v="43"/>
  </r>
  <r>
    <x v="1179"/>
    <x v="1"/>
    <x v="1"/>
    <x v="0"/>
    <n v="3031"/>
    <s v="Sarah Dias"/>
    <s v="541.903.287-23"/>
    <s v="541.903.287-23"/>
    <s v="Amazonas"/>
    <x v="0"/>
    <m/>
    <n v="45720"/>
    <x v="26"/>
  </r>
  <r>
    <x v="1180"/>
    <x v="1"/>
    <x v="3"/>
    <x v="10"/>
    <n v="3041"/>
    <s v="Vitor Gabriel Nascimento"/>
    <s v="347.269.508-00"/>
    <s v="347.269.508-00"/>
    <s v="Petrolina"/>
    <x v="8"/>
    <m/>
    <n v="45689"/>
    <x v="42"/>
  </r>
  <r>
    <x v="1181"/>
    <x v="1"/>
    <x v="3"/>
    <x v="4"/>
    <n v="3035"/>
    <s v="Carlos Eduardo da Mota"/>
    <s v="948.675.130-75"/>
    <s v="948.675.130-75"/>
    <s v="Porto Alegre"/>
    <x v="4"/>
    <m/>
    <n v="45677"/>
    <x v="8"/>
  </r>
  <r>
    <x v="1182"/>
    <x v="1"/>
    <x v="3"/>
    <x v="7"/>
    <n v="3038"/>
    <s v="Bryan Nunes"/>
    <s v="425.983.160-70"/>
    <s v="425.983.160-70"/>
    <s v="Natal"/>
    <x v="7"/>
    <m/>
    <n v="45740"/>
    <x v="34"/>
  </r>
  <r>
    <x v="1183"/>
    <x v="1"/>
    <x v="1"/>
    <x v="3"/>
    <n v="3034"/>
    <s v="Sra. Mariana Cardoso"/>
    <s v="537.601.428-26"/>
    <s v="537.601.428-26"/>
    <s v="Salvador"/>
    <x v="3"/>
    <m/>
    <n v="45660"/>
    <x v="11"/>
  </r>
  <r>
    <x v="1184"/>
    <x v="0"/>
    <x v="2"/>
    <x v="7"/>
    <n v="3038"/>
    <s v="Clarice das Neves"/>
    <s v="39751604893"/>
    <s v="397.516.048-93"/>
    <s v="Natal"/>
    <x v="7"/>
    <m/>
    <n v="45660"/>
    <x v="43"/>
  </r>
  <r>
    <x v="1185"/>
    <x v="0"/>
    <x v="1"/>
    <x v="1"/>
    <n v="3032"/>
    <s v="Luana Pires"/>
    <s v="683.714.925-37"/>
    <s v="683.714.925-37"/>
    <s v="Belém"/>
    <x v="1"/>
    <s v="Sim"/>
    <n v="45730"/>
    <x v="41"/>
  </r>
  <r>
    <x v="1186"/>
    <x v="0"/>
    <x v="2"/>
    <x v="3"/>
    <n v="3034"/>
    <s v="Thales Moreira"/>
    <s v="465.218.903-60"/>
    <s v="465.218.903-60"/>
    <s v="Salvador"/>
    <x v="3"/>
    <m/>
    <n v="45689"/>
    <x v="22"/>
  </r>
  <r>
    <x v="1187"/>
    <x v="0"/>
    <x v="1"/>
    <x v="0"/>
    <n v="3031"/>
    <s v="Srta. Vitória Teixeira"/>
    <s v="92164380533"/>
    <s v="921.643.805-33"/>
    <s v="Amazonas"/>
    <x v="0"/>
    <s v="Sim"/>
    <n v="45727"/>
    <x v="26"/>
  </r>
  <r>
    <x v="1188"/>
    <x v="1"/>
    <x v="0"/>
    <x v="1"/>
    <n v="3032"/>
    <s v="Sr. Lucas Gabriel Fogaça"/>
    <s v="90743568265"/>
    <s v="907.435.682-65"/>
    <s v="Belém"/>
    <x v="1"/>
    <m/>
    <n v="45660"/>
    <x v="38"/>
  </r>
  <r>
    <x v="1189"/>
    <x v="0"/>
    <x v="1"/>
    <x v="3"/>
    <n v="3034"/>
    <s v="Lavínia Caldeira"/>
    <s v="572.098.641-30"/>
    <s v="572.098.641-30"/>
    <s v="Salvador"/>
    <x v="3"/>
    <m/>
    <n v="45713"/>
    <x v="17"/>
  </r>
  <r>
    <x v="1190"/>
    <x v="1"/>
    <x v="1"/>
    <x v="7"/>
    <n v="3038"/>
    <s v="Thomas Araújo"/>
    <s v="97651382455"/>
    <s v="976.513.824-55"/>
    <s v="Natal"/>
    <x v="7"/>
    <m/>
    <n v="45688"/>
    <x v="8"/>
  </r>
  <r>
    <x v="1191"/>
    <x v="1"/>
    <x v="3"/>
    <x v="3"/>
    <n v="3034"/>
    <s v="Pietra Jesus"/>
    <s v="53614920860"/>
    <s v="536.149.208-60"/>
    <s v="Salvador"/>
    <x v="3"/>
    <m/>
    <n v="45727"/>
    <x v="5"/>
  </r>
  <r>
    <x v="1192"/>
    <x v="0"/>
    <x v="3"/>
    <x v="9"/>
    <n v="3040"/>
    <s v="Sr. Yago Cardoso"/>
    <s v="91658742001"/>
    <s v="916.587.420-01"/>
    <s v="Jericoacara"/>
    <x v="6"/>
    <m/>
    <n v="45739"/>
    <x v="28"/>
  </r>
  <r>
    <x v="1193"/>
    <x v="1"/>
    <x v="3"/>
    <x v="8"/>
    <n v="3039"/>
    <s v="Antônio Sales"/>
    <s v="15903487297"/>
    <s v="159.034.872-97"/>
    <s v="Recife"/>
    <x v="8"/>
    <m/>
    <n v="45725"/>
    <x v="14"/>
  </r>
  <r>
    <x v="1194"/>
    <x v="1"/>
    <x v="2"/>
    <x v="11"/>
    <n v="3042"/>
    <s v="Beatriz Mendes"/>
    <s v="214.983.650-51"/>
    <s v="214.983.650-51"/>
    <s v="Santa Catarina"/>
    <x v="9"/>
    <m/>
    <n v="45675"/>
    <x v="32"/>
  </r>
  <r>
    <x v="1195"/>
    <x v="1"/>
    <x v="0"/>
    <x v="8"/>
    <n v="3039"/>
    <s v="João da Paz"/>
    <s v="351.290.648-60"/>
    <s v="351.290.648-60"/>
    <s v="Recife"/>
    <x v="8"/>
    <m/>
    <n v="45712"/>
    <x v="48"/>
  </r>
  <r>
    <x v="1196"/>
    <x v="1"/>
    <x v="3"/>
    <x v="4"/>
    <n v="3035"/>
    <s v="Rodrigo Moura"/>
    <s v="120.475.893-04"/>
    <s v="120.475.893-04"/>
    <s v="Porto Alegre"/>
    <x v="4"/>
    <m/>
    <n v="45660"/>
    <x v="40"/>
  </r>
  <r>
    <x v="1197"/>
    <x v="1"/>
    <x v="2"/>
    <x v="0"/>
    <n v="3031"/>
    <s v="Maria Fernanda Moura"/>
    <s v="123.547.980-32"/>
    <s v="123.547.980-32"/>
    <s v="Amazonas"/>
    <x v="0"/>
    <m/>
    <n v="45691"/>
    <x v="26"/>
  </r>
  <r>
    <x v="1198"/>
    <x v="0"/>
    <x v="2"/>
    <x v="9"/>
    <n v="3040"/>
    <s v="Rodrigo da Costa"/>
    <s v="95238146051"/>
    <s v="952.381.460-51"/>
    <s v="Jericoacara"/>
    <x v="6"/>
    <m/>
    <n v="45718"/>
    <x v="16"/>
  </r>
  <r>
    <x v="1199"/>
    <x v="0"/>
    <x v="2"/>
    <x v="9"/>
    <n v="3040"/>
    <s v="Luiz Otávio Costa"/>
    <s v="491.257.803-79"/>
    <s v="491.257.803-79"/>
    <s v="Jericoacara"/>
    <x v="6"/>
    <m/>
    <n v="45676"/>
    <x v="45"/>
  </r>
  <r>
    <x v="1200"/>
    <x v="1"/>
    <x v="1"/>
    <x v="9"/>
    <n v="3040"/>
    <s v="Brenda Mendes"/>
    <s v="786.930.415-84"/>
    <s v="786.930.415-84"/>
    <s v="Jericoacara"/>
    <x v="6"/>
    <m/>
    <n v="45693"/>
    <x v="16"/>
  </r>
  <r>
    <x v="1201"/>
    <x v="1"/>
    <x v="2"/>
    <x v="9"/>
    <n v="3040"/>
    <s v="Erick Rodrigues"/>
    <s v="36027958456"/>
    <s v="360.279.584-56"/>
    <s v="Jericoacara"/>
    <x v="6"/>
    <m/>
    <n v="45722"/>
    <x v="45"/>
  </r>
  <r>
    <x v="1202"/>
    <x v="0"/>
    <x v="3"/>
    <x v="10"/>
    <n v="3041"/>
    <s v="Giovanna Souza"/>
    <s v="98674125085"/>
    <s v="986.741.250-85"/>
    <s v="Petrolina"/>
    <x v="8"/>
    <m/>
    <n v="45701"/>
    <x v="23"/>
  </r>
  <r>
    <x v="1203"/>
    <x v="1"/>
    <x v="0"/>
    <x v="9"/>
    <n v="3040"/>
    <s v="Gustavo Pereira"/>
    <s v="698.037.541-57"/>
    <s v="698.037.541-57"/>
    <s v="Jericoacara"/>
    <x v="6"/>
    <m/>
    <n v="45712"/>
    <x v="20"/>
  </r>
  <r>
    <x v="1204"/>
    <x v="1"/>
    <x v="2"/>
    <x v="1"/>
    <n v="3032"/>
    <s v="Mariana Nogueira"/>
    <s v="479.650.832-56"/>
    <s v="479.650.832-56"/>
    <s v="Belém"/>
    <x v="1"/>
    <s v="Sim"/>
    <n v="45687"/>
    <x v="1"/>
  </r>
  <r>
    <x v="1205"/>
    <x v="0"/>
    <x v="3"/>
    <x v="0"/>
    <n v="3031"/>
    <s v="Sofia Viana"/>
    <s v="25047891658"/>
    <s v="250.478.916-58"/>
    <s v="Amazonas"/>
    <x v="0"/>
    <m/>
    <n v="45692"/>
    <x v="0"/>
  </r>
  <r>
    <x v="1206"/>
    <x v="0"/>
    <x v="2"/>
    <x v="11"/>
    <n v="3042"/>
    <s v="Ana Beatriz Pinto"/>
    <s v="89247016304"/>
    <s v="892.470.163-04"/>
    <s v="Santa Catarina"/>
    <x v="9"/>
    <m/>
    <n v="45676"/>
    <x v="24"/>
  </r>
  <r>
    <x v="1207"/>
    <x v="0"/>
    <x v="0"/>
    <x v="8"/>
    <n v="3039"/>
    <s v="Theo Lopes"/>
    <s v="13794508610"/>
    <s v="137.945.086-10"/>
    <s v="Recife"/>
    <x v="8"/>
    <m/>
    <n v="45678"/>
    <x v="33"/>
  </r>
  <r>
    <x v="1208"/>
    <x v="0"/>
    <x v="0"/>
    <x v="5"/>
    <n v="3036"/>
    <s v="Srta. Evelyn Almeida"/>
    <s v="352.917.604-43"/>
    <s v="352.917.604-43"/>
    <s v="Porto Velho"/>
    <x v="5"/>
    <s v="Sim"/>
    <n v="45671"/>
    <x v="27"/>
  </r>
  <r>
    <x v="1209"/>
    <x v="0"/>
    <x v="2"/>
    <x v="5"/>
    <n v="3036"/>
    <s v="Elisa Ferreira"/>
    <s v="64359278047"/>
    <s v="643.592.780-47"/>
    <s v="Porto Velho"/>
    <x v="5"/>
    <m/>
    <n v="45698"/>
    <x v="3"/>
  </r>
  <r>
    <x v="1210"/>
    <x v="0"/>
    <x v="2"/>
    <x v="4"/>
    <n v="3035"/>
    <s v="Isis Freitas"/>
    <s v="374.809.521-04"/>
    <s v="374.809.521-04"/>
    <s v="Porto Alegre"/>
    <x v="4"/>
    <s v="Sim"/>
    <n v="45670"/>
    <x v="26"/>
  </r>
  <r>
    <x v="1211"/>
    <x v="1"/>
    <x v="0"/>
    <x v="4"/>
    <n v="3035"/>
    <s v="Olivia das Neves"/>
    <s v="19873062521"/>
    <s v="198.730.625-21"/>
    <s v="Porto Alegre"/>
    <x v="4"/>
    <s v="Sim"/>
    <n v="45674"/>
    <x v="22"/>
  </r>
  <r>
    <x v="1212"/>
    <x v="1"/>
    <x v="2"/>
    <x v="1"/>
    <n v="3032"/>
    <s v="Sra. Nina Novaes"/>
    <s v="489.276.031-50"/>
    <s v="489.276.031-50"/>
    <s v="Belém"/>
    <x v="1"/>
    <s v="Sim"/>
    <n v="45737"/>
    <x v="7"/>
  </r>
  <r>
    <x v="1213"/>
    <x v="0"/>
    <x v="0"/>
    <x v="5"/>
    <n v="3036"/>
    <s v="Bryan Sales"/>
    <s v="32096745829"/>
    <s v="320.967.458-29"/>
    <s v="Porto Velho"/>
    <x v="5"/>
    <m/>
    <n v="45738"/>
    <x v="13"/>
  </r>
  <r>
    <x v="1214"/>
    <x v="0"/>
    <x v="3"/>
    <x v="11"/>
    <n v="3042"/>
    <s v="Carolina Cardoso"/>
    <s v="13642897096"/>
    <s v="136.428.970-96"/>
    <s v="Santa Catarina"/>
    <x v="9"/>
    <m/>
    <n v="45722"/>
    <x v="10"/>
  </r>
  <r>
    <x v="1215"/>
    <x v="1"/>
    <x v="3"/>
    <x v="8"/>
    <n v="3039"/>
    <s v="Stella da Mota"/>
    <s v="350.471.268-62"/>
    <s v="350.471.268-62"/>
    <s v="Recife"/>
    <x v="8"/>
    <s v="Sim"/>
    <n v="45691"/>
    <x v="34"/>
  </r>
  <r>
    <x v="1216"/>
    <x v="1"/>
    <x v="2"/>
    <x v="11"/>
    <n v="3042"/>
    <s v="Catarina Caldeira"/>
    <s v="692.740.158-01"/>
    <s v="692.740.158-01"/>
    <s v="Santa Catarina"/>
    <x v="9"/>
    <m/>
    <n v="45690"/>
    <x v="37"/>
  </r>
  <r>
    <x v="1217"/>
    <x v="0"/>
    <x v="2"/>
    <x v="11"/>
    <n v="3042"/>
    <s v="Rebeca Pires"/>
    <s v="071.684.239-40"/>
    <s v="071.684.239-40"/>
    <s v="Santa Catarina"/>
    <x v="9"/>
    <m/>
    <n v="45671"/>
    <x v="39"/>
  </r>
  <r>
    <x v="1218"/>
    <x v="1"/>
    <x v="1"/>
    <x v="4"/>
    <n v="3035"/>
    <s v="Gabrielly Caldeira"/>
    <s v="196.470.823-04"/>
    <s v="196.470.823-04"/>
    <s v="Porto Alegre"/>
    <x v="4"/>
    <s v="Sim"/>
    <n v="45693"/>
    <x v="4"/>
  </r>
  <r>
    <x v="1219"/>
    <x v="1"/>
    <x v="1"/>
    <x v="2"/>
    <n v="3033"/>
    <s v="Danilo Cavalcanti"/>
    <s v="306.847.925-83"/>
    <s v="306.847.925-83"/>
    <s v="Tocantins"/>
    <x v="2"/>
    <m/>
    <n v="45741"/>
    <x v="7"/>
  </r>
  <r>
    <x v="1220"/>
    <x v="0"/>
    <x v="1"/>
    <x v="8"/>
    <n v="3039"/>
    <s v="Vitor Hugo Azevedo"/>
    <s v="98105347288"/>
    <s v="981.053.472-88"/>
    <s v="Recife"/>
    <x v="8"/>
    <m/>
    <n v="45701"/>
    <x v="34"/>
  </r>
  <r>
    <x v="1221"/>
    <x v="1"/>
    <x v="2"/>
    <x v="9"/>
    <n v="3040"/>
    <s v="Srta. Nina Rodrigues"/>
    <s v="94573618228"/>
    <s v="945.736.182-28"/>
    <s v="Jericoacara"/>
    <x v="6"/>
    <m/>
    <n v="45679"/>
    <x v="45"/>
  </r>
  <r>
    <x v="1222"/>
    <x v="0"/>
    <x v="2"/>
    <x v="0"/>
    <n v="3031"/>
    <s v="Gustavo Henrique da Luz"/>
    <s v="642.750.318-90"/>
    <s v="642.750.318-90"/>
    <s v="Amazonas"/>
    <x v="0"/>
    <s v="Sim"/>
    <n v="45662"/>
    <x v="9"/>
  </r>
  <r>
    <x v="1223"/>
    <x v="1"/>
    <x v="2"/>
    <x v="4"/>
    <n v="3035"/>
    <s v="Júlia Viana"/>
    <s v="362.857.194-46"/>
    <s v="362.857.194-46"/>
    <s v="Porto Alegre"/>
    <x v="4"/>
    <m/>
    <n v="45743"/>
    <x v="8"/>
  </r>
  <r>
    <x v="1224"/>
    <x v="1"/>
    <x v="1"/>
    <x v="5"/>
    <n v="3036"/>
    <s v="Laís Porto"/>
    <s v="769.285.304-56"/>
    <s v="769.285.304-56"/>
    <s v="Porto Velho"/>
    <x v="5"/>
    <s v="Sim"/>
    <n v="45681"/>
    <x v="17"/>
  </r>
  <r>
    <x v="1225"/>
    <x v="1"/>
    <x v="0"/>
    <x v="11"/>
    <n v="3042"/>
    <s v="Theo da Mota"/>
    <s v="93584627109"/>
    <s v="935.846.271-09"/>
    <s v="Santa Catarina"/>
    <x v="9"/>
    <s v="Sim"/>
    <n v="45678"/>
    <x v="46"/>
  </r>
  <r>
    <x v="1226"/>
    <x v="0"/>
    <x v="1"/>
    <x v="10"/>
    <n v="3041"/>
    <s v="Bianca Ribeiro"/>
    <s v="187.243.056-26"/>
    <s v="187.243.056-26"/>
    <s v="Petrolina"/>
    <x v="8"/>
    <m/>
    <n v="45690"/>
    <x v="28"/>
  </r>
  <r>
    <x v="1227"/>
    <x v="1"/>
    <x v="3"/>
    <x v="4"/>
    <n v="3035"/>
    <s v="Bruna Nogueira"/>
    <s v="86230197502"/>
    <s v="862.301.975-02"/>
    <s v="Porto Alegre"/>
    <x v="4"/>
    <s v="Sim"/>
    <n v="45684"/>
    <x v="26"/>
  </r>
  <r>
    <x v="1228"/>
    <x v="1"/>
    <x v="2"/>
    <x v="5"/>
    <n v="3036"/>
    <s v="Dra. Maria Fernanda da Costa"/>
    <s v="632.879.150-02"/>
    <s v="632.879.150-02"/>
    <s v="Porto Velho"/>
    <x v="5"/>
    <m/>
    <n v="45732"/>
    <x v="9"/>
  </r>
  <r>
    <x v="1229"/>
    <x v="0"/>
    <x v="0"/>
    <x v="5"/>
    <n v="3036"/>
    <s v="Gabrielly Souza"/>
    <s v="01896547320"/>
    <s v="018.965.473-20"/>
    <s v="Porto Velho"/>
    <x v="5"/>
    <m/>
    <n v="45688"/>
    <x v="27"/>
  </r>
  <r>
    <x v="1230"/>
    <x v="0"/>
    <x v="1"/>
    <x v="1"/>
    <n v="3032"/>
    <s v="Sr. Vinicius da Costa"/>
    <s v="34128697591"/>
    <s v="341.286.975-91"/>
    <s v="Belém"/>
    <x v="1"/>
    <m/>
    <n v="45726"/>
    <x v="25"/>
  </r>
  <r>
    <x v="1231"/>
    <x v="1"/>
    <x v="3"/>
    <x v="5"/>
    <n v="3036"/>
    <s v="Gustavo Jesus"/>
    <s v="182.963.075-02"/>
    <s v="182.963.075-02"/>
    <s v="Porto Velho"/>
    <x v="5"/>
    <s v="Sim"/>
    <n v="45673"/>
    <x v="9"/>
  </r>
  <r>
    <x v="1232"/>
    <x v="1"/>
    <x v="2"/>
    <x v="2"/>
    <n v="3033"/>
    <s v="Maria Clara Ribeiro"/>
    <s v="43157809288"/>
    <s v="431.578.092-88"/>
    <s v="Tocantins"/>
    <x v="2"/>
    <s v="Sim"/>
    <n v="45743"/>
    <x v="2"/>
  </r>
  <r>
    <x v="1233"/>
    <x v="0"/>
    <x v="1"/>
    <x v="0"/>
    <n v="3031"/>
    <s v="Lorena Nascimento"/>
    <s v="720.458.369-83"/>
    <s v="720.458.369-83"/>
    <s v="Amazonas"/>
    <x v="0"/>
    <m/>
    <n v="45701"/>
    <x v="3"/>
  </r>
  <r>
    <x v="1234"/>
    <x v="1"/>
    <x v="2"/>
    <x v="3"/>
    <n v="3034"/>
    <s v="Luigi Monteiro"/>
    <s v="519.087.234-32"/>
    <s v="519.087.234-32"/>
    <s v="Salvador"/>
    <x v="3"/>
    <m/>
    <n v="45672"/>
    <x v="17"/>
  </r>
  <r>
    <x v="1235"/>
    <x v="1"/>
    <x v="0"/>
    <x v="9"/>
    <n v="3040"/>
    <s v="Raul da Paz"/>
    <s v="54128306762"/>
    <s v="541.283.067-62"/>
    <s v="Jericoacara"/>
    <x v="6"/>
    <m/>
    <n v="45674"/>
    <x v="24"/>
  </r>
  <r>
    <x v="1236"/>
    <x v="1"/>
    <x v="3"/>
    <x v="5"/>
    <n v="3036"/>
    <s v="Dr. Diogo Silva"/>
    <s v="480.321.756-44"/>
    <s v="480.321.756-44"/>
    <s v="Porto Velho"/>
    <x v="5"/>
    <m/>
    <n v="45726"/>
    <x v="27"/>
  </r>
  <r>
    <x v="1237"/>
    <x v="0"/>
    <x v="0"/>
    <x v="9"/>
    <n v="3040"/>
    <s v="Francisco Porto"/>
    <s v="650.283.714-07"/>
    <s v="650.283.714-07"/>
    <s v="Jericoacara"/>
    <x v="6"/>
    <m/>
    <n v="45670"/>
    <x v="28"/>
  </r>
  <r>
    <x v="1238"/>
    <x v="0"/>
    <x v="0"/>
    <x v="9"/>
    <n v="3040"/>
    <s v="Alana Aragão"/>
    <s v="463.785.021-53"/>
    <s v="463.785.021-53"/>
    <s v="Jericoacara"/>
    <x v="6"/>
    <s v="Sim"/>
    <n v="45725"/>
    <x v="20"/>
  </r>
  <r>
    <x v="1239"/>
    <x v="0"/>
    <x v="3"/>
    <x v="6"/>
    <n v="3037"/>
    <s v="Helena Moreira"/>
    <s v="869.521.734-55"/>
    <s v="869.521.734-55"/>
    <s v="Fortaleza"/>
    <x v="6"/>
    <s v="Sim"/>
    <n v="45711"/>
    <x v="10"/>
  </r>
  <r>
    <x v="1240"/>
    <x v="0"/>
    <x v="0"/>
    <x v="9"/>
    <n v="3040"/>
    <s v="Luigi Gomes"/>
    <s v="41750263980"/>
    <s v="417.502.639-80"/>
    <s v="Jericoacara"/>
    <x v="6"/>
    <m/>
    <n v="45736"/>
    <x v="24"/>
  </r>
  <r>
    <x v="1241"/>
    <x v="1"/>
    <x v="0"/>
    <x v="0"/>
    <n v="3031"/>
    <s v="Felipe Cardoso"/>
    <s v="251.746.039-61"/>
    <s v="251.746.039-61"/>
    <s v="Amazonas"/>
    <x v="0"/>
    <s v="Sim"/>
    <n v="45728"/>
    <x v="26"/>
  </r>
  <r>
    <x v="1242"/>
    <x v="0"/>
    <x v="3"/>
    <x v="7"/>
    <n v="3038"/>
    <s v="Vicente Mendes"/>
    <s v="912.453.760-80"/>
    <s v="912.453.760-80"/>
    <s v="Natal"/>
    <x v="7"/>
    <m/>
    <n v="45717"/>
    <x v="30"/>
  </r>
  <r>
    <x v="1243"/>
    <x v="1"/>
    <x v="2"/>
    <x v="1"/>
    <n v="3032"/>
    <s v="Benício Cunha"/>
    <s v="31205648933"/>
    <s v="312.056.489-33"/>
    <s v="Belém"/>
    <x v="1"/>
    <m/>
    <n v="45678"/>
    <x v="7"/>
  </r>
  <r>
    <x v="1244"/>
    <x v="0"/>
    <x v="2"/>
    <x v="2"/>
    <n v="3033"/>
    <s v="Theo Cardoso"/>
    <s v="653.719.842-91"/>
    <s v="653.719.842-91"/>
    <s v="Tocantins"/>
    <x v="2"/>
    <m/>
    <n v="45729"/>
    <x v="7"/>
  </r>
  <r>
    <x v="1245"/>
    <x v="1"/>
    <x v="1"/>
    <x v="5"/>
    <n v="3036"/>
    <s v="Maria Sophia Caldeira"/>
    <s v="720.915.863-40"/>
    <s v="720.915.863-40"/>
    <s v="Porto Velho"/>
    <x v="5"/>
    <m/>
    <n v="45725"/>
    <x v="13"/>
  </r>
  <r>
    <x v="1246"/>
    <x v="1"/>
    <x v="0"/>
    <x v="1"/>
    <n v="3032"/>
    <s v="Samuel Cardoso"/>
    <s v="325.617.984-37"/>
    <s v="325.617.984-37"/>
    <s v="Belém"/>
    <x v="1"/>
    <s v="Sim"/>
    <n v="45716"/>
    <x v="15"/>
  </r>
  <r>
    <x v="1247"/>
    <x v="1"/>
    <x v="1"/>
    <x v="1"/>
    <n v="3032"/>
    <s v="Lívia Gomes"/>
    <s v="364.821.057-26"/>
    <s v="364.821.057-26"/>
    <s v="Belém"/>
    <x v="1"/>
    <m/>
    <n v="45685"/>
    <x v="15"/>
  </r>
  <r>
    <x v="1248"/>
    <x v="0"/>
    <x v="0"/>
    <x v="6"/>
    <n v="3037"/>
    <s v="Bernardo Caldeira"/>
    <s v="175.804.369-57"/>
    <s v="175.804.369-57"/>
    <s v="Fortaleza"/>
    <x v="6"/>
    <s v="Sim"/>
    <n v="45659"/>
    <x v="5"/>
  </r>
  <r>
    <x v="1249"/>
    <x v="1"/>
    <x v="3"/>
    <x v="4"/>
    <n v="3035"/>
    <s v="Dra. Ana Laura Lopes"/>
    <s v="95142837673"/>
    <s v="951.428.376-73"/>
    <s v="Porto Alegre"/>
    <x v="4"/>
    <m/>
    <n v="45693"/>
    <x v="26"/>
  </r>
  <r>
    <x v="1250"/>
    <x v="0"/>
    <x v="2"/>
    <x v="3"/>
    <n v="3034"/>
    <s v="Fernanda Rodrigues"/>
    <s v="583.146.029-06"/>
    <s v="583.146.029-06"/>
    <s v="Salvador"/>
    <x v="3"/>
    <m/>
    <n v="45697"/>
    <x v="17"/>
  </r>
  <r>
    <x v="1251"/>
    <x v="1"/>
    <x v="3"/>
    <x v="5"/>
    <n v="3036"/>
    <s v="Letícia Martins"/>
    <s v="67831594000"/>
    <s v="678.315.940-00"/>
    <s v="Porto Velho"/>
    <x v="5"/>
    <m/>
    <n v="45742"/>
    <x v="9"/>
  </r>
  <r>
    <x v="1252"/>
    <x v="1"/>
    <x v="3"/>
    <x v="11"/>
    <n v="3042"/>
    <s v="Yuri Lopes"/>
    <s v="62980315702"/>
    <s v="629.803.157-02"/>
    <s v="Santa Catarina"/>
    <x v="9"/>
    <m/>
    <n v="45679"/>
    <x v="39"/>
  </r>
  <r>
    <x v="1253"/>
    <x v="1"/>
    <x v="0"/>
    <x v="8"/>
    <n v="3039"/>
    <s v="Anthony Novaes"/>
    <s v="72481035941"/>
    <s v="724.810.359-41"/>
    <s v="Recife"/>
    <x v="8"/>
    <m/>
    <n v="45687"/>
    <x v="16"/>
  </r>
  <r>
    <x v="1254"/>
    <x v="0"/>
    <x v="0"/>
    <x v="8"/>
    <n v="3039"/>
    <s v="Emilly Dias"/>
    <s v="378.961.520-02"/>
    <s v="378.961.520-02"/>
    <s v="Recife"/>
    <x v="8"/>
    <m/>
    <n v="45692"/>
    <x v="8"/>
  </r>
  <r>
    <x v="1255"/>
    <x v="0"/>
    <x v="3"/>
    <x v="2"/>
    <n v="3033"/>
    <s v="Bernardo Martins"/>
    <s v="74218365946"/>
    <s v="742.183.659-46"/>
    <s v="Tocantins"/>
    <x v="2"/>
    <m/>
    <n v="45659"/>
    <x v="8"/>
  </r>
  <r>
    <x v="1256"/>
    <x v="0"/>
    <x v="1"/>
    <x v="2"/>
    <n v="3033"/>
    <s v="Pedro Lucas da Cruz"/>
    <s v="54680712317"/>
    <s v="546.807.123-17"/>
    <s v="Tocantins"/>
    <x v="2"/>
    <m/>
    <n v="45691"/>
    <x v="7"/>
  </r>
  <r>
    <x v="1257"/>
    <x v="0"/>
    <x v="3"/>
    <x v="6"/>
    <n v="3037"/>
    <s v="Sra. Olivia Costela"/>
    <s v="571.032.964-99"/>
    <s v="571.032.964-99"/>
    <s v="Fortaleza"/>
    <x v="6"/>
    <s v="Sim"/>
    <n v="45689"/>
    <x v="26"/>
  </r>
  <r>
    <x v="1258"/>
    <x v="0"/>
    <x v="2"/>
    <x v="9"/>
    <n v="3040"/>
    <s v="Srta. Gabrielly Ribeiro"/>
    <s v="485.921.630-05"/>
    <s v="485.921.630-05"/>
    <s v="Jericoacara"/>
    <x v="6"/>
    <m/>
    <n v="45726"/>
    <x v="29"/>
  </r>
  <r>
    <x v="1259"/>
    <x v="0"/>
    <x v="0"/>
    <x v="9"/>
    <n v="3040"/>
    <s v="Mariana Duarte"/>
    <s v="378.024.619-87"/>
    <s v="378.024.619-87"/>
    <s v="Jericoacara"/>
    <x v="6"/>
    <m/>
    <n v="45718"/>
    <x v="28"/>
  </r>
  <r>
    <x v="1260"/>
    <x v="1"/>
    <x v="2"/>
    <x v="6"/>
    <n v="3037"/>
    <s v="Sr. Luiz Miguel Rodrigues"/>
    <s v="741.369.250-34"/>
    <s v="741.369.250-34"/>
    <s v="Fortaleza"/>
    <x v="6"/>
    <s v="Sim"/>
    <n v="45693"/>
    <x v="10"/>
  </r>
  <r>
    <x v="1261"/>
    <x v="1"/>
    <x v="3"/>
    <x v="1"/>
    <n v="3032"/>
    <s v="Lucas Farias"/>
    <s v="305.249.176-80"/>
    <s v="305.249.176-80"/>
    <s v="Belém"/>
    <x v="1"/>
    <s v="Sim"/>
    <n v="45705"/>
    <x v="41"/>
  </r>
  <r>
    <x v="1262"/>
    <x v="0"/>
    <x v="2"/>
    <x v="8"/>
    <n v="3039"/>
    <s v="Sr. Pedro da Mota"/>
    <s v="91450826776"/>
    <s v="914.508.267-76"/>
    <s v="Recife"/>
    <x v="8"/>
    <s v="Sim"/>
    <n v="45699"/>
    <x v="42"/>
  </r>
  <r>
    <x v="1263"/>
    <x v="1"/>
    <x v="1"/>
    <x v="7"/>
    <n v="3038"/>
    <s v="Srta. Fernanda Ferreira"/>
    <s v="324.069.518-98"/>
    <s v="324.069.518-98"/>
    <s v="Natal"/>
    <x v="7"/>
    <s v="Sim"/>
    <n v="45733"/>
    <x v="12"/>
  </r>
  <r>
    <x v="1264"/>
    <x v="0"/>
    <x v="1"/>
    <x v="3"/>
    <n v="3034"/>
    <s v="Levi Nascimento"/>
    <s v="82769051377"/>
    <s v="827.690.513-77"/>
    <s v="Salvador"/>
    <x v="3"/>
    <m/>
    <n v="45677"/>
    <x v="11"/>
  </r>
  <r>
    <x v="1265"/>
    <x v="0"/>
    <x v="3"/>
    <x v="2"/>
    <n v="3033"/>
    <s v="Dra. Laís Gomes"/>
    <s v="295.067.831-95"/>
    <s v="295.067.831-95"/>
    <s v="Tocantins"/>
    <x v="2"/>
    <m/>
    <n v="45693"/>
    <x v="6"/>
  </r>
  <r>
    <x v="1266"/>
    <x v="1"/>
    <x v="0"/>
    <x v="10"/>
    <n v="3041"/>
    <s v="Ian Nascimento"/>
    <s v="806.523.149-70"/>
    <s v="806.523.149-70"/>
    <s v="Petrolina"/>
    <x v="8"/>
    <m/>
    <n v="45720"/>
    <x v="35"/>
  </r>
  <r>
    <x v="1267"/>
    <x v="1"/>
    <x v="1"/>
    <x v="3"/>
    <n v="3034"/>
    <s v="Igor Barbosa"/>
    <s v="802.395.147-50"/>
    <s v="802.395.147-50"/>
    <s v="Salvador"/>
    <x v="3"/>
    <s v="Sim"/>
    <n v="45708"/>
    <x v="22"/>
  </r>
  <r>
    <x v="1268"/>
    <x v="1"/>
    <x v="2"/>
    <x v="11"/>
    <n v="3042"/>
    <s v="Theo Duarte"/>
    <s v="15820367995"/>
    <s v="158.203.679-95"/>
    <s v="Santa Catarina"/>
    <x v="9"/>
    <m/>
    <n v="45696"/>
    <x v="24"/>
  </r>
  <r>
    <x v="1269"/>
    <x v="1"/>
    <x v="2"/>
    <x v="9"/>
    <n v="3040"/>
    <s v="Ana Carolina Souza"/>
    <s v="69240135707"/>
    <s v="692.401.357-07"/>
    <s v="Jericoacara"/>
    <x v="6"/>
    <m/>
    <n v="45732"/>
    <x v="24"/>
  </r>
  <r>
    <x v="1270"/>
    <x v="0"/>
    <x v="0"/>
    <x v="3"/>
    <n v="3034"/>
    <s v="Enzo Duarte"/>
    <s v="089.751.362-21"/>
    <s v="089.751.362-21"/>
    <s v="Salvador"/>
    <x v="3"/>
    <m/>
    <n v="45679"/>
    <x v="17"/>
  </r>
  <r>
    <x v="1271"/>
    <x v="1"/>
    <x v="3"/>
    <x v="11"/>
    <n v="3042"/>
    <s v="Davi Lucas Cunha"/>
    <s v="85937602102"/>
    <s v="859.376.021-02"/>
    <s v="Santa Catarina"/>
    <x v="9"/>
    <m/>
    <n v="45705"/>
    <x v="32"/>
  </r>
  <r>
    <x v="1272"/>
    <x v="1"/>
    <x v="0"/>
    <x v="5"/>
    <n v="3036"/>
    <s v="Raul Peixoto"/>
    <s v="810.947.653-84"/>
    <s v="810.947.653-84"/>
    <s v="Porto Velho"/>
    <x v="5"/>
    <m/>
    <n v="45658"/>
    <x v="17"/>
  </r>
  <r>
    <x v="1273"/>
    <x v="1"/>
    <x v="3"/>
    <x v="11"/>
    <n v="3042"/>
    <s v="Sr. Nathan Moura"/>
    <s v="82617409511"/>
    <s v="826.174.095-11"/>
    <s v="Santa Catarina"/>
    <x v="9"/>
    <m/>
    <n v="45683"/>
    <x v="32"/>
  </r>
  <r>
    <x v="1274"/>
    <x v="1"/>
    <x v="0"/>
    <x v="5"/>
    <n v="3036"/>
    <s v="Isadora Silva"/>
    <s v="62394850124"/>
    <s v="623.948.501-24"/>
    <s v="Porto Velho"/>
    <x v="5"/>
    <m/>
    <n v="45745"/>
    <x v="3"/>
  </r>
  <r>
    <x v="1275"/>
    <x v="0"/>
    <x v="1"/>
    <x v="5"/>
    <n v="3036"/>
    <s v="João Vitor Costa"/>
    <s v="47039568292"/>
    <s v="470.395.682-92"/>
    <s v="Porto Velho"/>
    <x v="5"/>
    <s v="Sim"/>
    <n v="45668"/>
    <x v="3"/>
  </r>
  <r>
    <x v="1276"/>
    <x v="1"/>
    <x v="1"/>
    <x v="0"/>
    <n v="3031"/>
    <s v="João Pedro Cavalcanti"/>
    <s v="39465127809"/>
    <s v="394.651.278-09"/>
    <s v="Amazonas"/>
    <x v="0"/>
    <m/>
    <n v="45663"/>
    <x v="9"/>
  </r>
  <r>
    <x v="1277"/>
    <x v="1"/>
    <x v="0"/>
    <x v="1"/>
    <n v="3032"/>
    <s v="Marina Dias"/>
    <s v="943.802.576-65"/>
    <s v="943.802.576-65"/>
    <s v="Belém"/>
    <x v="1"/>
    <s v="Sim"/>
    <n v="45741"/>
    <x v="15"/>
  </r>
  <r>
    <x v="1278"/>
    <x v="1"/>
    <x v="3"/>
    <x v="11"/>
    <n v="3042"/>
    <s v="Sr. Luiz Felipe Nogueira"/>
    <s v="57641382991"/>
    <s v="576.413.829-91"/>
    <s v="Santa Catarina"/>
    <x v="9"/>
    <s v="Sim"/>
    <n v="45735"/>
    <x v="24"/>
  </r>
  <r>
    <x v="1279"/>
    <x v="1"/>
    <x v="1"/>
    <x v="11"/>
    <n v="3042"/>
    <s v="Elisa Cardoso"/>
    <s v="910.674.538-57"/>
    <s v="910.674.538-57"/>
    <s v="Santa Catarina"/>
    <x v="9"/>
    <m/>
    <n v="45658"/>
    <x v="39"/>
  </r>
  <r>
    <x v="1280"/>
    <x v="0"/>
    <x v="1"/>
    <x v="3"/>
    <n v="3034"/>
    <s v="Leonardo Nascimento"/>
    <s v="92108743588"/>
    <s v="921.087.435-88"/>
    <s v="Salvador"/>
    <x v="3"/>
    <m/>
    <n v="45665"/>
    <x v="17"/>
  </r>
  <r>
    <x v="1281"/>
    <x v="0"/>
    <x v="0"/>
    <x v="6"/>
    <n v="3037"/>
    <s v="Kaique Aragão"/>
    <s v="401.276.389-03"/>
    <s v="401.276.389-03"/>
    <s v="Fortaleza"/>
    <x v="6"/>
    <m/>
    <n v="45719"/>
    <x v="10"/>
  </r>
  <r>
    <x v="1282"/>
    <x v="1"/>
    <x v="3"/>
    <x v="2"/>
    <n v="3033"/>
    <s v="Dra. Vitória Araújo"/>
    <s v="720.961.384-69"/>
    <s v="720.961.384-69"/>
    <s v="Tocantins"/>
    <x v="2"/>
    <s v="Sim"/>
    <n v="45684"/>
    <x v="4"/>
  </r>
  <r>
    <x v="1283"/>
    <x v="0"/>
    <x v="2"/>
    <x v="8"/>
    <n v="3039"/>
    <s v="Samuel Rocha"/>
    <s v="12307564934"/>
    <s v="123.075.649-34"/>
    <s v="Recife"/>
    <x v="8"/>
    <s v="Sim"/>
    <n v="45699"/>
    <x v="21"/>
  </r>
  <r>
    <x v="1284"/>
    <x v="0"/>
    <x v="0"/>
    <x v="5"/>
    <n v="3036"/>
    <s v="Júlia da Luz"/>
    <s v="091.625.387-21"/>
    <s v="091.625.387-21"/>
    <s v="Porto Velho"/>
    <x v="5"/>
    <m/>
    <n v="45660"/>
    <x v="17"/>
  </r>
  <r>
    <x v="1285"/>
    <x v="0"/>
    <x v="0"/>
    <x v="7"/>
    <n v="3038"/>
    <s v="Emanuelly da Mota"/>
    <s v="37058492123"/>
    <s v="370.584.921-23"/>
    <s v="Natal"/>
    <x v="7"/>
    <m/>
    <n v="45734"/>
    <x v="31"/>
  </r>
  <r>
    <x v="1286"/>
    <x v="1"/>
    <x v="1"/>
    <x v="6"/>
    <n v="3037"/>
    <s v="Theo Barros"/>
    <s v="45192368006"/>
    <s v="451.923.680-06"/>
    <s v="Fortaleza"/>
    <x v="6"/>
    <m/>
    <n v="45694"/>
    <x v="26"/>
  </r>
  <r>
    <x v="1287"/>
    <x v="0"/>
    <x v="0"/>
    <x v="11"/>
    <n v="3042"/>
    <s v="Isadora Vieira"/>
    <s v="82576930140"/>
    <s v="825.769.301-40"/>
    <s v="Santa Catarina"/>
    <x v="9"/>
    <m/>
    <n v="45694"/>
    <x v="10"/>
  </r>
  <r>
    <x v="1288"/>
    <x v="0"/>
    <x v="0"/>
    <x v="10"/>
    <n v="3041"/>
    <s v="Isabel Gonçalves"/>
    <s v="276.930.841-69"/>
    <s v="276.930.841-69"/>
    <s v="Petrolina"/>
    <x v="8"/>
    <m/>
    <n v="45692"/>
    <x v="23"/>
  </r>
  <r>
    <x v="1289"/>
    <x v="0"/>
    <x v="3"/>
    <x v="0"/>
    <n v="3031"/>
    <s v="Letícia Porto"/>
    <s v="82094163750"/>
    <s v="820.941.637-50"/>
    <s v="Amazonas"/>
    <x v="0"/>
    <m/>
    <n v="45740"/>
    <x v="36"/>
  </r>
  <r>
    <x v="1290"/>
    <x v="1"/>
    <x v="0"/>
    <x v="1"/>
    <n v="3032"/>
    <s v="Beatriz da Rocha"/>
    <s v="61904572316"/>
    <s v="619.045.723-16"/>
    <s v="Belém"/>
    <x v="1"/>
    <s v="Sim"/>
    <n v="45713"/>
    <x v="38"/>
  </r>
  <r>
    <x v="1291"/>
    <x v="1"/>
    <x v="2"/>
    <x v="0"/>
    <n v="3031"/>
    <s v="Fernando Vieira"/>
    <s v="235.809.461-70"/>
    <s v="235.809.461-70"/>
    <s v="Amazonas"/>
    <x v="0"/>
    <m/>
    <n v="45708"/>
    <x v="36"/>
  </r>
  <r>
    <x v="1292"/>
    <x v="0"/>
    <x v="2"/>
    <x v="1"/>
    <n v="3032"/>
    <s v="Julia das Neves"/>
    <s v="956.801.372-59"/>
    <s v="956.801.372-59"/>
    <s v="Belém"/>
    <x v="1"/>
    <m/>
    <n v="45727"/>
    <x v="7"/>
  </r>
  <r>
    <x v="1293"/>
    <x v="0"/>
    <x v="2"/>
    <x v="0"/>
    <n v="3031"/>
    <s v="Luiz Fernando Cavalcanti"/>
    <s v="72158934050"/>
    <s v="721.589.340-50"/>
    <s v="Amazonas"/>
    <x v="0"/>
    <m/>
    <n v="45710"/>
    <x v="3"/>
  </r>
  <r>
    <x v="1294"/>
    <x v="1"/>
    <x v="2"/>
    <x v="10"/>
    <n v="3041"/>
    <s v="Ana Luiza da Mota"/>
    <s v="098.271.465-30"/>
    <s v="098.271.465-30"/>
    <s v="Petrolina"/>
    <x v="8"/>
    <s v="Sim"/>
    <n v="45664"/>
    <x v="32"/>
  </r>
  <r>
    <x v="1295"/>
    <x v="0"/>
    <x v="2"/>
    <x v="4"/>
    <n v="3035"/>
    <s v="Levi Costa"/>
    <s v="659.084.213-24"/>
    <s v="659.084.213-24"/>
    <s v="Porto Alegre"/>
    <x v="4"/>
    <m/>
    <n v="45694"/>
    <x v="40"/>
  </r>
  <r>
    <x v="1296"/>
    <x v="0"/>
    <x v="3"/>
    <x v="2"/>
    <n v="3033"/>
    <s v="Heitor Pereira"/>
    <s v="97053861295"/>
    <s v="970.538.612-95"/>
    <s v="Tocantins"/>
    <x v="2"/>
    <s v="Sim"/>
    <n v="45661"/>
    <x v="4"/>
  </r>
  <r>
    <x v="1297"/>
    <x v="1"/>
    <x v="3"/>
    <x v="7"/>
    <n v="3038"/>
    <s v="Samuel Ribeiro"/>
    <s v="68135429746"/>
    <s v="681.354.297-46"/>
    <s v="Natal"/>
    <x v="7"/>
    <m/>
    <n v="45660"/>
    <x v="31"/>
  </r>
  <r>
    <x v="1298"/>
    <x v="0"/>
    <x v="0"/>
    <x v="7"/>
    <n v="3038"/>
    <s v="Alícia Rodrigues"/>
    <s v="174.805.926-20"/>
    <s v="174.805.926-20"/>
    <s v="Natal"/>
    <x v="7"/>
    <s v="Sim"/>
    <n v="45702"/>
    <x v="34"/>
  </r>
  <r>
    <x v="1299"/>
    <x v="1"/>
    <x v="2"/>
    <x v="5"/>
    <n v="3036"/>
    <s v="Sofia Mendes"/>
    <s v="370.264.981-69"/>
    <s v="370.264.981-69"/>
    <s v="Porto Velho"/>
    <x v="5"/>
    <m/>
    <n v="45667"/>
    <x v="17"/>
  </r>
  <r>
    <x v="1300"/>
    <x v="1"/>
    <x v="3"/>
    <x v="4"/>
    <n v="3035"/>
    <s v="Rodrigo Costela"/>
    <s v="907.841.352-23"/>
    <s v="907.841.352-23"/>
    <s v="Porto Alegre"/>
    <x v="4"/>
    <m/>
    <n v="45735"/>
    <x v="4"/>
  </r>
  <r>
    <x v="1301"/>
    <x v="1"/>
    <x v="0"/>
    <x v="11"/>
    <n v="3042"/>
    <s v="Milena Barros"/>
    <s v="417.832.605-80"/>
    <s v="417.832.605-80"/>
    <s v="Santa Catarina"/>
    <x v="9"/>
    <m/>
    <n v="45716"/>
    <x v="39"/>
  </r>
  <r>
    <x v="1302"/>
    <x v="1"/>
    <x v="1"/>
    <x v="7"/>
    <n v="3038"/>
    <s v="Dr. Carlos Eduardo da Costa"/>
    <s v="13789062413"/>
    <s v="137.890.624-13"/>
    <s v="Natal"/>
    <x v="7"/>
    <m/>
    <n v="45732"/>
    <x v="12"/>
  </r>
  <r>
    <x v="1303"/>
    <x v="0"/>
    <x v="0"/>
    <x v="1"/>
    <n v="3032"/>
    <s v="Amanda Jesus"/>
    <s v="23567480162"/>
    <s v="235.674.801-62"/>
    <s v="Belém"/>
    <x v="1"/>
    <m/>
    <n v="45736"/>
    <x v="7"/>
  </r>
  <r>
    <x v="1304"/>
    <x v="1"/>
    <x v="3"/>
    <x v="3"/>
    <n v="3034"/>
    <s v="Srta. Ana Luiza da Cunha"/>
    <s v="29036857112"/>
    <s v="290.368.571-12"/>
    <s v="Salvador"/>
    <x v="3"/>
    <m/>
    <n v="45719"/>
    <x v="23"/>
  </r>
  <r>
    <x v="1305"/>
    <x v="0"/>
    <x v="1"/>
    <x v="6"/>
    <n v="3037"/>
    <s v="Ana Lívia Peixoto"/>
    <s v="704.396.852-65"/>
    <s v="704.396.852-65"/>
    <s v="Fortaleza"/>
    <x v="6"/>
    <m/>
    <n v="45683"/>
    <x v="5"/>
  </r>
  <r>
    <x v="1306"/>
    <x v="1"/>
    <x v="3"/>
    <x v="5"/>
    <n v="3036"/>
    <s v="Isabella Ribeiro"/>
    <s v="683.105.942-24"/>
    <s v="683.105.942-24"/>
    <s v="Porto Velho"/>
    <x v="5"/>
    <m/>
    <n v="45722"/>
    <x v="17"/>
  </r>
  <r>
    <x v="1307"/>
    <x v="0"/>
    <x v="0"/>
    <x v="4"/>
    <n v="3035"/>
    <s v="Levi Viana"/>
    <s v="58430169270"/>
    <s v="584.301.692-70"/>
    <s v="Porto Alegre"/>
    <x v="4"/>
    <s v="Sim"/>
    <n v="45680"/>
    <x v="26"/>
  </r>
  <r>
    <x v="1308"/>
    <x v="0"/>
    <x v="3"/>
    <x v="3"/>
    <n v="3034"/>
    <s v="Danilo Jesus"/>
    <s v="26097453116"/>
    <s v="260.974.531-16"/>
    <s v="Salvador"/>
    <x v="3"/>
    <m/>
    <n v="45714"/>
    <x v="23"/>
  </r>
  <r>
    <x v="1309"/>
    <x v="0"/>
    <x v="0"/>
    <x v="5"/>
    <n v="3036"/>
    <s v="Alana Jesus"/>
    <s v="253.671.498-55"/>
    <s v="253.671.498-55"/>
    <s v="Porto Velho"/>
    <x v="5"/>
    <m/>
    <n v="45704"/>
    <x v="27"/>
  </r>
  <r>
    <x v="1310"/>
    <x v="0"/>
    <x v="2"/>
    <x v="2"/>
    <n v="3033"/>
    <s v="Clara Castro"/>
    <s v="26175840380"/>
    <s v="261.758.403-80"/>
    <s v="Tocantins"/>
    <x v="2"/>
    <s v="Sim"/>
    <n v="45707"/>
    <x v="2"/>
  </r>
  <r>
    <x v="1311"/>
    <x v="0"/>
    <x v="0"/>
    <x v="11"/>
    <n v="3042"/>
    <s v="Miguel da Cunha"/>
    <s v="36512908406"/>
    <s v="365.129.084-06"/>
    <s v="Santa Catarina"/>
    <x v="9"/>
    <m/>
    <n v="45742"/>
    <x v="46"/>
  </r>
  <r>
    <x v="1312"/>
    <x v="1"/>
    <x v="3"/>
    <x v="5"/>
    <n v="3036"/>
    <s v="Dr. Antônio da Mota"/>
    <s v="567.419.328-28"/>
    <s v="567.419.328-28"/>
    <s v="Porto Velho"/>
    <x v="5"/>
    <m/>
    <n v="45720"/>
    <x v="13"/>
  </r>
  <r>
    <x v="1313"/>
    <x v="1"/>
    <x v="0"/>
    <x v="10"/>
    <n v="3041"/>
    <s v="Bruna Duarte"/>
    <s v="98430651748"/>
    <s v="984.306.517-48"/>
    <s v="Petrolina"/>
    <x v="8"/>
    <m/>
    <n v="45712"/>
    <x v="23"/>
  </r>
  <r>
    <x v="1314"/>
    <x v="0"/>
    <x v="3"/>
    <x v="6"/>
    <n v="3037"/>
    <s v="Thales da Conceição"/>
    <s v="054.326.817-90"/>
    <s v="054.326.817-90"/>
    <s v="Fortaleza"/>
    <x v="6"/>
    <m/>
    <n v="45687"/>
    <x v="5"/>
  </r>
  <r>
    <x v="1315"/>
    <x v="0"/>
    <x v="1"/>
    <x v="1"/>
    <n v="3032"/>
    <s v="Maitê Rodrigues"/>
    <s v="682.370.914-69"/>
    <s v="682.370.914-69"/>
    <s v="Belém"/>
    <x v="1"/>
    <m/>
    <n v="45682"/>
    <x v="18"/>
  </r>
  <r>
    <x v="1316"/>
    <x v="0"/>
    <x v="3"/>
    <x v="10"/>
    <n v="3041"/>
    <s v="Emanuelly Fogaça"/>
    <s v="483.261.975-64"/>
    <s v="483.261.975-64"/>
    <s v="Petrolina"/>
    <x v="8"/>
    <m/>
    <n v="45676"/>
    <x v="32"/>
  </r>
  <r>
    <x v="1317"/>
    <x v="0"/>
    <x v="0"/>
    <x v="9"/>
    <n v="3040"/>
    <s v="Dr. Guilherme Ferreira"/>
    <s v="963.841.205-42"/>
    <s v="963.841.205-42"/>
    <s v="Jericoacara"/>
    <x v="6"/>
    <m/>
    <n v="45727"/>
    <x v="29"/>
  </r>
  <r>
    <x v="1318"/>
    <x v="1"/>
    <x v="1"/>
    <x v="5"/>
    <n v="3036"/>
    <s v="Maria Clara Martins"/>
    <s v="37205816912"/>
    <s v="372.058.169-12"/>
    <s v="Porto Velho"/>
    <x v="5"/>
    <m/>
    <n v="45675"/>
    <x v="9"/>
  </r>
  <r>
    <x v="1319"/>
    <x v="1"/>
    <x v="3"/>
    <x v="10"/>
    <n v="3041"/>
    <s v="Luna Moura"/>
    <s v="36752498164"/>
    <s v="367.524.981-64"/>
    <s v="Petrolina"/>
    <x v="8"/>
    <m/>
    <n v="45672"/>
    <x v="28"/>
  </r>
  <r>
    <x v="1320"/>
    <x v="1"/>
    <x v="2"/>
    <x v="5"/>
    <n v="3036"/>
    <s v="Otávio Cardoso"/>
    <s v="416.793.052-80"/>
    <s v="416.793.052-80"/>
    <s v="Porto Velho"/>
    <x v="5"/>
    <s v="Sim"/>
    <n v="45736"/>
    <x v="9"/>
  </r>
  <r>
    <x v="1321"/>
    <x v="1"/>
    <x v="3"/>
    <x v="1"/>
    <n v="3032"/>
    <s v="Luiz Felipe Ramos"/>
    <s v="84612035771"/>
    <s v="846.120.357-71"/>
    <s v="Belém"/>
    <x v="1"/>
    <s v="Sim"/>
    <n v="45715"/>
    <x v="1"/>
  </r>
  <r>
    <x v="1322"/>
    <x v="0"/>
    <x v="2"/>
    <x v="10"/>
    <n v="3041"/>
    <s v="Lucas Pinto"/>
    <s v="65179024307"/>
    <s v="651.790.243-07"/>
    <s v="Petrolina"/>
    <x v="8"/>
    <m/>
    <n v="45740"/>
    <x v="42"/>
  </r>
  <r>
    <x v="1323"/>
    <x v="0"/>
    <x v="2"/>
    <x v="3"/>
    <n v="3034"/>
    <s v="Guilherme Cavalcanti"/>
    <s v="894.103.652-60"/>
    <s v="894.103.652-60"/>
    <s v="Salvador"/>
    <x v="3"/>
    <s v="Sim"/>
    <n v="45658"/>
    <x v="17"/>
  </r>
  <r>
    <x v="1324"/>
    <x v="0"/>
    <x v="0"/>
    <x v="3"/>
    <n v="3034"/>
    <s v="Joaquim Freitas"/>
    <s v="46318927573"/>
    <s v="463.189.275-73"/>
    <s v="Salvador"/>
    <x v="3"/>
    <s v="Sim"/>
    <n v="45739"/>
    <x v="17"/>
  </r>
  <r>
    <x v="1325"/>
    <x v="1"/>
    <x v="2"/>
    <x v="5"/>
    <n v="3036"/>
    <s v="Davi Lucas Aragão"/>
    <s v="85317609259"/>
    <s v="853.176.092-59"/>
    <s v="Porto Velho"/>
    <x v="5"/>
    <m/>
    <n v="45713"/>
    <x v="13"/>
  </r>
  <r>
    <x v="1326"/>
    <x v="0"/>
    <x v="1"/>
    <x v="3"/>
    <n v="3034"/>
    <s v="Dra. Emanuelly Rodrigues"/>
    <s v="193.678.450-57"/>
    <s v="193.678.450-57"/>
    <s v="Salvador"/>
    <x v="3"/>
    <s v="Sim"/>
    <n v="45744"/>
    <x v="23"/>
  </r>
  <r>
    <x v="1327"/>
    <x v="1"/>
    <x v="0"/>
    <x v="5"/>
    <n v="3036"/>
    <s v="Enzo Gabriel Freitas"/>
    <s v="10352749814"/>
    <s v="103.527.498-14"/>
    <s v="Porto Velho"/>
    <x v="5"/>
    <m/>
    <n v="45680"/>
    <x v="27"/>
  </r>
  <r>
    <x v="1328"/>
    <x v="1"/>
    <x v="0"/>
    <x v="9"/>
    <n v="3040"/>
    <s v="Bruno Oliveira"/>
    <s v="792.534.601-99"/>
    <s v="792.534.601-99"/>
    <s v="Jericoacara"/>
    <x v="6"/>
    <m/>
    <n v="45677"/>
    <x v="28"/>
  </r>
  <r>
    <x v="1329"/>
    <x v="1"/>
    <x v="0"/>
    <x v="3"/>
    <n v="3034"/>
    <s v="Luiza Pinto"/>
    <s v="859.034.716-84"/>
    <s v="859.034.716-84"/>
    <s v="Salvador"/>
    <x v="3"/>
    <m/>
    <n v="45694"/>
    <x v="23"/>
  </r>
  <r>
    <x v="1330"/>
    <x v="1"/>
    <x v="3"/>
    <x v="8"/>
    <n v="3039"/>
    <s v="Thales Cardoso"/>
    <s v="962.831.457-28"/>
    <s v="962.831.457-28"/>
    <s v="Recife"/>
    <x v="8"/>
    <s v="Sim"/>
    <n v="45697"/>
    <x v="33"/>
  </r>
  <r>
    <x v="1331"/>
    <x v="1"/>
    <x v="3"/>
    <x v="5"/>
    <n v="3036"/>
    <s v="Felipe Gonçalves"/>
    <s v="367.054.128-44"/>
    <s v="367.054.128-44"/>
    <s v="Porto Velho"/>
    <x v="5"/>
    <m/>
    <n v="45701"/>
    <x v="9"/>
  </r>
  <r>
    <x v="1332"/>
    <x v="0"/>
    <x v="3"/>
    <x v="6"/>
    <n v="3037"/>
    <s v="Srta. Joana Monteiro"/>
    <s v="56038947175"/>
    <s v="560.389.471-75"/>
    <s v="Fortaleza"/>
    <x v="6"/>
    <m/>
    <n v="45682"/>
    <x v="24"/>
  </r>
  <r>
    <x v="1333"/>
    <x v="0"/>
    <x v="3"/>
    <x v="11"/>
    <n v="3042"/>
    <s v="Sr. Gabriel Moreira"/>
    <s v="472.169.503-99"/>
    <s v="472.169.503-99"/>
    <s v="Santa Catarina"/>
    <x v="9"/>
    <s v="Sim"/>
    <n v="45693"/>
    <x v="46"/>
  </r>
  <r>
    <x v="1334"/>
    <x v="0"/>
    <x v="1"/>
    <x v="1"/>
    <n v="3032"/>
    <s v="Vitor Hugo Dias"/>
    <s v="12945607352"/>
    <s v="129.456.073-52"/>
    <s v="Belém"/>
    <x v="1"/>
    <m/>
    <n v="45708"/>
    <x v="47"/>
  </r>
  <r>
    <x v="1335"/>
    <x v="1"/>
    <x v="3"/>
    <x v="4"/>
    <n v="3035"/>
    <s v="Levi da Costa"/>
    <s v="426.815.390-05"/>
    <s v="426.815.390-05"/>
    <s v="Porto Alegre"/>
    <x v="4"/>
    <m/>
    <n v="45708"/>
    <x v="22"/>
  </r>
  <r>
    <x v="1336"/>
    <x v="1"/>
    <x v="3"/>
    <x v="1"/>
    <n v="3032"/>
    <s v="Enzo Carvalho"/>
    <s v="902.743.586-38"/>
    <s v="902.743.586-38"/>
    <s v="Belém"/>
    <x v="1"/>
    <s v="Sim"/>
    <n v="45659"/>
    <x v="15"/>
  </r>
  <r>
    <x v="1337"/>
    <x v="1"/>
    <x v="3"/>
    <x v="2"/>
    <n v="3033"/>
    <s v="Otávio Cardoso"/>
    <s v="19468705285"/>
    <s v="194.687.052-85"/>
    <s v="Tocantins"/>
    <x v="2"/>
    <m/>
    <n v="45728"/>
    <x v="7"/>
  </r>
  <r>
    <x v="1338"/>
    <x v="0"/>
    <x v="0"/>
    <x v="10"/>
    <n v="3041"/>
    <s v="Davi Lucas Teixeira"/>
    <s v="23091674878"/>
    <s v="230.916.748-78"/>
    <s v="Petrolina"/>
    <x v="8"/>
    <s v="Sim"/>
    <n v="45696"/>
    <x v="28"/>
  </r>
  <r>
    <x v="1339"/>
    <x v="1"/>
    <x v="2"/>
    <x v="1"/>
    <n v="3032"/>
    <s v="Davi Luiz Barros"/>
    <s v="72814956094"/>
    <s v="728.149.560-94"/>
    <s v="Belém"/>
    <x v="1"/>
    <m/>
    <n v="45702"/>
    <x v="44"/>
  </r>
  <r>
    <x v="1340"/>
    <x v="1"/>
    <x v="0"/>
    <x v="8"/>
    <n v="3039"/>
    <s v="Thales Correia"/>
    <s v="32079164813"/>
    <s v="320.791.648-13"/>
    <s v="Recife"/>
    <x v="8"/>
    <m/>
    <n v="45709"/>
    <x v="14"/>
  </r>
  <r>
    <x v="1341"/>
    <x v="0"/>
    <x v="2"/>
    <x v="3"/>
    <n v="3034"/>
    <s v="Nicole Novaes"/>
    <s v="89643725146"/>
    <s v="896.437.251-46"/>
    <s v="Salvador"/>
    <x v="3"/>
    <s v="Sim"/>
    <n v="45730"/>
    <x v="11"/>
  </r>
  <r>
    <x v="1342"/>
    <x v="1"/>
    <x v="1"/>
    <x v="6"/>
    <n v="3037"/>
    <s v="Luiz Miguel Oliveira"/>
    <s v="28710659420"/>
    <s v="287.106.594-20"/>
    <s v="Fortaleza"/>
    <x v="6"/>
    <s v="Sim"/>
    <n v="45739"/>
    <x v="24"/>
  </r>
  <r>
    <x v="1343"/>
    <x v="0"/>
    <x v="1"/>
    <x v="11"/>
    <n v="3042"/>
    <s v="Carlos Eduardo Oliveira"/>
    <s v="694.208.357-74"/>
    <s v="694.208.357-74"/>
    <s v="Santa Catarina"/>
    <x v="9"/>
    <s v="Sim"/>
    <n v="45678"/>
    <x v="10"/>
  </r>
  <r>
    <x v="1344"/>
    <x v="1"/>
    <x v="3"/>
    <x v="9"/>
    <n v="3040"/>
    <s v="Stephany da Conceição"/>
    <s v="72431506916"/>
    <s v="724.315.069-16"/>
    <s v="Jericoacara"/>
    <x v="6"/>
    <m/>
    <n v="45682"/>
    <x v="24"/>
  </r>
  <r>
    <x v="1345"/>
    <x v="0"/>
    <x v="3"/>
    <x v="1"/>
    <n v="3032"/>
    <s v="Juliana Rezende"/>
    <s v="753.916.042-06"/>
    <s v="753.916.042-06"/>
    <s v="Belém"/>
    <x v="1"/>
    <m/>
    <n v="45745"/>
    <x v="23"/>
  </r>
  <r>
    <x v="1346"/>
    <x v="0"/>
    <x v="3"/>
    <x v="6"/>
    <n v="3037"/>
    <s v="Ana Luiza Gonçalves"/>
    <s v="509.367.821-02"/>
    <s v="509.367.821-02"/>
    <s v="Fortaleza"/>
    <x v="6"/>
    <s v="Sim"/>
    <n v="45692"/>
    <x v="24"/>
  </r>
  <r>
    <x v="1347"/>
    <x v="1"/>
    <x v="0"/>
    <x v="1"/>
    <n v="3032"/>
    <s v="Maria Clara Rocha"/>
    <s v="071.268.539-12"/>
    <s v="071.268.539-12"/>
    <s v="Belém"/>
    <x v="1"/>
    <m/>
    <n v="45659"/>
    <x v="44"/>
  </r>
  <r>
    <x v="1348"/>
    <x v="0"/>
    <x v="3"/>
    <x v="5"/>
    <n v="3036"/>
    <s v="Danilo Fogaça"/>
    <s v="09354281605"/>
    <s v="093.542.816-05"/>
    <s v="Porto Velho"/>
    <x v="5"/>
    <m/>
    <n v="45690"/>
    <x v="27"/>
  </r>
  <r>
    <x v="1349"/>
    <x v="0"/>
    <x v="0"/>
    <x v="6"/>
    <n v="3037"/>
    <s v="Laís Monteiro"/>
    <s v="954.207.816-11"/>
    <s v="954.207.816-11"/>
    <s v="Fortaleza"/>
    <x v="6"/>
    <m/>
    <n v="45700"/>
    <x v="19"/>
  </r>
  <r>
    <x v="1350"/>
    <x v="0"/>
    <x v="1"/>
    <x v="1"/>
    <n v="3032"/>
    <s v="Alícia Vieira"/>
    <s v="98173254664"/>
    <s v="981.732.546-64"/>
    <s v="Belém"/>
    <x v="1"/>
    <s v="Sim"/>
    <n v="45671"/>
    <x v="15"/>
  </r>
  <r>
    <x v="1351"/>
    <x v="0"/>
    <x v="3"/>
    <x v="9"/>
    <n v="3040"/>
    <s v="Vitor Hugo da Paz"/>
    <s v="16439075810"/>
    <s v="164.390.758-10"/>
    <s v="Jericoacara"/>
    <x v="6"/>
    <s v="Sim"/>
    <n v="45670"/>
    <x v="29"/>
  </r>
  <r>
    <x v="1352"/>
    <x v="1"/>
    <x v="1"/>
    <x v="10"/>
    <n v="3041"/>
    <s v="Kaique da Mota"/>
    <s v="62947810511"/>
    <s v="629.478.105-11"/>
    <s v="Petrolina"/>
    <x v="8"/>
    <m/>
    <n v="45673"/>
    <x v="35"/>
  </r>
  <r>
    <x v="1353"/>
    <x v="0"/>
    <x v="3"/>
    <x v="8"/>
    <n v="3039"/>
    <s v="Francisco Rocha"/>
    <s v="137.958.046-39"/>
    <s v="137.958.046-39"/>
    <s v="Recife"/>
    <x v="8"/>
    <s v="Sim"/>
    <n v="45736"/>
    <x v="48"/>
  </r>
  <r>
    <x v="1354"/>
    <x v="1"/>
    <x v="0"/>
    <x v="2"/>
    <n v="3033"/>
    <s v="Dr. Lucas Ferreira"/>
    <s v="985.762.143-00"/>
    <s v="985.762.143-00"/>
    <s v="Tocantins"/>
    <x v="2"/>
    <s v="Sim"/>
    <n v="45736"/>
    <x v="4"/>
  </r>
  <r>
    <x v="1355"/>
    <x v="0"/>
    <x v="2"/>
    <x v="11"/>
    <n v="3042"/>
    <s v="Stephany Farias"/>
    <s v="30692541799"/>
    <s v="306.925.417-99"/>
    <s v="Santa Catarina"/>
    <x v="9"/>
    <s v="Sim"/>
    <n v="45662"/>
    <x v="46"/>
  </r>
  <r>
    <x v="1356"/>
    <x v="1"/>
    <x v="3"/>
    <x v="0"/>
    <n v="3031"/>
    <s v="Fernanda Fernandes"/>
    <s v="123.695.708-30"/>
    <s v="123.695.708-30"/>
    <s v="Amazonas"/>
    <x v="0"/>
    <s v="Sim"/>
    <n v="45725"/>
    <x v="0"/>
  </r>
  <r>
    <x v="1357"/>
    <x v="1"/>
    <x v="3"/>
    <x v="11"/>
    <n v="3042"/>
    <s v="Lívia Moreira"/>
    <s v="698.425.037-47"/>
    <s v="698.425.037-47"/>
    <s v="Santa Catarina"/>
    <x v="9"/>
    <m/>
    <n v="45718"/>
    <x v="39"/>
  </r>
  <r>
    <x v="1358"/>
    <x v="1"/>
    <x v="3"/>
    <x v="1"/>
    <n v="3032"/>
    <s v="Mirella Campos"/>
    <s v="50637194810"/>
    <s v="506.371.948-10"/>
    <s v="Belém"/>
    <x v="1"/>
    <s v="Sim"/>
    <n v="45690"/>
    <x v="47"/>
  </r>
  <r>
    <x v="1359"/>
    <x v="1"/>
    <x v="1"/>
    <x v="4"/>
    <n v="3035"/>
    <s v="Sr. Henrique Duarte"/>
    <s v="796.413.805-75"/>
    <s v="796.413.805-75"/>
    <s v="Porto Alegre"/>
    <x v="4"/>
    <m/>
    <n v="45681"/>
    <x v="26"/>
  </r>
  <r>
    <x v="1360"/>
    <x v="1"/>
    <x v="0"/>
    <x v="11"/>
    <n v="3042"/>
    <s v="Yasmin da Cunha"/>
    <s v="529.430.678-65"/>
    <s v="529.430.678-65"/>
    <s v="Santa Catarina"/>
    <x v="9"/>
    <m/>
    <n v="45735"/>
    <x v="37"/>
  </r>
  <r>
    <x v="1361"/>
    <x v="0"/>
    <x v="1"/>
    <x v="6"/>
    <n v="3037"/>
    <s v="Srta. Brenda Viana"/>
    <s v="67195803457"/>
    <s v="671.958.034-57"/>
    <s v="Fortaleza"/>
    <x v="6"/>
    <m/>
    <n v="45675"/>
    <x v="26"/>
  </r>
  <r>
    <x v="1362"/>
    <x v="1"/>
    <x v="3"/>
    <x v="11"/>
    <n v="3042"/>
    <s v="Daniel Gonçalves"/>
    <s v="591.072.463-07"/>
    <s v="591.072.463-07"/>
    <s v="Santa Catarina"/>
    <x v="9"/>
    <m/>
    <n v="45714"/>
    <x v="24"/>
  </r>
  <r>
    <x v="1363"/>
    <x v="0"/>
    <x v="1"/>
    <x v="7"/>
    <n v="3038"/>
    <s v="Augusto Almeida"/>
    <s v="32679085159"/>
    <s v="326.790.851-59"/>
    <s v="Natal"/>
    <x v="7"/>
    <m/>
    <n v="45717"/>
    <x v="30"/>
  </r>
  <r>
    <x v="1364"/>
    <x v="0"/>
    <x v="2"/>
    <x v="1"/>
    <n v="3032"/>
    <s v="Ana Julia Gomes"/>
    <s v="217.498.063-04"/>
    <s v="217.498.063-04"/>
    <s v="Belém"/>
    <x v="1"/>
    <m/>
    <n v="45724"/>
    <x v="18"/>
  </r>
  <r>
    <x v="1365"/>
    <x v="0"/>
    <x v="2"/>
    <x v="6"/>
    <n v="3037"/>
    <s v="Arthur Novaes"/>
    <s v="527.638.419-37"/>
    <s v="527.638.419-37"/>
    <s v="Fortaleza"/>
    <x v="6"/>
    <m/>
    <n v="45698"/>
    <x v="19"/>
  </r>
  <r>
    <x v="1366"/>
    <x v="0"/>
    <x v="1"/>
    <x v="3"/>
    <n v="3034"/>
    <s v="Henrique Martins"/>
    <s v="397.156.082-21"/>
    <s v="397.156.082-21"/>
    <s v="Salvador"/>
    <x v="3"/>
    <m/>
    <n v="45715"/>
    <x v="17"/>
  </r>
  <r>
    <x v="1367"/>
    <x v="1"/>
    <x v="1"/>
    <x v="10"/>
    <n v="3041"/>
    <s v="Danilo Cavalcanti"/>
    <s v="728.509.431-50"/>
    <s v="728.509.431-50"/>
    <s v="Petrolina"/>
    <x v="8"/>
    <m/>
    <n v="45714"/>
    <x v="42"/>
  </r>
  <r>
    <x v="1368"/>
    <x v="1"/>
    <x v="3"/>
    <x v="7"/>
    <n v="3038"/>
    <s v="Theo Rocha"/>
    <s v="691.584.230-60"/>
    <s v="691.584.230-60"/>
    <s v="Natal"/>
    <x v="7"/>
    <m/>
    <n v="45744"/>
    <x v="43"/>
  </r>
  <r>
    <x v="1369"/>
    <x v="1"/>
    <x v="2"/>
    <x v="8"/>
    <n v="3039"/>
    <s v="Milena Azevedo"/>
    <s v="52618043707"/>
    <s v="526.180.437-07"/>
    <s v="Recife"/>
    <x v="8"/>
    <m/>
    <n v="45695"/>
    <x v="21"/>
  </r>
  <r>
    <x v="1370"/>
    <x v="1"/>
    <x v="3"/>
    <x v="0"/>
    <n v="3031"/>
    <s v="Luiz Felipe Rezende"/>
    <s v="65712384035"/>
    <s v="657.123.840-35"/>
    <s v="Amazonas"/>
    <x v="0"/>
    <m/>
    <n v="45658"/>
    <x v="5"/>
  </r>
  <r>
    <x v="1371"/>
    <x v="1"/>
    <x v="2"/>
    <x v="1"/>
    <n v="3032"/>
    <s v="Fernando Peixoto"/>
    <s v="175.906.423-80"/>
    <s v="175.906.423-80"/>
    <s v="Belém"/>
    <x v="1"/>
    <m/>
    <n v="45684"/>
    <x v="41"/>
  </r>
  <r>
    <x v="1372"/>
    <x v="0"/>
    <x v="2"/>
    <x v="11"/>
    <n v="3042"/>
    <s v="Thiago da Mata"/>
    <s v="60852941749"/>
    <s v="608.529.417-49"/>
    <s v="Santa Catarina"/>
    <x v="9"/>
    <s v="Sim"/>
    <n v="45668"/>
    <x v="24"/>
  </r>
  <r>
    <x v="1373"/>
    <x v="1"/>
    <x v="0"/>
    <x v="5"/>
    <n v="3036"/>
    <s v="Stella Santos"/>
    <s v="39275468109"/>
    <s v="392.754.681-09"/>
    <s v="Porto Velho"/>
    <x v="5"/>
    <m/>
    <n v="45744"/>
    <x v="13"/>
  </r>
  <r>
    <x v="1374"/>
    <x v="1"/>
    <x v="3"/>
    <x v="1"/>
    <n v="3032"/>
    <s v="Maria Sophia da Paz"/>
    <s v="607.549.231-34"/>
    <s v="607.549.231-34"/>
    <s v="Belém"/>
    <x v="1"/>
    <m/>
    <n v="45662"/>
    <x v="25"/>
  </r>
  <r>
    <x v="1375"/>
    <x v="1"/>
    <x v="2"/>
    <x v="2"/>
    <n v="3033"/>
    <s v="Isaac Aragão"/>
    <s v="617.935.840-01"/>
    <s v="617.935.840-01"/>
    <s v="Tocantins"/>
    <x v="2"/>
    <m/>
    <n v="45701"/>
    <x v="8"/>
  </r>
  <r>
    <x v="1376"/>
    <x v="0"/>
    <x v="2"/>
    <x v="9"/>
    <n v="3040"/>
    <s v="Heitor Azevedo"/>
    <s v="34620815780"/>
    <s v="346.208.157-80"/>
    <s v="Jericoacara"/>
    <x v="6"/>
    <s v="Sim"/>
    <n v="45737"/>
    <x v="20"/>
  </r>
  <r>
    <x v="1377"/>
    <x v="1"/>
    <x v="3"/>
    <x v="0"/>
    <n v="3031"/>
    <s v="Eduarda Novaes"/>
    <s v="069.724.381-87"/>
    <s v="069.724.381-87"/>
    <s v="Amazonas"/>
    <x v="0"/>
    <s v="Sim"/>
    <n v="45732"/>
    <x v="13"/>
  </r>
  <r>
    <x v="1378"/>
    <x v="0"/>
    <x v="0"/>
    <x v="3"/>
    <n v="3034"/>
    <s v="Mirella Barros"/>
    <s v="734.601.829-03"/>
    <s v="734.601.829-03"/>
    <s v="Salvador"/>
    <x v="3"/>
    <s v="Sim"/>
    <n v="45675"/>
    <x v="22"/>
  </r>
  <r>
    <x v="1379"/>
    <x v="0"/>
    <x v="3"/>
    <x v="0"/>
    <n v="3031"/>
    <s v="Milena da Paz"/>
    <s v="061.257.398-21"/>
    <s v="061.257.398-21"/>
    <s v="Amazonas"/>
    <x v="0"/>
    <m/>
    <n v="45670"/>
    <x v="5"/>
  </r>
  <r>
    <x v="1380"/>
    <x v="1"/>
    <x v="0"/>
    <x v="6"/>
    <n v="3037"/>
    <s v="Dra. Emanuella da Cunha"/>
    <s v="496.137.850-00"/>
    <s v="496.137.850-00"/>
    <s v="Fortaleza"/>
    <x v="6"/>
    <m/>
    <n v="45732"/>
    <x v="24"/>
  </r>
  <r>
    <x v="1381"/>
    <x v="0"/>
    <x v="2"/>
    <x v="6"/>
    <n v="3037"/>
    <s v="Henrique Viana"/>
    <s v="81970564393"/>
    <s v="819.705.643-93"/>
    <s v="Fortaleza"/>
    <x v="6"/>
    <m/>
    <n v="45675"/>
    <x v="5"/>
  </r>
  <r>
    <x v="1382"/>
    <x v="0"/>
    <x v="2"/>
    <x v="5"/>
    <n v="3036"/>
    <s v="Vitor Hugo Porto"/>
    <s v="51740329805"/>
    <s v="517.403.298-05"/>
    <s v="Porto Velho"/>
    <x v="5"/>
    <m/>
    <n v="45734"/>
    <x v="3"/>
  </r>
  <r>
    <x v="1383"/>
    <x v="0"/>
    <x v="1"/>
    <x v="2"/>
    <n v="3033"/>
    <s v="João Gabriel da Luz"/>
    <s v="634.507.982-00"/>
    <s v="634.507.982-00"/>
    <s v="Tocantins"/>
    <x v="2"/>
    <m/>
    <n v="45672"/>
    <x v="8"/>
  </r>
  <r>
    <x v="1384"/>
    <x v="0"/>
    <x v="2"/>
    <x v="9"/>
    <n v="3040"/>
    <s v="Sr. Luiz Henrique Teixeira"/>
    <s v="37502946152"/>
    <s v="375.029.461-52"/>
    <s v="Jericoacara"/>
    <x v="6"/>
    <s v="Sim"/>
    <n v="45678"/>
    <x v="16"/>
  </r>
  <r>
    <x v="1385"/>
    <x v="0"/>
    <x v="3"/>
    <x v="3"/>
    <n v="3034"/>
    <s v="Diogo Rocha"/>
    <s v="913.657.482-19"/>
    <s v="913.657.482-19"/>
    <s v="Salvador"/>
    <x v="3"/>
    <m/>
    <n v="45720"/>
    <x v="23"/>
  </r>
  <r>
    <x v="1386"/>
    <x v="1"/>
    <x v="3"/>
    <x v="11"/>
    <n v="3042"/>
    <s v="Sr. Augusto Azevedo"/>
    <s v="73042958132"/>
    <s v="730.429.581-32"/>
    <s v="Santa Catarina"/>
    <x v="9"/>
    <s v="Sim"/>
    <n v="45698"/>
    <x v="39"/>
  </r>
  <r>
    <x v="1387"/>
    <x v="1"/>
    <x v="2"/>
    <x v="1"/>
    <n v="3032"/>
    <s v="Srta. Gabrielly Rezende"/>
    <s v="129.465.083-15"/>
    <s v="129.465.083-15"/>
    <s v="Belém"/>
    <x v="1"/>
    <s v="Sim"/>
    <n v="45703"/>
    <x v="44"/>
  </r>
  <r>
    <x v="1388"/>
    <x v="1"/>
    <x v="2"/>
    <x v="11"/>
    <n v="3042"/>
    <s v="Maria Clara Vieira"/>
    <s v="51069283460"/>
    <s v="510.692.834-60"/>
    <s v="Santa Catarina"/>
    <x v="9"/>
    <m/>
    <n v="45686"/>
    <x v="24"/>
  </r>
  <r>
    <x v="1389"/>
    <x v="0"/>
    <x v="2"/>
    <x v="5"/>
    <n v="3036"/>
    <s v="Calebe Caldeira"/>
    <s v="42963187564"/>
    <s v="429.631.875-64"/>
    <s v="Porto Velho"/>
    <x v="5"/>
    <m/>
    <n v="45665"/>
    <x v="17"/>
  </r>
  <r>
    <x v="1390"/>
    <x v="0"/>
    <x v="0"/>
    <x v="11"/>
    <n v="3042"/>
    <s v="Isabelly Cardoso"/>
    <s v="74830521988"/>
    <s v="748.305.219-88"/>
    <s v="Santa Catarina"/>
    <x v="9"/>
    <m/>
    <n v="45727"/>
    <x v="46"/>
  </r>
  <r>
    <x v="1391"/>
    <x v="1"/>
    <x v="3"/>
    <x v="2"/>
    <n v="3033"/>
    <s v="Daniel Souza"/>
    <s v="91506248730"/>
    <s v="915.062.487-30"/>
    <s v="Tocantins"/>
    <x v="2"/>
    <s v="Sim"/>
    <n v="45675"/>
    <x v="4"/>
  </r>
  <r>
    <x v="1392"/>
    <x v="1"/>
    <x v="0"/>
    <x v="5"/>
    <n v="3036"/>
    <s v="Clara Cardoso"/>
    <s v="30427586135"/>
    <s v="304.275.861-35"/>
    <s v="Porto Velho"/>
    <x v="5"/>
    <m/>
    <n v="45745"/>
    <x v="13"/>
  </r>
  <r>
    <x v="1393"/>
    <x v="0"/>
    <x v="0"/>
    <x v="6"/>
    <n v="3037"/>
    <s v="Mirella Jesus"/>
    <s v="16023789404"/>
    <s v="160.237.894-04"/>
    <s v="Fortaleza"/>
    <x v="6"/>
    <m/>
    <n v="45671"/>
    <x v="10"/>
  </r>
  <r>
    <x v="1394"/>
    <x v="0"/>
    <x v="2"/>
    <x v="8"/>
    <n v="3039"/>
    <s v="Caio Almeida"/>
    <s v="170.326.894-69"/>
    <s v="170.326.894-69"/>
    <s v="Recife"/>
    <x v="8"/>
    <m/>
    <n v="45715"/>
    <x v="8"/>
  </r>
  <r>
    <x v="1395"/>
    <x v="0"/>
    <x v="0"/>
    <x v="2"/>
    <n v="3033"/>
    <s v="Vitória Farias"/>
    <s v="15298407323"/>
    <s v="152.984.073-23"/>
    <s v="Tocantins"/>
    <x v="2"/>
    <m/>
    <n v="45703"/>
    <x v="2"/>
  </r>
  <r>
    <x v="1396"/>
    <x v="1"/>
    <x v="2"/>
    <x v="8"/>
    <n v="3039"/>
    <s v="Thomas Costela"/>
    <s v="28370496547"/>
    <s v="283.704.965-47"/>
    <s v="Recife"/>
    <x v="8"/>
    <m/>
    <n v="45705"/>
    <x v="16"/>
  </r>
  <r>
    <x v="1397"/>
    <x v="0"/>
    <x v="2"/>
    <x v="1"/>
    <n v="3032"/>
    <s v="Eduarda Caldeira"/>
    <s v="63914250780"/>
    <s v="639.142.507-80"/>
    <s v="Belém"/>
    <x v="1"/>
    <m/>
    <n v="45715"/>
    <x v="1"/>
  </r>
  <r>
    <x v="1398"/>
    <x v="1"/>
    <x v="3"/>
    <x v="9"/>
    <n v="3040"/>
    <s v="Maria Luiza Gomes"/>
    <s v="43158260905"/>
    <s v="431.582.609-05"/>
    <s v="Jericoacara"/>
    <x v="6"/>
    <s v="Sim"/>
    <n v="45697"/>
    <x v="24"/>
  </r>
  <r>
    <x v="1399"/>
    <x v="0"/>
    <x v="3"/>
    <x v="10"/>
    <n v="3041"/>
    <s v="Caroline Fernandes"/>
    <s v="291.576.038-12"/>
    <s v="291.576.038-12"/>
    <s v="Petrolina"/>
    <x v="8"/>
    <m/>
    <n v="45730"/>
    <x v="28"/>
  </r>
  <r>
    <x v="1400"/>
    <x v="0"/>
    <x v="3"/>
    <x v="9"/>
    <n v="3040"/>
    <s v="Thomas Cardoso"/>
    <s v="62380459738"/>
    <s v="623.804.597-38"/>
    <s v="Jericoacara"/>
    <x v="6"/>
    <m/>
    <n v="45727"/>
    <x v="24"/>
  </r>
  <r>
    <x v="1401"/>
    <x v="0"/>
    <x v="1"/>
    <x v="3"/>
    <n v="3034"/>
    <s v="Samuel Alves"/>
    <s v="615.839.420-33"/>
    <s v="615.839.420-33"/>
    <s v="Salvador"/>
    <x v="3"/>
    <s v="Sim"/>
    <n v="45742"/>
    <x v="22"/>
  </r>
  <r>
    <x v="1402"/>
    <x v="0"/>
    <x v="0"/>
    <x v="8"/>
    <n v="3039"/>
    <s v="Dr. Juan Nascimento"/>
    <s v="847.516.932-55"/>
    <s v="847.516.932-55"/>
    <s v="Recife"/>
    <x v="8"/>
    <m/>
    <n v="45676"/>
    <x v="33"/>
  </r>
  <r>
    <x v="1403"/>
    <x v="0"/>
    <x v="1"/>
    <x v="5"/>
    <n v="3036"/>
    <s v="Mirella Farias"/>
    <s v="794.302.518-05"/>
    <s v="794.302.518-05"/>
    <s v="Porto Velho"/>
    <x v="5"/>
    <s v="Sim"/>
    <n v="45673"/>
    <x v="9"/>
  </r>
  <r>
    <x v="1404"/>
    <x v="1"/>
    <x v="2"/>
    <x v="6"/>
    <n v="3037"/>
    <s v="Yuri Caldeira"/>
    <s v="78413029678"/>
    <s v="784.130.296-78"/>
    <s v="Fortaleza"/>
    <x v="6"/>
    <s v="Sim"/>
    <n v="45685"/>
    <x v="5"/>
  </r>
  <r>
    <x v="1405"/>
    <x v="1"/>
    <x v="2"/>
    <x v="8"/>
    <n v="3039"/>
    <s v="Kevin Alves"/>
    <s v="781.432.650-80"/>
    <s v="781.432.650-80"/>
    <s v="Recife"/>
    <x v="8"/>
    <s v="Sim"/>
    <n v="45701"/>
    <x v="8"/>
  </r>
  <r>
    <x v="1406"/>
    <x v="0"/>
    <x v="0"/>
    <x v="4"/>
    <n v="3035"/>
    <s v="Ryan Freitas"/>
    <s v="764.138.502-80"/>
    <s v="764.138.502-80"/>
    <s v="Porto Alegre"/>
    <x v="4"/>
    <m/>
    <n v="45733"/>
    <x v="8"/>
  </r>
  <r>
    <x v="1407"/>
    <x v="1"/>
    <x v="3"/>
    <x v="4"/>
    <n v="3035"/>
    <s v="Pedro Rodrigues"/>
    <s v="63207548938"/>
    <s v="632.075.489-38"/>
    <s v="Porto Alegre"/>
    <x v="4"/>
    <s v="Sim"/>
    <n v="45684"/>
    <x v="40"/>
  </r>
  <r>
    <x v="1408"/>
    <x v="0"/>
    <x v="1"/>
    <x v="7"/>
    <n v="3038"/>
    <s v="Manuela Lima"/>
    <s v="60148729576"/>
    <s v="601.487.295-76"/>
    <s v="Natal"/>
    <x v="7"/>
    <s v="Sim"/>
    <n v="45731"/>
    <x v="21"/>
  </r>
  <r>
    <x v="1409"/>
    <x v="1"/>
    <x v="0"/>
    <x v="0"/>
    <n v="3031"/>
    <s v="Maria Eduarda Souza"/>
    <s v="27018934613"/>
    <s v="270.189.346-13"/>
    <s v="Amazonas"/>
    <x v="0"/>
    <m/>
    <n v="45658"/>
    <x v="13"/>
  </r>
  <r>
    <x v="1410"/>
    <x v="1"/>
    <x v="2"/>
    <x v="11"/>
    <n v="3042"/>
    <s v="Caroline da Mata"/>
    <s v="146.257.983-37"/>
    <s v="146.257.983-37"/>
    <s v="Santa Catarina"/>
    <x v="9"/>
    <s v="Sim"/>
    <n v="45723"/>
    <x v="37"/>
  </r>
  <r>
    <x v="1411"/>
    <x v="1"/>
    <x v="2"/>
    <x v="10"/>
    <n v="3041"/>
    <s v="Maria Fernanda Moraes"/>
    <s v="167.495.208-20"/>
    <s v="167.495.208-20"/>
    <s v="Petrolina"/>
    <x v="8"/>
    <m/>
    <n v="45692"/>
    <x v="32"/>
  </r>
  <r>
    <x v="1412"/>
    <x v="0"/>
    <x v="1"/>
    <x v="0"/>
    <n v="3031"/>
    <s v="Sophie Duarte"/>
    <s v="857.134.029-32"/>
    <s v="857.134.029-32"/>
    <s v="Amazonas"/>
    <x v="0"/>
    <m/>
    <n v="45668"/>
    <x v="5"/>
  </r>
  <r>
    <x v="1413"/>
    <x v="1"/>
    <x v="0"/>
    <x v="6"/>
    <n v="3037"/>
    <s v="Beatriz Dias"/>
    <s v="603.794.851-84"/>
    <s v="603.794.851-84"/>
    <s v="Fortaleza"/>
    <x v="6"/>
    <m/>
    <n v="45727"/>
    <x v="19"/>
  </r>
  <r>
    <x v="1414"/>
    <x v="1"/>
    <x v="2"/>
    <x v="8"/>
    <n v="3039"/>
    <s v="Enzo Gabriel da Rosa"/>
    <s v="35102694707"/>
    <s v="351.026.947-07"/>
    <s v="Recife"/>
    <x v="8"/>
    <s v="Sim"/>
    <n v="45720"/>
    <x v="33"/>
  </r>
  <r>
    <x v="1415"/>
    <x v="0"/>
    <x v="1"/>
    <x v="4"/>
    <n v="3035"/>
    <s v="Lavínia da Rocha"/>
    <s v="15340827607"/>
    <s v="153.408.276-07"/>
    <s v="Porto Alegre"/>
    <x v="4"/>
    <m/>
    <n v="45662"/>
    <x v="8"/>
  </r>
  <r>
    <x v="1416"/>
    <x v="1"/>
    <x v="3"/>
    <x v="0"/>
    <n v="3031"/>
    <s v="Olivia Freitas"/>
    <s v="820.631.547-08"/>
    <s v="820.631.547-08"/>
    <s v="Amazonas"/>
    <x v="0"/>
    <m/>
    <n v="45666"/>
    <x v="5"/>
  </r>
  <r>
    <x v="1417"/>
    <x v="0"/>
    <x v="0"/>
    <x v="9"/>
    <n v="3040"/>
    <s v="Maria Luiza Dias"/>
    <s v="940.352.817-60"/>
    <s v="940.352.817-60"/>
    <s v="Jericoacara"/>
    <x v="6"/>
    <m/>
    <n v="45660"/>
    <x v="24"/>
  </r>
  <r>
    <x v="1418"/>
    <x v="1"/>
    <x v="0"/>
    <x v="4"/>
    <n v="3035"/>
    <s v="Srta. Marina Aragão"/>
    <s v="43261507853"/>
    <s v="432.615.078-53"/>
    <s v="Porto Alegre"/>
    <x v="4"/>
    <m/>
    <n v="45677"/>
    <x v="26"/>
  </r>
  <r>
    <x v="1419"/>
    <x v="0"/>
    <x v="2"/>
    <x v="6"/>
    <n v="3037"/>
    <s v="Eduardo Costela"/>
    <s v="47053198260"/>
    <s v="470.531.982-60"/>
    <s v="Fortaleza"/>
    <x v="6"/>
    <m/>
    <n v="45728"/>
    <x v="19"/>
  </r>
  <r>
    <x v="1420"/>
    <x v="0"/>
    <x v="3"/>
    <x v="9"/>
    <n v="3040"/>
    <s v="Srta. Isabelly Jesus"/>
    <s v="62197340840"/>
    <s v="621.973.408-40"/>
    <s v="Jericoacara"/>
    <x v="6"/>
    <s v="Sim"/>
    <n v="45694"/>
    <x v="20"/>
  </r>
  <r>
    <x v="1421"/>
    <x v="1"/>
    <x v="0"/>
    <x v="7"/>
    <n v="3038"/>
    <s v="Luiz Otávio da Luz"/>
    <s v="618.975.034-66"/>
    <s v="618.975.034-66"/>
    <s v="Natal"/>
    <x v="7"/>
    <s v="Sim"/>
    <n v="45668"/>
    <x v="21"/>
  </r>
  <r>
    <x v="1422"/>
    <x v="1"/>
    <x v="0"/>
    <x v="11"/>
    <n v="3042"/>
    <s v="Daniela da Cunha"/>
    <s v="48531976219"/>
    <s v="485.319.762-19"/>
    <s v="Santa Catarina"/>
    <x v="9"/>
    <m/>
    <n v="45674"/>
    <x v="46"/>
  </r>
  <r>
    <x v="1423"/>
    <x v="1"/>
    <x v="0"/>
    <x v="0"/>
    <n v="3031"/>
    <s v="Vitória Pires"/>
    <s v="45971083279"/>
    <s v="459.710.832-79"/>
    <s v="Amazonas"/>
    <x v="0"/>
    <m/>
    <n v="45694"/>
    <x v="0"/>
  </r>
  <r>
    <x v="1424"/>
    <x v="0"/>
    <x v="1"/>
    <x v="3"/>
    <n v="3034"/>
    <s v="Letícia Carvalho"/>
    <s v="912.084.675-49"/>
    <s v="912.084.675-49"/>
    <s v="Salvador"/>
    <x v="3"/>
    <s v="Sim"/>
    <n v="45696"/>
    <x v="23"/>
  </r>
  <r>
    <x v="1425"/>
    <x v="0"/>
    <x v="2"/>
    <x v="11"/>
    <n v="3042"/>
    <s v="Maria Luiza Cunha"/>
    <s v="08241569785"/>
    <s v="082.415.697-85"/>
    <s v="Santa Catarina"/>
    <x v="9"/>
    <m/>
    <n v="45681"/>
    <x v="46"/>
  </r>
  <r>
    <x v="1426"/>
    <x v="0"/>
    <x v="1"/>
    <x v="4"/>
    <n v="3035"/>
    <s v="Maria Clara Cardoso"/>
    <s v="58126970430"/>
    <s v="581.269.704-30"/>
    <s v="Porto Alegre"/>
    <x v="4"/>
    <m/>
    <n v="45699"/>
    <x v="40"/>
  </r>
  <r>
    <x v="1427"/>
    <x v="1"/>
    <x v="2"/>
    <x v="10"/>
    <n v="3041"/>
    <s v="Cecília Cunha"/>
    <s v="312.490.576-80"/>
    <s v="312.490.576-80"/>
    <s v="Petrolina"/>
    <x v="8"/>
    <m/>
    <n v="45729"/>
    <x v="42"/>
  </r>
  <r>
    <x v="1428"/>
    <x v="0"/>
    <x v="3"/>
    <x v="1"/>
    <n v="3032"/>
    <s v="Dr. Davi Luiz Freitas"/>
    <s v="508.679.423-47"/>
    <s v="508.679.423-47"/>
    <s v="Belém"/>
    <x v="1"/>
    <m/>
    <n v="45666"/>
    <x v="18"/>
  </r>
  <r>
    <x v="1429"/>
    <x v="1"/>
    <x v="1"/>
    <x v="9"/>
    <n v="3040"/>
    <s v="Sr. Vitor Gabriel Cardoso"/>
    <s v="13760825435"/>
    <s v="137.608.254-35"/>
    <s v="Jericoacara"/>
    <x v="6"/>
    <s v="Sim"/>
    <n v="45727"/>
    <x v="16"/>
  </r>
  <r>
    <x v="1430"/>
    <x v="1"/>
    <x v="0"/>
    <x v="4"/>
    <n v="3035"/>
    <s v="João Gabriel Lopes"/>
    <s v="614.925.807-67"/>
    <s v="614.925.807-67"/>
    <s v="Porto Alegre"/>
    <x v="4"/>
    <s v="Sim"/>
    <n v="45716"/>
    <x v="40"/>
  </r>
  <r>
    <x v="1431"/>
    <x v="0"/>
    <x v="0"/>
    <x v="3"/>
    <n v="3034"/>
    <s v="Maria Julia Viana"/>
    <s v="74980163548"/>
    <s v="749.801.635-48"/>
    <s v="Salvador"/>
    <x v="3"/>
    <m/>
    <n v="45688"/>
    <x v="17"/>
  </r>
  <r>
    <x v="1432"/>
    <x v="1"/>
    <x v="2"/>
    <x v="8"/>
    <n v="3039"/>
    <s v="Lorena Barbosa"/>
    <s v="86709453120"/>
    <s v="867.094.531-20"/>
    <s v="Recife"/>
    <x v="8"/>
    <s v="Sim"/>
    <n v="45744"/>
    <x v="21"/>
  </r>
  <r>
    <x v="1433"/>
    <x v="1"/>
    <x v="2"/>
    <x v="11"/>
    <n v="3042"/>
    <s v="João Miguel Monteiro"/>
    <s v="519.742.836-82"/>
    <s v="519.742.836-82"/>
    <s v="Santa Catarina"/>
    <x v="9"/>
    <m/>
    <n v="45712"/>
    <x v="46"/>
  </r>
  <r>
    <x v="1434"/>
    <x v="1"/>
    <x v="3"/>
    <x v="8"/>
    <n v="3039"/>
    <s v="Erick Oliveira"/>
    <s v="24396051824"/>
    <s v="243.960.518-24"/>
    <s v="Recife"/>
    <x v="8"/>
    <s v="Sim"/>
    <n v="45734"/>
    <x v="14"/>
  </r>
  <r>
    <x v="1435"/>
    <x v="1"/>
    <x v="0"/>
    <x v="1"/>
    <n v="3032"/>
    <s v="Isis Barbosa"/>
    <s v="80793145279"/>
    <s v="807.931.452-79"/>
    <s v="Belém"/>
    <x v="1"/>
    <s v="Sim"/>
    <n v="45718"/>
    <x v="47"/>
  </r>
  <r>
    <x v="1436"/>
    <x v="0"/>
    <x v="2"/>
    <x v="11"/>
    <n v="3042"/>
    <s v="Sr. Vitor Souza"/>
    <s v="291.086.475-85"/>
    <s v="291.086.475-85"/>
    <s v="Santa Catarina"/>
    <x v="9"/>
    <s v="Sim"/>
    <n v="45739"/>
    <x v="37"/>
  </r>
  <r>
    <x v="1437"/>
    <x v="1"/>
    <x v="2"/>
    <x v="5"/>
    <n v="3036"/>
    <s v="Ana Vitória Souza"/>
    <s v="048.651.379-39"/>
    <s v="048.651.379-39"/>
    <s v="Porto Velho"/>
    <x v="5"/>
    <m/>
    <n v="45708"/>
    <x v="17"/>
  </r>
  <r>
    <x v="1438"/>
    <x v="0"/>
    <x v="0"/>
    <x v="11"/>
    <n v="3042"/>
    <s v="João Miguel da Mota"/>
    <s v="816.295.034-60"/>
    <s v="816.295.034-60"/>
    <s v="Santa Catarina"/>
    <x v="9"/>
    <m/>
    <n v="45718"/>
    <x v="32"/>
  </r>
  <r>
    <x v="1439"/>
    <x v="0"/>
    <x v="1"/>
    <x v="6"/>
    <n v="3037"/>
    <s v="Evelyn da Cunha"/>
    <s v="84621053906"/>
    <s v="846.210.539-06"/>
    <s v="Fortaleza"/>
    <x v="6"/>
    <m/>
    <n v="45693"/>
    <x v="5"/>
  </r>
  <r>
    <x v="1440"/>
    <x v="0"/>
    <x v="1"/>
    <x v="3"/>
    <n v="3034"/>
    <s v="Dra. Marcela Pinto"/>
    <s v="31462097804"/>
    <s v="314.620.978-04"/>
    <s v="Salvador"/>
    <x v="3"/>
    <s v="Sim"/>
    <n v="45686"/>
    <x v="11"/>
  </r>
  <r>
    <x v="1441"/>
    <x v="0"/>
    <x v="0"/>
    <x v="5"/>
    <n v="3036"/>
    <s v="Joana da Cruz"/>
    <s v="59460138748"/>
    <s v="594.601.387-48"/>
    <s v="Porto Velho"/>
    <x v="5"/>
    <s v="Sim"/>
    <n v="45691"/>
    <x v="27"/>
  </r>
  <r>
    <x v="1442"/>
    <x v="1"/>
    <x v="3"/>
    <x v="1"/>
    <n v="3032"/>
    <s v="Nina da Mata"/>
    <s v="43057891241"/>
    <s v="430.578.912-41"/>
    <s v="Belém"/>
    <x v="1"/>
    <m/>
    <n v="45734"/>
    <x v="38"/>
  </r>
  <r>
    <x v="1443"/>
    <x v="0"/>
    <x v="3"/>
    <x v="3"/>
    <n v="3034"/>
    <s v="Gustavo Silva"/>
    <s v="98061724340"/>
    <s v="980.617.243-40"/>
    <s v="Salvador"/>
    <x v="3"/>
    <m/>
    <n v="45738"/>
    <x v="23"/>
  </r>
  <r>
    <x v="1444"/>
    <x v="1"/>
    <x v="3"/>
    <x v="9"/>
    <n v="3040"/>
    <s v="Isaac Cunha"/>
    <s v="70582694329"/>
    <s v="705.826.943-29"/>
    <s v="Jericoacara"/>
    <x v="6"/>
    <m/>
    <n v="45746"/>
    <x v="28"/>
  </r>
  <r>
    <x v="1445"/>
    <x v="0"/>
    <x v="3"/>
    <x v="8"/>
    <n v="3039"/>
    <s v="Emanuel Moraes"/>
    <s v="384.720.956-65"/>
    <s v="384.720.956-65"/>
    <s v="Recife"/>
    <x v="8"/>
    <m/>
    <n v="45736"/>
    <x v="42"/>
  </r>
  <r>
    <x v="1446"/>
    <x v="0"/>
    <x v="3"/>
    <x v="7"/>
    <n v="3038"/>
    <s v="Calebe Carvalho"/>
    <s v="178.504.623-35"/>
    <s v="178.504.623-35"/>
    <s v="Natal"/>
    <x v="7"/>
    <m/>
    <n v="45681"/>
    <x v="43"/>
  </r>
  <r>
    <x v="1447"/>
    <x v="0"/>
    <x v="1"/>
    <x v="2"/>
    <n v="3033"/>
    <s v="Ana Laura da Paz"/>
    <s v="73285910640"/>
    <s v="732.859.106-40"/>
    <s v="Tocantins"/>
    <x v="2"/>
    <s v="Sim"/>
    <n v="45740"/>
    <x v="4"/>
  </r>
  <r>
    <x v="1448"/>
    <x v="0"/>
    <x v="0"/>
    <x v="10"/>
    <n v="3041"/>
    <s v="Thiago Cardoso"/>
    <s v="18762309595"/>
    <s v="187.623.095-95"/>
    <s v="Petrolina"/>
    <x v="8"/>
    <m/>
    <n v="45733"/>
    <x v="35"/>
  </r>
  <r>
    <x v="1449"/>
    <x v="0"/>
    <x v="1"/>
    <x v="10"/>
    <n v="3041"/>
    <s v="Rebeca Souza"/>
    <s v="09218546767"/>
    <s v="092.185.467-67"/>
    <s v="Petrolina"/>
    <x v="8"/>
    <m/>
    <n v="45668"/>
    <x v="13"/>
  </r>
  <r>
    <x v="1450"/>
    <x v="1"/>
    <x v="0"/>
    <x v="3"/>
    <n v="3034"/>
    <s v="Ana Souza"/>
    <s v="036.285.741-53"/>
    <s v="036.285.741-53"/>
    <s v="Salvador"/>
    <x v="3"/>
    <s v="Sim"/>
    <n v="45737"/>
    <x v="17"/>
  </r>
  <r>
    <x v="1451"/>
    <x v="0"/>
    <x v="0"/>
    <x v="3"/>
    <n v="3034"/>
    <s v="Ana Vitória Peixoto"/>
    <s v="03624719599"/>
    <s v="036.247.195-99"/>
    <s v="Salvador"/>
    <x v="3"/>
    <s v="Sim"/>
    <n v="45688"/>
    <x v="5"/>
  </r>
  <r>
    <x v="1452"/>
    <x v="1"/>
    <x v="0"/>
    <x v="7"/>
    <n v="3038"/>
    <s v="Ana Julia Costa"/>
    <s v="84192763591"/>
    <s v="841.927.635-91"/>
    <s v="Natal"/>
    <x v="7"/>
    <s v="Sim"/>
    <n v="45691"/>
    <x v="31"/>
  </r>
  <r>
    <x v="1453"/>
    <x v="1"/>
    <x v="2"/>
    <x v="8"/>
    <n v="3039"/>
    <s v="Nicolas Cunha"/>
    <s v="63295147043"/>
    <s v="632.951.470-43"/>
    <s v="Recife"/>
    <x v="8"/>
    <s v="Sim"/>
    <n v="45665"/>
    <x v="34"/>
  </r>
  <r>
    <x v="1454"/>
    <x v="1"/>
    <x v="3"/>
    <x v="7"/>
    <n v="3038"/>
    <s v="Levi Freitas"/>
    <s v="596.072.841-94"/>
    <s v="596.072.841-94"/>
    <s v="Natal"/>
    <x v="7"/>
    <m/>
    <n v="45670"/>
    <x v="43"/>
  </r>
  <r>
    <x v="1455"/>
    <x v="1"/>
    <x v="0"/>
    <x v="6"/>
    <n v="3037"/>
    <s v="Maria Alice Oliveira"/>
    <s v="059.621.348-42"/>
    <s v="059.621.348-42"/>
    <s v="Fortaleza"/>
    <x v="6"/>
    <m/>
    <n v="45700"/>
    <x v="24"/>
  </r>
  <r>
    <x v="1456"/>
    <x v="1"/>
    <x v="3"/>
    <x v="11"/>
    <n v="3042"/>
    <s v="Srta. Manuela Castro"/>
    <s v="12670594867"/>
    <s v="126.705.948-67"/>
    <s v="Santa Catarina"/>
    <x v="9"/>
    <m/>
    <n v="45693"/>
    <x v="10"/>
  </r>
  <r>
    <x v="1457"/>
    <x v="0"/>
    <x v="3"/>
    <x v="2"/>
    <n v="3033"/>
    <s v="Julia Carvalho"/>
    <s v="062.539.784-38"/>
    <s v="062.539.784-38"/>
    <s v="Tocantins"/>
    <x v="2"/>
    <m/>
    <n v="45667"/>
    <x v="7"/>
  </r>
  <r>
    <x v="1458"/>
    <x v="0"/>
    <x v="0"/>
    <x v="10"/>
    <n v="3041"/>
    <s v="Vitor da Rosa"/>
    <s v="45803917648"/>
    <s v="458.039.176-48"/>
    <s v="Petrolina"/>
    <x v="8"/>
    <m/>
    <n v="45705"/>
    <x v="32"/>
  </r>
  <r>
    <x v="1459"/>
    <x v="1"/>
    <x v="3"/>
    <x v="11"/>
    <n v="3042"/>
    <s v="Luiza Pereira"/>
    <s v="82349507629"/>
    <s v="823.495.076-29"/>
    <s v="Santa Catarina"/>
    <x v="9"/>
    <m/>
    <n v="45687"/>
    <x v="10"/>
  </r>
  <r>
    <x v="1460"/>
    <x v="1"/>
    <x v="3"/>
    <x v="9"/>
    <n v="3040"/>
    <s v="Agatha Souza"/>
    <s v="735.218.940-88"/>
    <s v="735.218.940-88"/>
    <s v="Jericoacara"/>
    <x v="6"/>
    <s v="Sim"/>
    <n v="45678"/>
    <x v="45"/>
  </r>
  <r>
    <x v="1461"/>
    <x v="0"/>
    <x v="0"/>
    <x v="4"/>
    <n v="3035"/>
    <s v="Pedro Moura"/>
    <s v="91075234670"/>
    <s v="910.752.346-70"/>
    <s v="Porto Alegre"/>
    <x v="4"/>
    <s v="Sim"/>
    <n v="45716"/>
    <x v="26"/>
  </r>
  <r>
    <x v="1462"/>
    <x v="0"/>
    <x v="2"/>
    <x v="7"/>
    <n v="3038"/>
    <s v="Luiz Fernando Moura"/>
    <s v="914.278.065-94"/>
    <s v="914.278.065-94"/>
    <s v="Natal"/>
    <x v="7"/>
    <m/>
    <n v="45682"/>
    <x v="34"/>
  </r>
  <r>
    <x v="1463"/>
    <x v="0"/>
    <x v="0"/>
    <x v="8"/>
    <n v="3039"/>
    <s v="Bárbara Nunes"/>
    <s v="96875230186"/>
    <s v="968.752.301-86"/>
    <s v="Recife"/>
    <x v="8"/>
    <m/>
    <n v="45672"/>
    <x v="16"/>
  </r>
  <r>
    <x v="1464"/>
    <x v="0"/>
    <x v="0"/>
    <x v="11"/>
    <n v="3042"/>
    <s v="Valentina Moreira"/>
    <s v="963.124.087-87"/>
    <s v="963.124.087-87"/>
    <s v="Santa Catarina"/>
    <x v="9"/>
    <m/>
    <n v="45732"/>
    <x v="46"/>
  </r>
  <r>
    <x v="1465"/>
    <x v="0"/>
    <x v="3"/>
    <x v="4"/>
    <n v="3035"/>
    <s v="Gabriela da Mota"/>
    <s v="23176958455"/>
    <s v="231.769.584-55"/>
    <s v="Porto Alegre"/>
    <x v="4"/>
    <m/>
    <n v="45712"/>
    <x v="8"/>
  </r>
  <r>
    <x v="1466"/>
    <x v="1"/>
    <x v="1"/>
    <x v="9"/>
    <n v="3040"/>
    <s v="Ana Carolina Oliveira"/>
    <s v="90713856475"/>
    <s v="907.138.564-75"/>
    <s v="Jericoacara"/>
    <x v="6"/>
    <m/>
    <n v="45720"/>
    <x v="20"/>
  </r>
  <r>
    <x v="1467"/>
    <x v="0"/>
    <x v="2"/>
    <x v="4"/>
    <n v="3035"/>
    <s v="Camila da Rosa"/>
    <s v="48396127573"/>
    <s v="483.961.275-73"/>
    <s v="Porto Alegre"/>
    <x v="4"/>
    <s v="Sim"/>
    <n v="45721"/>
    <x v="40"/>
  </r>
  <r>
    <x v="1468"/>
    <x v="0"/>
    <x v="1"/>
    <x v="7"/>
    <n v="3038"/>
    <s v="Luiz Henrique Cunha"/>
    <s v="804.692.375-38"/>
    <s v="804.692.375-38"/>
    <s v="Natal"/>
    <x v="7"/>
    <s v="Sim"/>
    <n v="45671"/>
    <x v="21"/>
  </r>
  <r>
    <x v="1469"/>
    <x v="1"/>
    <x v="0"/>
    <x v="5"/>
    <n v="3036"/>
    <s v="Dra. Mariana Pinto"/>
    <s v="502.347.169-16"/>
    <s v="502.347.169-16"/>
    <s v="Porto Velho"/>
    <x v="5"/>
    <m/>
    <n v="45667"/>
    <x v="3"/>
  </r>
  <r>
    <x v="1470"/>
    <x v="0"/>
    <x v="0"/>
    <x v="10"/>
    <n v="3041"/>
    <s v="Isis Nascimento"/>
    <s v="561.870.394-75"/>
    <s v="561.870.394-75"/>
    <s v="Petrolina"/>
    <x v="8"/>
    <m/>
    <n v="45723"/>
    <x v="35"/>
  </r>
  <r>
    <x v="1471"/>
    <x v="0"/>
    <x v="2"/>
    <x v="5"/>
    <n v="3036"/>
    <s v="Bianca da Mota"/>
    <s v="859.602.134-51"/>
    <s v="859.602.134-51"/>
    <s v="Porto Velho"/>
    <x v="5"/>
    <m/>
    <n v="45710"/>
    <x v="3"/>
  </r>
  <r>
    <x v="1472"/>
    <x v="0"/>
    <x v="2"/>
    <x v="3"/>
    <n v="3034"/>
    <s v="Erick Lima"/>
    <s v="84067135262"/>
    <s v="840.671.352-62"/>
    <s v="Salvador"/>
    <x v="3"/>
    <m/>
    <n v="45658"/>
    <x v="5"/>
  </r>
  <r>
    <x v="1473"/>
    <x v="1"/>
    <x v="2"/>
    <x v="7"/>
    <n v="3038"/>
    <s v="Maitê Pinto"/>
    <s v="968.075.324-74"/>
    <s v="968.075.324-74"/>
    <s v="Natal"/>
    <x v="7"/>
    <s v="Sim"/>
    <n v="45665"/>
    <x v="34"/>
  </r>
  <r>
    <x v="1474"/>
    <x v="1"/>
    <x v="3"/>
    <x v="4"/>
    <n v="3035"/>
    <s v="Raul da Mota"/>
    <s v="95076382103"/>
    <s v="950.763.821-03"/>
    <s v="Porto Alegre"/>
    <x v="4"/>
    <m/>
    <n v="45665"/>
    <x v="40"/>
  </r>
  <r>
    <x v="1475"/>
    <x v="0"/>
    <x v="2"/>
    <x v="0"/>
    <n v="3031"/>
    <s v="Pedro Lucas Cardoso"/>
    <s v="50731492625"/>
    <s v="507.314.926-25"/>
    <s v="Amazonas"/>
    <x v="0"/>
    <m/>
    <n v="45720"/>
    <x v="36"/>
  </r>
  <r>
    <x v="1476"/>
    <x v="1"/>
    <x v="2"/>
    <x v="10"/>
    <n v="3041"/>
    <s v="Marina da Conceição"/>
    <s v="05382691460"/>
    <s v="053.826.914-60"/>
    <s v="Petrolina"/>
    <x v="8"/>
    <m/>
    <n v="45700"/>
    <x v="32"/>
  </r>
  <r>
    <x v="1477"/>
    <x v="0"/>
    <x v="1"/>
    <x v="0"/>
    <n v="3031"/>
    <s v="Esther Novaes"/>
    <s v="207.153.498-05"/>
    <s v="207.153.498-05"/>
    <s v="Amazonas"/>
    <x v="0"/>
    <m/>
    <n v="45715"/>
    <x v="9"/>
  </r>
  <r>
    <x v="1478"/>
    <x v="1"/>
    <x v="1"/>
    <x v="9"/>
    <n v="3040"/>
    <s v="João Felipe Aragão"/>
    <s v="81756340226"/>
    <s v="817.563.402-26"/>
    <s v="Jericoacara"/>
    <x v="6"/>
    <m/>
    <n v="45712"/>
    <x v="24"/>
  </r>
  <r>
    <x v="1479"/>
    <x v="0"/>
    <x v="1"/>
    <x v="1"/>
    <n v="3032"/>
    <s v="Dra. Ana Clara Ferreira"/>
    <s v="064.915.738-93"/>
    <s v="064.915.738-93"/>
    <s v="Belém"/>
    <x v="1"/>
    <m/>
    <n v="45666"/>
    <x v="1"/>
  </r>
  <r>
    <x v="1480"/>
    <x v="0"/>
    <x v="2"/>
    <x v="4"/>
    <n v="3035"/>
    <s v="Ian Moraes"/>
    <s v="235.806.714-80"/>
    <s v="235.806.714-80"/>
    <s v="Porto Alegre"/>
    <x v="4"/>
    <m/>
    <n v="45677"/>
    <x v="8"/>
  </r>
  <r>
    <x v="1481"/>
    <x v="0"/>
    <x v="2"/>
    <x v="9"/>
    <n v="3040"/>
    <s v="Renan Cavalcanti"/>
    <s v="12037965443"/>
    <s v="120.379.654-43"/>
    <s v="Jericoacara"/>
    <x v="6"/>
    <m/>
    <n v="45670"/>
    <x v="24"/>
  </r>
  <r>
    <x v="1482"/>
    <x v="0"/>
    <x v="3"/>
    <x v="6"/>
    <n v="3037"/>
    <s v="Luna Viana"/>
    <s v="95601837457"/>
    <s v="956.018.374-57"/>
    <s v="Fortaleza"/>
    <x v="6"/>
    <m/>
    <n v="45687"/>
    <x v="26"/>
  </r>
  <r>
    <x v="1483"/>
    <x v="0"/>
    <x v="3"/>
    <x v="4"/>
    <n v="3035"/>
    <s v="Nicolas Barros"/>
    <s v="250.139.786-02"/>
    <s v="250.139.786-02"/>
    <s v="Porto Alegre"/>
    <x v="4"/>
    <m/>
    <n v="45684"/>
    <x v="40"/>
  </r>
  <r>
    <x v="1484"/>
    <x v="1"/>
    <x v="2"/>
    <x v="6"/>
    <n v="3037"/>
    <s v="Benjamin Duarte"/>
    <s v="734.608.925-10"/>
    <s v="734.608.925-10"/>
    <s v="Fortaleza"/>
    <x v="6"/>
    <s v="Sim"/>
    <n v="45671"/>
    <x v="10"/>
  </r>
  <r>
    <x v="1485"/>
    <x v="0"/>
    <x v="1"/>
    <x v="10"/>
    <n v="3041"/>
    <s v="Sarah Sales"/>
    <s v="82906154342"/>
    <s v="829.061.543-42"/>
    <s v="Petrolina"/>
    <x v="8"/>
    <s v="Sim"/>
    <n v="45667"/>
    <x v="35"/>
  </r>
  <r>
    <x v="1486"/>
    <x v="1"/>
    <x v="2"/>
    <x v="5"/>
    <n v="3036"/>
    <s v="Caroline Ferreira"/>
    <s v="86249735119"/>
    <s v="862.497.351-19"/>
    <s v="Porto Velho"/>
    <x v="5"/>
    <s v="Sim"/>
    <n v="45680"/>
    <x v="27"/>
  </r>
  <r>
    <x v="1487"/>
    <x v="1"/>
    <x v="0"/>
    <x v="4"/>
    <n v="3035"/>
    <s v="Daniela Viana"/>
    <s v="31245790897"/>
    <s v="312.457.908-97"/>
    <s v="Porto Alegre"/>
    <x v="4"/>
    <m/>
    <n v="45680"/>
    <x v="40"/>
  </r>
  <r>
    <x v="1488"/>
    <x v="0"/>
    <x v="2"/>
    <x v="6"/>
    <n v="3037"/>
    <s v="Sophia Porto"/>
    <s v="076.359.814-39"/>
    <s v="076.359.814-39"/>
    <s v="Fortaleza"/>
    <x v="6"/>
    <s v="Sim"/>
    <n v="45697"/>
    <x v="26"/>
  </r>
  <r>
    <x v="1489"/>
    <x v="1"/>
    <x v="3"/>
    <x v="6"/>
    <n v="3037"/>
    <s v="Eduarda Nunes"/>
    <s v="82097315640"/>
    <s v="820.973.156-40"/>
    <s v="Fortaleza"/>
    <x v="6"/>
    <s v="Sim"/>
    <n v="45675"/>
    <x v="26"/>
  </r>
  <r>
    <x v="1490"/>
    <x v="1"/>
    <x v="3"/>
    <x v="7"/>
    <n v="3038"/>
    <s v="Pedro Lucas Monteiro"/>
    <s v="521.398.074-05"/>
    <s v="521.398.074-05"/>
    <s v="Natal"/>
    <x v="7"/>
    <s v="Sim"/>
    <n v="45668"/>
    <x v="12"/>
  </r>
  <r>
    <x v="1491"/>
    <x v="0"/>
    <x v="3"/>
    <x v="1"/>
    <n v="3032"/>
    <s v="Emanuella Nunes"/>
    <s v="921.457.083-32"/>
    <s v="921.457.083-32"/>
    <s v="Belém"/>
    <x v="1"/>
    <s v="Sim"/>
    <n v="45689"/>
    <x v="15"/>
  </r>
  <r>
    <x v="1492"/>
    <x v="0"/>
    <x v="2"/>
    <x v="3"/>
    <n v="3034"/>
    <s v="Julia Ramos"/>
    <s v="904.137.258-04"/>
    <s v="904.137.258-04"/>
    <s v="Salvador"/>
    <x v="3"/>
    <s v="Sim"/>
    <n v="45673"/>
    <x v="22"/>
  </r>
  <r>
    <x v="1493"/>
    <x v="1"/>
    <x v="0"/>
    <x v="11"/>
    <n v="3042"/>
    <s v="Arthur Melo"/>
    <s v="036.542.789-65"/>
    <s v="036.542.789-65"/>
    <s v="Santa Catarina"/>
    <x v="9"/>
    <s v="Sim"/>
    <n v="45686"/>
    <x v="37"/>
  </r>
  <r>
    <x v="1494"/>
    <x v="0"/>
    <x v="2"/>
    <x v="8"/>
    <n v="3039"/>
    <s v="Heloísa Silva"/>
    <s v="81926340787"/>
    <s v="819.263.407-87"/>
    <s v="Recife"/>
    <x v="8"/>
    <s v="Sim"/>
    <n v="45666"/>
    <x v="21"/>
  </r>
  <r>
    <x v="1495"/>
    <x v="0"/>
    <x v="1"/>
    <x v="2"/>
    <n v="3033"/>
    <s v="Sr. Erick Viana"/>
    <s v="679.314.508-84"/>
    <s v="679.314.508-84"/>
    <s v="Tocantins"/>
    <x v="2"/>
    <m/>
    <n v="45684"/>
    <x v="2"/>
  </r>
  <r>
    <x v="1496"/>
    <x v="1"/>
    <x v="2"/>
    <x v="2"/>
    <n v="3033"/>
    <s v="Stephany Cardoso"/>
    <s v="917.345.680-20"/>
    <s v="917.345.680-20"/>
    <s v="Tocantins"/>
    <x v="2"/>
    <s v="Sim"/>
    <n v="45741"/>
    <x v="2"/>
  </r>
  <r>
    <x v="1497"/>
    <x v="0"/>
    <x v="1"/>
    <x v="11"/>
    <n v="3042"/>
    <s v="Maria Julia Pinto"/>
    <s v="872.619.530-59"/>
    <s v="872.619.530-59"/>
    <s v="Santa Catarina"/>
    <x v="9"/>
    <m/>
    <n v="45734"/>
    <x v="24"/>
  </r>
  <r>
    <x v="1498"/>
    <x v="0"/>
    <x v="0"/>
    <x v="11"/>
    <n v="3042"/>
    <s v="Maria Alice Lopes"/>
    <s v="806.517.294-67"/>
    <s v="806.517.294-67"/>
    <s v="Santa Catarina"/>
    <x v="9"/>
    <s v="Sim"/>
    <n v="45743"/>
    <x v="10"/>
  </r>
  <r>
    <x v="1499"/>
    <x v="1"/>
    <x v="2"/>
    <x v="11"/>
    <n v="3042"/>
    <s v="Rafael Moreira"/>
    <s v="695.734.082-10"/>
    <s v="695.734.082-10"/>
    <s v="Santa Catarina"/>
    <x v="9"/>
    <s v="Sim"/>
    <n v="45674"/>
    <x v="32"/>
  </r>
  <r>
    <x v="1500"/>
    <x v="0"/>
    <x v="0"/>
    <x v="5"/>
    <n v="3036"/>
    <s v="Marcelo da Luz"/>
    <s v="594.217.386-91"/>
    <s v="594.217.386-91"/>
    <s v="Porto Velho"/>
    <x v="5"/>
    <s v="Sim"/>
    <n v="45677"/>
    <x v="9"/>
  </r>
  <r>
    <x v="1501"/>
    <x v="1"/>
    <x v="1"/>
    <x v="3"/>
    <n v="3034"/>
    <s v="João Gabriel Gonçalves"/>
    <s v="23954671034"/>
    <s v="239.546.710-34"/>
    <s v="Salvador"/>
    <x v="3"/>
    <s v="Sim"/>
    <n v="45742"/>
    <x v="5"/>
  </r>
  <r>
    <x v="1502"/>
    <x v="1"/>
    <x v="3"/>
    <x v="3"/>
    <n v="3034"/>
    <s v="Marcelo Cavalcanti"/>
    <s v="562.708.143-08"/>
    <s v="562.708.143-08"/>
    <s v="Salvador"/>
    <x v="3"/>
    <m/>
    <n v="45728"/>
    <x v="22"/>
  </r>
  <r>
    <x v="1503"/>
    <x v="1"/>
    <x v="3"/>
    <x v="6"/>
    <n v="3037"/>
    <s v="Camila Mendes"/>
    <s v="62834159700"/>
    <s v="628.341.597-00"/>
    <s v="Fortaleza"/>
    <x v="6"/>
    <m/>
    <n v="45667"/>
    <x v="24"/>
  </r>
  <r>
    <x v="1504"/>
    <x v="1"/>
    <x v="1"/>
    <x v="8"/>
    <n v="3039"/>
    <s v="Luiz Fernando Cavalcanti"/>
    <s v="865.203.914-33"/>
    <s v="865.203.914-33"/>
    <s v="Recife"/>
    <x v="8"/>
    <m/>
    <n v="45659"/>
    <x v="8"/>
  </r>
  <r>
    <x v="1505"/>
    <x v="0"/>
    <x v="3"/>
    <x v="9"/>
    <n v="3040"/>
    <s v="Giovanna Rodrigues"/>
    <s v="493.012.687-87"/>
    <s v="493.012.687-87"/>
    <s v="Jericoacara"/>
    <x v="6"/>
    <s v="Sim"/>
    <n v="45738"/>
    <x v="29"/>
  </r>
  <r>
    <x v="1506"/>
    <x v="1"/>
    <x v="1"/>
    <x v="10"/>
    <n v="3041"/>
    <s v="Lucca Rocha"/>
    <s v="203.459.178-04"/>
    <s v="203.459.178-04"/>
    <s v="Petrolina"/>
    <x v="8"/>
    <m/>
    <n v="45666"/>
    <x v="42"/>
  </r>
  <r>
    <x v="1507"/>
    <x v="0"/>
    <x v="2"/>
    <x v="0"/>
    <n v="3031"/>
    <s v="Sr. João Vitor Lima"/>
    <s v="154.302.786-53"/>
    <s v="154.302.786-53"/>
    <s v="Amazonas"/>
    <x v="0"/>
    <s v="Sim"/>
    <n v="45679"/>
    <x v="5"/>
  </r>
  <r>
    <x v="1508"/>
    <x v="0"/>
    <x v="1"/>
    <x v="7"/>
    <n v="3038"/>
    <s v="Srta. Isabelly da Rosa"/>
    <s v="67183520471"/>
    <s v="671.835.204-71"/>
    <s v="Natal"/>
    <x v="7"/>
    <m/>
    <n v="45718"/>
    <x v="34"/>
  </r>
  <r>
    <x v="1509"/>
    <x v="0"/>
    <x v="2"/>
    <x v="10"/>
    <n v="3041"/>
    <s v="Davi Lucas Cavalcanti"/>
    <s v="41062839722"/>
    <s v="410.628.397-22"/>
    <s v="Petrolina"/>
    <x v="8"/>
    <m/>
    <n v="45725"/>
    <x v="32"/>
  </r>
  <r>
    <x v="1510"/>
    <x v="1"/>
    <x v="3"/>
    <x v="5"/>
    <n v="3036"/>
    <s v="Marcela Ribeiro"/>
    <s v="802.639.714-22"/>
    <s v="802.639.714-22"/>
    <s v="Porto Velho"/>
    <x v="5"/>
    <s v="Sim"/>
    <n v="45680"/>
    <x v="17"/>
  </r>
  <r>
    <x v="1511"/>
    <x v="0"/>
    <x v="3"/>
    <x v="0"/>
    <n v="3031"/>
    <s v="Marcela Monteiro"/>
    <s v="628.743.501-17"/>
    <s v="628.743.501-17"/>
    <s v="Amazonas"/>
    <x v="0"/>
    <m/>
    <n v="45741"/>
    <x v="36"/>
  </r>
  <r>
    <x v="1512"/>
    <x v="1"/>
    <x v="1"/>
    <x v="10"/>
    <n v="3041"/>
    <s v="Lívia Peixoto"/>
    <s v="789.261.435-46"/>
    <s v="789.261.435-46"/>
    <s v="Petrolina"/>
    <x v="8"/>
    <m/>
    <n v="45707"/>
    <x v="35"/>
  </r>
  <r>
    <x v="1513"/>
    <x v="1"/>
    <x v="2"/>
    <x v="6"/>
    <n v="3037"/>
    <s v="Dr. Marcelo Mendes"/>
    <s v="965.824.703-29"/>
    <s v="965.824.703-29"/>
    <s v="Fortaleza"/>
    <x v="6"/>
    <m/>
    <n v="45687"/>
    <x v="5"/>
  </r>
  <r>
    <x v="1514"/>
    <x v="0"/>
    <x v="2"/>
    <x v="5"/>
    <n v="3036"/>
    <s v="Ana Vitória Cardoso"/>
    <s v="65017843957"/>
    <s v="650.178.439-57"/>
    <s v="Porto Velho"/>
    <x v="5"/>
    <m/>
    <n v="45694"/>
    <x v="17"/>
  </r>
  <r>
    <x v="1515"/>
    <x v="1"/>
    <x v="3"/>
    <x v="3"/>
    <n v="3034"/>
    <s v="Daniela Dias"/>
    <s v="13250746835"/>
    <s v="132.507.468-35"/>
    <s v="Salvador"/>
    <x v="3"/>
    <m/>
    <n v="45658"/>
    <x v="11"/>
  </r>
  <r>
    <x v="1516"/>
    <x v="0"/>
    <x v="3"/>
    <x v="4"/>
    <n v="3035"/>
    <s v="Dr. Lucca Azevedo"/>
    <s v="836.451.072-07"/>
    <s v="836.451.072-07"/>
    <s v="Porto Alegre"/>
    <x v="4"/>
    <s v="Sim"/>
    <n v="45685"/>
    <x v="22"/>
  </r>
  <r>
    <x v="1517"/>
    <x v="0"/>
    <x v="2"/>
    <x v="6"/>
    <n v="3037"/>
    <s v="Marcela Nogueira"/>
    <s v="67235194855"/>
    <s v="672.351.948-55"/>
    <s v="Fortaleza"/>
    <x v="6"/>
    <s v="Sim"/>
    <n v="45727"/>
    <x v="26"/>
  </r>
  <r>
    <x v="1518"/>
    <x v="1"/>
    <x v="1"/>
    <x v="10"/>
    <n v="3041"/>
    <s v="Pedro Oliveira"/>
    <s v="20974165867"/>
    <s v="209.741.658-67"/>
    <s v="Petrolina"/>
    <x v="8"/>
    <s v="Sim"/>
    <n v="45664"/>
    <x v="32"/>
  </r>
  <r>
    <x v="1519"/>
    <x v="0"/>
    <x v="2"/>
    <x v="6"/>
    <n v="3037"/>
    <s v="Clara da Luz"/>
    <s v="81290647585"/>
    <s v="812.906.475-85"/>
    <s v="Fortaleza"/>
    <x v="6"/>
    <m/>
    <n v="45743"/>
    <x v="19"/>
  </r>
  <r>
    <x v="1520"/>
    <x v="1"/>
    <x v="2"/>
    <x v="1"/>
    <n v="3032"/>
    <s v="Agatha Lima"/>
    <s v="910.357.426-16"/>
    <s v="910.357.426-16"/>
    <s v="Belém"/>
    <x v="1"/>
    <s v="Sim"/>
    <n v="45698"/>
    <x v="1"/>
  </r>
  <r>
    <x v="1521"/>
    <x v="1"/>
    <x v="0"/>
    <x v="4"/>
    <n v="3035"/>
    <s v="Luigi da Cruz"/>
    <s v="38720419678"/>
    <s v="387.204.196-78"/>
    <s v="Porto Alegre"/>
    <x v="4"/>
    <m/>
    <n v="45708"/>
    <x v="8"/>
  </r>
  <r>
    <x v="1522"/>
    <x v="0"/>
    <x v="1"/>
    <x v="11"/>
    <n v="3042"/>
    <s v="Srta. Natália Ramos"/>
    <s v="29536847191"/>
    <s v="295.368.471-91"/>
    <s v="Santa Catarina"/>
    <x v="9"/>
    <m/>
    <n v="45712"/>
    <x v="46"/>
  </r>
  <r>
    <x v="1523"/>
    <x v="1"/>
    <x v="3"/>
    <x v="11"/>
    <n v="3042"/>
    <s v="Emanuelly Rocha"/>
    <s v="26984075300"/>
    <s v="269.840.753-00"/>
    <s v="Santa Catarina"/>
    <x v="9"/>
    <m/>
    <n v="45707"/>
    <x v="46"/>
  </r>
  <r>
    <x v="1524"/>
    <x v="1"/>
    <x v="0"/>
    <x v="1"/>
    <n v="3032"/>
    <s v="Sarah Ramos"/>
    <s v="68350792400"/>
    <s v="683.507.924-00"/>
    <s v="Belém"/>
    <x v="1"/>
    <m/>
    <n v="45727"/>
    <x v="18"/>
  </r>
  <r>
    <x v="1525"/>
    <x v="0"/>
    <x v="2"/>
    <x v="0"/>
    <n v="3031"/>
    <s v="Ana Vitória Ribeiro"/>
    <s v="217.586.390-59"/>
    <s v="217.586.390-59"/>
    <s v="Amazonas"/>
    <x v="0"/>
    <m/>
    <n v="45712"/>
    <x v="13"/>
  </r>
  <r>
    <x v="1526"/>
    <x v="1"/>
    <x v="0"/>
    <x v="6"/>
    <n v="3037"/>
    <s v="Maria Luiza da Mata"/>
    <s v="05216487344"/>
    <s v="052.164.873-44"/>
    <s v="Fortaleza"/>
    <x v="6"/>
    <m/>
    <n v="45743"/>
    <x v="10"/>
  </r>
  <r>
    <x v="1527"/>
    <x v="0"/>
    <x v="1"/>
    <x v="4"/>
    <n v="3035"/>
    <s v="Caio Pereira"/>
    <s v="514.879.602-20"/>
    <s v="514.879.602-20"/>
    <s v="Porto Alegre"/>
    <x v="4"/>
    <m/>
    <n v="45689"/>
    <x v="22"/>
  </r>
  <r>
    <x v="1528"/>
    <x v="1"/>
    <x v="1"/>
    <x v="10"/>
    <n v="3041"/>
    <s v="Isabelly Farias"/>
    <s v="983.246.510-98"/>
    <s v="983.246.510-98"/>
    <s v="Petrolina"/>
    <x v="8"/>
    <s v="Sim"/>
    <n v="45705"/>
    <x v="42"/>
  </r>
  <r>
    <x v="1529"/>
    <x v="0"/>
    <x v="3"/>
    <x v="1"/>
    <n v="3032"/>
    <s v="Dra. Letícia Sales"/>
    <s v="32681075912"/>
    <s v="326.810.759-12"/>
    <s v="Belém"/>
    <x v="1"/>
    <m/>
    <n v="45714"/>
    <x v="47"/>
  </r>
  <r>
    <x v="1530"/>
    <x v="1"/>
    <x v="1"/>
    <x v="4"/>
    <n v="3035"/>
    <s v="Mariana Correia"/>
    <s v="27801453662"/>
    <s v="278.014.536-62"/>
    <s v="Porto Alegre"/>
    <x v="4"/>
    <m/>
    <n v="45673"/>
    <x v="4"/>
  </r>
  <r>
    <x v="1531"/>
    <x v="1"/>
    <x v="1"/>
    <x v="6"/>
    <n v="3037"/>
    <s v="Isaac Farias"/>
    <s v="97850132432"/>
    <s v="978.501.324-32"/>
    <s v="Fortaleza"/>
    <x v="6"/>
    <s v="Sim"/>
    <n v="45671"/>
    <x v="24"/>
  </r>
  <r>
    <x v="1532"/>
    <x v="1"/>
    <x v="1"/>
    <x v="3"/>
    <n v="3034"/>
    <s v="Maria Eduarda Silveira"/>
    <s v="328.056.197-30"/>
    <s v="328.056.197-30"/>
    <s v="Salvador"/>
    <x v="3"/>
    <m/>
    <n v="45728"/>
    <x v="22"/>
  </r>
  <r>
    <x v="1533"/>
    <x v="1"/>
    <x v="0"/>
    <x v="11"/>
    <n v="3042"/>
    <s v="Srta. Maria Clara da Mota"/>
    <s v="208.943.561-51"/>
    <s v="208.943.561-51"/>
    <s v="Santa Catarina"/>
    <x v="9"/>
    <m/>
    <n v="45691"/>
    <x v="46"/>
  </r>
  <r>
    <x v="1534"/>
    <x v="1"/>
    <x v="1"/>
    <x v="1"/>
    <n v="3032"/>
    <s v="Cecília Moura"/>
    <s v="85219430750"/>
    <s v="852.194.307-50"/>
    <s v="Belém"/>
    <x v="1"/>
    <m/>
    <n v="45677"/>
    <x v="15"/>
  </r>
  <r>
    <x v="1535"/>
    <x v="0"/>
    <x v="0"/>
    <x v="6"/>
    <n v="3037"/>
    <s v="Guilherme Jesus"/>
    <s v="36184520717"/>
    <s v="361.845.207-17"/>
    <s v="Fortaleza"/>
    <x v="6"/>
    <m/>
    <n v="45664"/>
    <x v="26"/>
  </r>
  <r>
    <x v="1536"/>
    <x v="0"/>
    <x v="3"/>
    <x v="10"/>
    <n v="3041"/>
    <s v="Sr. Emanuel Carvalho"/>
    <s v="02865473929"/>
    <s v="028.654.739-29"/>
    <s v="Petrolina"/>
    <x v="8"/>
    <s v="Sim"/>
    <n v="45666"/>
    <x v="42"/>
  </r>
  <r>
    <x v="1537"/>
    <x v="0"/>
    <x v="3"/>
    <x v="7"/>
    <n v="3038"/>
    <s v="Eduardo Rocha"/>
    <s v="483.091.625-70"/>
    <s v="483.091.625-70"/>
    <s v="Natal"/>
    <x v="7"/>
    <m/>
    <n v="45703"/>
    <x v="12"/>
  </r>
  <r>
    <x v="1538"/>
    <x v="1"/>
    <x v="3"/>
    <x v="9"/>
    <n v="3040"/>
    <s v="Emanuel Sales"/>
    <s v="19230845779"/>
    <s v="192.308.457-79"/>
    <s v="Jericoacara"/>
    <x v="6"/>
    <s v="Sim"/>
    <n v="45673"/>
    <x v="29"/>
  </r>
  <r>
    <x v="1539"/>
    <x v="0"/>
    <x v="1"/>
    <x v="4"/>
    <n v="3035"/>
    <s v="Rodrigo Ramos"/>
    <s v="67209453865"/>
    <s v="672.094.538-65"/>
    <s v="Porto Alegre"/>
    <x v="4"/>
    <s v="Sim"/>
    <n v="45695"/>
    <x v="4"/>
  </r>
  <r>
    <x v="1540"/>
    <x v="0"/>
    <x v="0"/>
    <x v="1"/>
    <n v="3032"/>
    <s v="Ana Lívia Costela"/>
    <s v="20145836762"/>
    <s v="201.458.367-62"/>
    <s v="Belém"/>
    <x v="1"/>
    <m/>
    <n v="45722"/>
    <x v="41"/>
  </r>
  <r>
    <x v="1541"/>
    <x v="0"/>
    <x v="1"/>
    <x v="10"/>
    <n v="3041"/>
    <s v="Dra. Sophie Pires"/>
    <s v="39802417505"/>
    <s v="398.024.175-05"/>
    <s v="Petrolina"/>
    <x v="8"/>
    <s v="Sim"/>
    <n v="45690"/>
    <x v="42"/>
  </r>
  <r>
    <x v="1542"/>
    <x v="0"/>
    <x v="2"/>
    <x v="1"/>
    <n v="3032"/>
    <s v="Luiz Otávio Alves"/>
    <s v="274.680.135-35"/>
    <s v="274.680.135-35"/>
    <s v="Belém"/>
    <x v="1"/>
    <m/>
    <n v="45667"/>
    <x v="1"/>
  </r>
  <r>
    <x v="1543"/>
    <x v="1"/>
    <x v="0"/>
    <x v="11"/>
    <n v="3042"/>
    <s v="Gustavo Henrique Aragão"/>
    <s v="862.704.953-00"/>
    <s v="862.704.953-00"/>
    <s v="Santa Catarina"/>
    <x v="9"/>
    <m/>
    <n v="45715"/>
    <x v="37"/>
  </r>
  <r>
    <x v="1544"/>
    <x v="0"/>
    <x v="2"/>
    <x v="4"/>
    <n v="3035"/>
    <s v="João Miguel Costela"/>
    <s v="035.278.964-65"/>
    <s v="035.278.964-65"/>
    <s v="Porto Alegre"/>
    <x v="4"/>
    <s v="Sim"/>
    <n v="45736"/>
    <x v="40"/>
  </r>
  <r>
    <x v="1545"/>
    <x v="0"/>
    <x v="2"/>
    <x v="1"/>
    <n v="3032"/>
    <s v="Theo Monteiro"/>
    <s v="270.681.359-86"/>
    <s v="270.681.359-86"/>
    <s v="Belém"/>
    <x v="1"/>
    <s v="Sim"/>
    <n v="45684"/>
    <x v="15"/>
  </r>
  <r>
    <x v="1546"/>
    <x v="1"/>
    <x v="3"/>
    <x v="9"/>
    <n v="3040"/>
    <s v="Kevin Moraes"/>
    <s v="85932140615"/>
    <s v="859.321.406-15"/>
    <s v="Jericoacara"/>
    <x v="6"/>
    <s v="Sim"/>
    <n v="45665"/>
    <x v="16"/>
  </r>
  <r>
    <x v="1547"/>
    <x v="0"/>
    <x v="0"/>
    <x v="5"/>
    <n v="3036"/>
    <s v="Srta. Alice da Conceição"/>
    <s v="706.824.139-50"/>
    <s v="706.824.139-50"/>
    <s v="Porto Velho"/>
    <x v="5"/>
    <m/>
    <n v="45712"/>
    <x v="17"/>
  </r>
  <r>
    <x v="1548"/>
    <x v="1"/>
    <x v="1"/>
    <x v="4"/>
    <n v="3035"/>
    <s v="Emilly Caldeira"/>
    <s v="20756831407"/>
    <s v="207.568.314-07"/>
    <s v="Porto Alegre"/>
    <x v="4"/>
    <s v="Sim"/>
    <n v="45698"/>
    <x v="22"/>
  </r>
  <r>
    <x v="1549"/>
    <x v="1"/>
    <x v="1"/>
    <x v="7"/>
    <n v="3038"/>
    <s v="Cauê Costela"/>
    <s v="48126579030"/>
    <s v="481.265.790-30"/>
    <s v="Natal"/>
    <x v="7"/>
    <s v="Sim"/>
    <n v="45679"/>
    <x v="34"/>
  </r>
  <r>
    <x v="1550"/>
    <x v="0"/>
    <x v="0"/>
    <x v="10"/>
    <n v="3041"/>
    <s v="Dra. Esther Azevedo"/>
    <s v="301.842.975-32"/>
    <s v="301.842.975-32"/>
    <s v="Petrolina"/>
    <x v="8"/>
    <s v="Sim"/>
    <n v="45693"/>
    <x v="32"/>
  </r>
  <r>
    <x v="1551"/>
    <x v="1"/>
    <x v="1"/>
    <x v="10"/>
    <n v="3041"/>
    <s v="Valentina Lima"/>
    <s v="91534278664"/>
    <s v="915.342.786-64"/>
    <s v="Petrolina"/>
    <x v="8"/>
    <m/>
    <n v="45739"/>
    <x v="13"/>
  </r>
  <r>
    <x v="1552"/>
    <x v="1"/>
    <x v="2"/>
    <x v="9"/>
    <n v="3040"/>
    <s v="Felipe Fernandes"/>
    <s v="712.693.405-06"/>
    <s v="712.693.405-06"/>
    <s v="Jericoacara"/>
    <x v="6"/>
    <m/>
    <n v="45662"/>
    <x v="29"/>
  </r>
  <r>
    <x v="1553"/>
    <x v="0"/>
    <x v="2"/>
    <x v="4"/>
    <n v="3035"/>
    <s v="Ana Carolina Costa"/>
    <s v="810.973.654-84"/>
    <s v="810.973.654-84"/>
    <s v="Porto Alegre"/>
    <x v="4"/>
    <m/>
    <n v="45696"/>
    <x v="40"/>
  </r>
  <r>
    <x v="1554"/>
    <x v="1"/>
    <x v="0"/>
    <x v="7"/>
    <n v="3038"/>
    <s v="Vitor Hugo Carvalho"/>
    <s v="72640958356"/>
    <s v="726.409.583-56"/>
    <s v="Natal"/>
    <x v="7"/>
    <m/>
    <n v="45736"/>
    <x v="43"/>
  </r>
  <r>
    <x v="1555"/>
    <x v="0"/>
    <x v="3"/>
    <x v="11"/>
    <n v="3042"/>
    <s v="Dra. Isabelly Porto"/>
    <s v="120.657.834-35"/>
    <s v="120.657.834-35"/>
    <s v="Santa Catarina"/>
    <x v="9"/>
    <s v="Sim"/>
    <n v="45702"/>
    <x v="24"/>
  </r>
  <r>
    <x v="1556"/>
    <x v="1"/>
    <x v="3"/>
    <x v="2"/>
    <n v="3033"/>
    <s v="Eduardo Silva"/>
    <s v="067.918.324-87"/>
    <s v="067.918.324-87"/>
    <s v="Tocantins"/>
    <x v="2"/>
    <s v="Sim"/>
    <n v="45690"/>
    <x v="7"/>
  </r>
  <r>
    <x v="1557"/>
    <x v="1"/>
    <x v="2"/>
    <x v="4"/>
    <n v="3035"/>
    <s v="Benjamin Gomes"/>
    <s v="584.321.609-89"/>
    <s v="584.321.609-89"/>
    <s v="Porto Alegre"/>
    <x v="4"/>
    <m/>
    <n v="45726"/>
    <x v="8"/>
  </r>
  <r>
    <x v="1558"/>
    <x v="1"/>
    <x v="3"/>
    <x v="6"/>
    <n v="3037"/>
    <s v="Antônio Aragão"/>
    <s v="96274581391"/>
    <s v="962.745.813-91"/>
    <s v="Fortaleza"/>
    <x v="6"/>
    <s v="Sim"/>
    <n v="45726"/>
    <x v="26"/>
  </r>
  <r>
    <x v="1559"/>
    <x v="1"/>
    <x v="3"/>
    <x v="0"/>
    <n v="3031"/>
    <s v="Maria Vitória Fernandes"/>
    <s v="70384625983"/>
    <s v="703.846.259-83"/>
    <s v="Amazonas"/>
    <x v="0"/>
    <m/>
    <n v="45716"/>
    <x v="3"/>
  </r>
  <r>
    <x v="1560"/>
    <x v="1"/>
    <x v="2"/>
    <x v="6"/>
    <n v="3037"/>
    <s v="Bruna Pires"/>
    <s v="468.310.279-03"/>
    <s v="468.310.279-03"/>
    <s v="Fortaleza"/>
    <x v="6"/>
    <s v="Sim"/>
    <n v="45708"/>
    <x v="26"/>
  </r>
  <r>
    <x v="1561"/>
    <x v="0"/>
    <x v="3"/>
    <x v="0"/>
    <n v="3031"/>
    <s v="Daniel Ribeiro"/>
    <s v="09823547114"/>
    <s v="098.235.471-14"/>
    <s v="Amazonas"/>
    <x v="0"/>
    <s v="Sim"/>
    <n v="45690"/>
    <x v="36"/>
  </r>
  <r>
    <x v="1562"/>
    <x v="0"/>
    <x v="2"/>
    <x v="6"/>
    <n v="3037"/>
    <s v="Maria Sophia Araújo"/>
    <s v="190.346.578-84"/>
    <s v="190.346.578-84"/>
    <s v="Fortaleza"/>
    <x v="6"/>
    <m/>
    <n v="45661"/>
    <x v="10"/>
  </r>
  <r>
    <x v="1563"/>
    <x v="0"/>
    <x v="0"/>
    <x v="2"/>
    <n v="3033"/>
    <s v="Vinicius Ferreira"/>
    <s v="93165428042"/>
    <s v="931.654.280-42"/>
    <s v="Tocantins"/>
    <x v="2"/>
    <s v="Sim"/>
    <n v="45688"/>
    <x v="7"/>
  </r>
  <r>
    <x v="1564"/>
    <x v="1"/>
    <x v="3"/>
    <x v="2"/>
    <n v="3033"/>
    <s v="Raul Campos"/>
    <s v="520.849.761-11"/>
    <s v="520.849.761-11"/>
    <s v="Tocantins"/>
    <x v="2"/>
    <s v="Sim"/>
    <n v="45720"/>
    <x v="4"/>
  </r>
  <r>
    <x v="1565"/>
    <x v="1"/>
    <x v="2"/>
    <x v="9"/>
    <n v="3040"/>
    <s v="Luna Novaes"/>
    <s v="987.510.632-12"/>
    <s v="987.510.632-12"/>
    <s v="Jericoacara"/>
    <x v="6"/>
    <s v="Sim"/>
    <n v="45724"/>
    <x v="20"/>
  </r>
  <r>
    <x v="1566"/>
    <x v="1"/>
    <x v="1"/>
    <x v="11"/>
    <n v="3042"/>
    <s v="Kaique Nascimento"/>
    <s v="984.035.672-00"/>
    <s v="984.035.672-00"/>
    <s v="Santa Catarina"/>
    <x v="9"/>
    <m/>
    <n v="45705"/>
    <x v="39"/>
  </r>
  <r>
    <x v="1567"/>
    <x v="1"/>
    <x v="1"/>
    <x v="11"/>
    <n v="3042"/>
    <s v="Benjamin Rodrigues"/>
    <s v="743.162.908-78"/>
    <s v="743.162.908-78"/>
    <s v="Santa Catarina"/>
    <x v="9"/>
    <m/>
    <n v="45729"/>
    <x v="10"/>
  </r>
  <r>
    <x v="1568"/>
    <x v="0"/>
    <x v="3"/>
    <x v="4"/>
    <n v="3035"/>
    <s v="Dra. Natália Gonçalves"/>
    <s v="917.605.248-67"/>
    <s v="917.605.248-67"/>
    <s v="Porto Alegre"/>
    <x v="4"/>
    <m/>
    <n v="45740"/>
    <x v="26"/>
  </r>
  <r>
    <x v="1569"/>
    <x v="0"/>
    <x v="3"/>
    <x v="7"/>
    <n v="3038"/>
    <s v="Beatriz Araújo"/>
    <s v="37049618250"/>
    <s v="370.496.182-50"/>
    <s v="Natal"/>
    <x v="7"/>
    <m/>
    <n v="45697"/>
    <x v="43"/>
  </r>
  <r>
    <x v="1570"/>
    <x v="1"/>
    <x v="0"/>
    <x v="10"/>
    <n v="3041"/>
    <s v="Davi Lucca Araújo"/>
    <s v="41872930514"/>
    <s v="418.729.305-14"/>
    <s v="Petrolina"/>
    <x v="8"/>
    <m/>
    <n v="45666"/>
    <x v="23"/>
  </r>
  <r>
    <x v="1571"/>
    <x v="1"/>
    <x v="3"/>
    <x v="6"/>
    <n v="3037"/>
    <s v="Alexia Teixeira"/>
    <s v="84067931204"/>
    <s v="840.679.312-04"/>
    <s v="Fortaleza"/>
    <x v="6"/>
    <m/>
    <n v="45709"/>
    <x v="5"/>
  </r>
  <r>
    <x v="1572"/>
    <x v="1"/>
    <x v="2"/>
    <x v="1"/>
    <n v="3032"/>
    <s v="Davi Lucca Costa"/>
    <s v="753.496.210-25"/>
    <s v="753.496.210-25"/>
    <s v="Belém"/>
    <x v="1"/>
    <s v="Sim"/>
    <n v="45710"/>
    <x v="7"/>
  </r>
  <r>
    <x v="1573"/>
    <x v="1"/>
    <x v="1"/>
    <x v="8"/>
    <n v="3039"/>
    <s v="Benício Araújo"/>
    <s v="48036259729"/>
    <s v="480.362.597-29"/>
    <s v="Recife"/>
    <x v="8"/>
    <s v="Sim"/>
    <n v="45738"/>
    <x v="8"/>
  </r>
  <r>
    <x v="1574"/>
    <x v="1"/>
    <x v="1"/>
    <x v="10"/>
    <n v="3041"/>
    <s v="Diogo Nascimento"/>
    <s v="914.730.658-01"/>
    <s v="914.730.658-01"/>
    <s v="Petrolina"/>
    <x v="8"/>
    <m/>
    <n v="45723"/>
    <x v="23"/>
  </r>
  <r>
    <x v="1575"/>
    <x v="1"/>
    <x v="2"/>
    <x v="1"/>
    <n v="3032"/>
    <s v="Emanuelly da Cunha"/>
    <s v="96235847092"/>
    <s v="962.358.470-92"/>
    <s v="Belém"/>
    <x v="1"/>
    <s v="Sim"/>
    <n v="45683"/>
    <x v="38"/>
  </r>
  <r>
    <x v="1576"/>
    <x v="0"/>
    <x v="0"/>
    <x v="10"/>
    <n v="3041"/>
    <s v="Nicolas Moraes"/>
    <s v="314.607.958-57"/>
    <s v="314.607.958-57"/>
    <s v="Petrolina"/>
    <x v="8"/>
    <m/>
    <n v="45699"/>
    <x v="28"/>
  </r>
  <r>
    <x v="1577"/>
    <x v="1"/>
    <x v="3"/>
    <x v="9"/>
    <n v="3040"/>
    <s v="Luiz Felipe Vieira"/>
    <s v="327.854.196-00"/>
    <s v="327.854.196-00"/>
    <s v="Jericoacara"/>
    <x v="6"/>
    <s v="Sim"/>
    <n v="45692"/>
    <x v="20"/>
  </r>
  <r>
    <x v="1578"/>
    <x v="1"/>
    <x v="0"/>
    <x v="6"/>
    <n v="3037"/>
    <s v="Yago Ramos"/>
    <s v="96275038195"/>
    <s v="962.750.381-95"/>
    <s v="Fortaleza"/>
    <x v="6"/>
    <s v="Sim"/>
    <n v="45739"/>
    <x v="10"/>
  </r>
  <r>
    <x v="1579"/>
    <x v="1"/>
    <x v="3"/>
    <x v="4"/>
    <n v="3035"/>
    <s v="Isis Nogueira"/>
    <s v="834.790.215-14"/>
    <s v="834.790.215-14"/>
    <s v="Porto Alegre"/>
    <x v="4"/>
    <s v="Sim"/>
    <n v="45672"/>
    <x v="40"/>
  </r>
  <r>
    <x v="1580"/>
    <x v="1"/>
    <x v="2"/>
    <x v="5"/>
    <n v="3036"/>
    <s v="Leonardo Alves"/>
    <s v="28503147653"/>
    <s v="285.031.476-53"/>
    <s v="Porto Velho"/>
    <x v="5"/>
    <m/>
    <n v="45738"/>
    <x v="27"/>
  </r>
  <r>
    <x v="1581"/>
    <x v="0"/>
    <x v="2"/>
    <x v="6"/>
    <n v="3037"/>
    <s v="Júlia Freitas"/>
    <s v="892.045.137-05"/>
    <s v="892.045.137-05"/>
    <s v="Fortaleza"/>
    <x v="6"/>
    <m/>
    <n v="45709"/>
    <x v="26"/>
  </r>
  <r>
    <x v="1582"/>
    <x v="0"/>
    <x v="1"/>
    <x v="2"/>
    <n v="3033"/>
    <s v="Dra. Daniela Barbosa"/>
    <s v="624.391.580-89"/>
    <s v="624.391.580-89"/>
    <s v="Tocantins"/>
    <x v="2"/>
    <s v="Sim"/>
    <n v="45699"/>
    <x v="7"/>
  </r>
  <r>
    <x v="1583"/>
    <x v="0"/>
    <x v="0"/>
    <x v="6"/>
    <n v="3037"/>
    <s v="Pedro Henrique Campos"/>
    <s v="149.708.635-39"/>
    <s v="149.708.635-39"/>
    <s v="Fortaleza"/>
    <x v="6"/>
    <m/>
    <n v="45737"/>
    <x v="10"/>
  </r>
  <r>
    <x v="1584"/>
    <x v="1"/>
    <x v="3"/>
    <x v="5"/>
    <n v="3036"/>
    <s v="Theo Oliveira"/>
    <s v="13875609484"/>
    <s v="138.756.094-84"/>
    <s v="Porto Velho"/>
    <x v="5"/>
    <s v="Sim"/>
    <n v="45682"/>
    <x v="27"/>
  </r>
  <r>
    <x v="1585"/>
    <x v="0"/>
    <x v="3"/>
    <x v="8"/>
    <n v="3039"/>
    <s v="Fernando Martins"/>
    <s v="89132076568"/>
    <s v="891.320.765-68"/>
    <s v="Recife"/>
    <x v="8"/>
    <m/>
    <n v="45730"/>
    <x v="16"/>
  </r>
  <r>
    <x v="1586"/>
    <x v="0"/>
    <x v="0"/>
    <x v="9"/>
    <n v="3040"/>
    <s v="Luiz Felipe da Conceição"/>
    <s v="41832075680"/>
    <s v="418.320.756-80"/>
    <s v="Jericoacara"/>
    <x v="6"/>
    <m/>
    <n v="45684"/>
    <x v="29"/>
  </r>
  <r>
    <x v="1587"/>
    <x v="0"/>
    <x v="3"/>
    <x v="7"/>
    <n v="3038"/>
    <s v="Yuri Peixoto"/>
    <s v="61795302461"/>
    <s v="617.953.024-61"/>
    <s v="Natal"/>
    <x v="7"/>
    <s v="Sim"/>
    <n v="45725"/>
    <x v="31"/>
  </r>
  <r>
    <x v="1588"/>
    <x v="1"/>
    <x v="1"/>
    <x v="10"/>
    <n v="3041"/>
    <s v="Noah Teixeira"/>
    <s v="98046731501"/>
    <s v="980.467.315-01"/>
    <s v="Petrolina"/>
    <x v="8"/>
    <s v="Sim"/>
    <n v="45667"/>
    <x v="35"/>
  </r>
  <r>
    <x v="1589"/>
    <x v="1"/>
    <x v="0"/>
    <x v="10"/>
    <n v="3041"/>
    <s v="Bruno Pires"/>
    <s v="461.872.539-73"/>
    <s v="461.872.539-73"/>
    <s v="Petrolina"/>
    <x v="8"/>
    <m/>
    <n v="45683"/>
    <x v="13"/>
  </r>
  <r>
    <x v="1590"/>
    <x v="0"/>
    <x v="0"/>
    <x v="5"/>
    <n v="3036"/>
    <s v="Lara Teixeira"/>
    <s v="936.547.812-09"/>
    <s v="936.547.812-09"/>
    <s v="Porto Velho"/>
    <x v="5"/>
    <m/>
    <n v="45713"/>
    <x v="13"/>
  </r>
  <r>
    <x v="1591"/>
    <x v="0"/>
    <x v="0"/>
    <x v="10"/>
    <n v="3041"/>
    <s v="Ryan Carvalho"/>
    <s v="59428073610"/>
    <s v="594.280.736-10"/>
    <s v="Petrolina"/>
    <x v="8"/>
    <m/>
    <n v="45728"/>
    <x v="32"/>
  </r>
  <r>
    <x v="1592"/>
    <x v="0"/>
    <x v="0"/>
    <x v="7"/>
    <n v="3038"/>
    <s v="Nicole da Mata"/>
    <s v="07518396475"/>
    <s v="075.183.964-75"/>
    <s v="Natal"/>
    <x v="7"/>
    <m/>
    <n v="45664"/>
    <x v="12"/>
  </r>
  <r>
    <x v="1593"/>
    <x v="1"/>
    <x v="2"/>
    <x v="11"/>
    <n v="3042"/>
    <s v="Ana Júlia Pereira"/>
    <s v="036.182.759-86"/>
    <s v="036.182.759-86"/>
    <s v="Santa Catarina"/>
    <x v="9"/>
    <m/>
    <n v="45667"/>
    <x v="37"/>
  </r>
  <r>
    <x v="1594"/>
    <x v="0"/>
    <x v="3"/>
    <x v="10"/>
    <n v="3041"/>
    <s v="Maria Luiza Ferreira"/>
    <s v="590.367.481-00"/>
    <s v="590.367.481-00"/>
    <s v="Petrolina"/>
    <x v="8"/>
    <m/>
    <n v="45736"/>
    <x v="28"/>
  </r>
  <r>
    <x v="1595"/>
    <x v="1"/>
    <x v="2"/>
    <x v="10"/>
    <n v="3041"/>
    <s v="Heitor Souza"/>
    <s v="942.073.851-50"/>
    <s v="942.073.851-50"/>
    <s v="Petrolina"/>
    <x v="8"/>
    <m/>
    <n v="45734"/>
    <x v="35"/>
  </r>
  <r>
    <x v="1596"/>
    <x v="1"/>
    <x v="0"/>
    <x v="1"/>
    <n v="3032"/>
    <s v="Dra. Mariana Pinto"/>
    <s v="67902358410"/>
    <s v="679.023.584-10"/>
    <s v="Belém"/>
    <x v="1"/>
    <m/>
    <n v="45737"/>
    <x v="47"/>
  </r>
  <r>
    <x v="1597"/>
    <x v="0"/>
    <x v="1"/>
    <x v="11"/>
    <n v="3042"/>
    <s v="Ian Pereira"/>
    <s v="57824031608"/>
    <s v="578.240.316-08"/>
    <s v="Santa Catarina"/>
    <x v="9"/>
    <m/>
    <n v="45679"/>
    <x v="37"/>
  </r>
  <r>
    <x v="1598"/>
    <x v="0"/>
    <x v="3"/>
    <x v="5"/>
    <n v="3036"/>
    <s v="Yuri Santos"/>
    <s v="90617245380"/>
    <s v="906.172.453-80"/>
    <s v="Porto Velho"/>
    <x v="5"/>
    <s v="Sim"/>
    <n v="45734"/>
    <x v="3"/>
  </r>
  <r>
    <x v="1599"/>
    <x v="0"/>
    <x v="1"/>
    <x v="10"/>
    <n v="3041"/>
    <s v="Pedro Miguel da Mata"/>
    <s v="65409327152"/>
    <s v="654.093.271-52"/>
    <s v="Petrolina"/>
    <x v="8"/>
    <m/>
    <n v="45680"/>
    <x v="32"/>
  </r>
  <r>
    <x v="1600"/>
    <x v="1"/>
    <x v="3"/>
    <x v="2"/>
    <n v="3033"/>
    <s v="André Pereira"/>
    <s v="291.768.534-46"/>
    <s v="291.768.534-46"/>
    <s v="Tocantins"/>
    <x v="2"/>
    <m/>
    <n v="45743"/>
    <x v="7"/>
  </r>
  <r>
    <x v="1601"/>
    <x v="1"/>
    <x v="2"/>
    <x v="1"/>
    <n v="3032"/>
    <s v="Olivia Ribeiro"/>
    <s v="46287901322"/>
    <s v="462.879.013-22"/>
    <s v="Belém"/>
    <x v="1"/>
    <m/>
    <n v="45668"/>
    <x v="7"/>
  </r>
  <r>
    <x v="1602"/>
    <x v="1"/>
    <x v="3"/>
    <x v="9"/>
    <n v="3040"/>
    <s v="Davi Freitas"/>
    <s v="195.642.307-99"/>
    <s v="195.642.307-99"/>
    <s v="Jericoacara"/>
    <x v="6"/>
    <s v="Sim"/>
    <n v="45731"/>
    <x v="29"/>
  </r>
  <r>
    <x v="1603"/>
    <x v="1"/>
    <x v="3"/>
    <x v="6"/>
    <n v="3037"/>
    <s v="Alana Cavalcanti"/>
    <s v="78635910230"/>
    <s v="786.359.102-30"/>
    <s v="Fortaleza"/>
    <x v="6"/>
    <m/>
    <n v="45674"/>
    <x v="24"/>
  </r>
  <r>
    <x v="1604"/>
    <x v="1"/>
    <x v="0"/>
    <x v="1"/>
    <n v="3032"/>
    <s v="Maria Vitória Moraes"/>
    <s v="704.316.285-80"/>
    <s v="704.316.285-80"/>
    <s v="Belém"/>
    <x v="1"/>
    <m/>
    <n v="45665"/>
    <x v="7"/>
  </r>
  <r>
    <x v="1605"/>
    <x v="0"/>
    <x v="3"/>
    <x v="7"/>
    <n v="3038"/>
    <s v="Thomas Correia"/>
    <s v="203.491.768-50"/>
    <s v="203.491.768-50"/>
    <s v="Natal"/>
    <x v="7"/>
    <s v="Sim"/>
    <n v="45699"/>
    <x v="43"/>
  </r>
  <r>
    <x v="1606"/>
    <x v="0"/>
    <x v="3"/>
    <x v="3"/>
    <n v="3034"/>
    <s v="Dr. Vitor Gabriel Teixeira"/>
    <s v="07568124967"/>
    <s v="075.681.249-67"/>
    <s v="Salvador"/>
    <x v="3"/>
    <s v="Sim"/>
    <n v="45688"/>
    <x v="17"/>
  </r>
  <r>
    <x v="1607"/>
    <x v="1"/>
    <x v="3"/>
    <x v="6"/>
    <n v="3037"/>
    <s v="Cauã Dias"/>
    <s v="85426079102"/>
    <s v="854.260.791-02"/>
    <s v="Fortaleza"/>
    <x v="6"/>
    <m/>
    <n v="45682"/>
    <x v="19"/>
  </r>
  <r>
    <x v="1608"/>
    <x v="0"/>
    <x v="0"/>
    <x v="0"/>
    <n v="3031"/>
    <s v="Pietro Moura"/>
    <s v="475.816.032-53"/>
    <s v="475.816.032-53"/>
    <s v="Amazonas"/>
    <x v="0"/>
    <m/>
    <n v="45676"/>
    <x v="5"/>
  </r>
  <r>
    <x v="1609"/>
    <x v="0"/>
    <x v="3"/>
    <x v="1"/>
    <n v="3032"/>
    <s v="Theo Porto"/>
    <s v="48759031204"/>
    <s v="487.590.312-04"/>
    <s v="Belém"/>
    <x v="1"/>
    <s v="Sim"/>
    <n v="45732"/>
    <x v="44"/>
  </r>
  <r>
    <x v="1610"/>
    <x v="1"/>
    <x v="3"/>
    <x v="11"/>
    <n v="3042"/>
    <s v="Felipe Gonçalves"/>
    <s v="279.014.386-22"/>
    <s v="279.014.386-22"/>
    <s v="Santa Catarina"/>
    <x v="9"/>
    <s v="Sim"/>
    <n v="45737"/>
    <x v="39"/>
  </r>
  <r>
    <x v="1611"/>
    <x v="0"/>
    <x v="3"/>
    <x v="4"/>
    <n v="3035"/>
    <s v="Lucas Moraes"/>
    <s v="089.674.352-74"/>
    <s v="089.674.352-74"/>
    <s v="Porto Alegre"/>
    <x v="4"/>
    <s v="Sim"/>
    <n v="45682"/>
    <x v="26"/>
  </r>
  <r>
    <x v="1612"/>
    <x v="0"/>
    <x v="2"/>
    <x v="7"/>
    <n v="3038"/>
    <s v="Sr. Arthur Nogueira"/>
    <s v="93574618093"/>
    <s v="935.746.180-93"/>
    <s v="Natal"/>
    <x v="7"/>
    <m/>
    <n v="45690"/>
    <x v="8"/>
  </r>
  <r>
    <x v="1613"/>
    <x v="1"/>
    <x v="2"/>
    <x v="4"/>
    <n v="3035"/>
    <s v="Henrique Alves"/>
    <s v="018.536.427-62"/>
    <s v="018.536.427-62"/>
    <s v="Porto Alegre"/>
    <x v="4"/>
    <s v="Sim"/>
    <n v="45707"/>
    <x v="4"/>
  </r>
  <r>
    <x v="1614"/>
    <x v="1"/>
    <x v="1"/>
    <x v="5"/>
    <n v="3036"/>
    <s v="Kevin Monteiro"/>
    <s v="248.956.713-64"/>
    <s v="248.956.713-64"/>
    <s v="Porto Velho"/>
    <x v="5"/>
    <m/>
    <n v="45663"/>
    <x v="27"/>
  </r>
  <r>
    <x v="1615"/>
    <x v="1"/>
    <x v="1"/>
    <x v="10"/>
    <n v="3041"/>
    <s v="Cecília Teixeira"/>
    <s v="51746832053"/>
    <s v="517.468.320-53"/>
    <s v="Petrolina"/>
    <x v="8"/>
    <s v="Sim"/>
    <n v="45659"/>
    <x v="28"/>
  </r>
  <r>
    <x v="1616"/>
    <x v="1"/>
    <x v="3"/>
    <x v="8"/>
    <n v="3039"/>
    <s v="Nina Martins"/>
    <s v="31249675855"/>
    <s v="312.496.758-55"/>
    <s v="Recife"/>
    <x v="8"/>
    <m/>
    <n v="45736"/>
    <x v="14"/>
  </r>
  <r>
    <x v="1617"/>
    <x v="1"/>
    <x v="3"/>
    <x v="4"/>
    <n v="3035"/>
    <s v="Maria Fernanda Pereira"/>
    <s v="982.654.017-01"/>
    <s v="982.654.017-01"/>
    <s v="Porto Alegre"/>
    <x v="4"/>
    <s v="Sim"/>
    <n v="45704"/>
    <x v="8"/>
  </r>
  <r>
    <x v="1618"/>
    <x v="0"/>
    <x v="3"/>
    <x v="10"/>
    <n v="3041"/>
    <s v="Pietra Cunha"/>
    <s v="71463829078"/>
    <s v="714.638.290-78"/>
    <s v="Petrolina"/>
    <x v="8"/>
    <s v="Sim"/>
    <n v="45661"/>
    <x v="35"/>
  </r>
  <r>
    <x v="1619"/>
    <x v="0"/>
    <x v="0"/>
    <x v="0"/>
    <n v="3031"/>
    <s v="Thomas Viana"/>
    <s v="64271589373"/>
    <s v="642.715.893-73"/>
    <s v="Amazonas"/>
    <x v="0"/>
    <s v="Sim"/>
    <n v="45673"/>
    <x v="0"/>
  </r>
  <r>
    <x v="1620"/>
    <x v="0"/>
    <x v="1"/>
    <x v="3"/>
    <n v="3034"/>
    <s v="Eduarda Duarte"/>
    <s v="91205436898"/>
    <s v="912.054.368-98"/>
    <s v="Salvador"/>
    <x v="3"/>
    <s v="Sim"/>
    <n v="45737"/>
    <x v="11"/>
  </r>
  <r>
    <x v="1621"/>
    <x v="1"/>
    <x v="1"/>
    <x v="4"/>
    <n v="3035"/>
    <s v="Miguel da Rocha"/>
    <s v="280.546.179-76"/>
    <s v="280.546.179-76"/>
    <s v="Porto Alegre"/>
    <x v="4"/>
    <s v="Sim"/>
    <n v="45669"/>
    <x v="4"/>
  </r>
  <r>
    <x v="1622"/>
    <x v="1"/>
    <x v="3"/>
    <x v="2"/>
    <n v="3033"/>
    <s v="Carlos Eduardo Alves"/>
    <s v="23906581721"/>
    <s v="239.065.817-21"/>
    <s v="Tocantins"/>
    <x v="2"/>
    <s v="Sim"/>
    <n v="45694"/>
    <x v="6"/>
  </r>
  <r>
    <x v="1623"/>
    <x v="1"/>
    <x v="3"/>
    <x v="7"/>
    <n v="3038"/>
    <s v="Augusto Araújo"/>
    <s v="897.530.426-47"/>
    <s v="897.530.426-47"/>
    <s v="Natal"/>
    <x v="7"/>
    <m/>
    <n v="45737"/>
    <x v="31"/>
  </r>
  <r>
    <x v="1624"/>
    <x v="1"/>
    <x v="0"/>
    <x v="5"/>
    <n v="3036"/>
    <s v="Diogo Moura"/>
    <s v="61405827920"/>
    <s v="614.058.279-20"/>
    <s v="Porto Velho"/>
    <x v="5"/>
    <m/>
    <n v="45720"/>
    <x v="13"/>
  </r>
  <r>
    <x v="1625"/>
    <x v="1"/>
    <x v="0"/>
    <x v="10"/>
    <n v="3041"/>
    <s v="Nicolas Silva"/>
    <s v="07438156290"/>
    <s v="074.381.562-90"/>
    <s v="Petrolina"/>
    <x v="8"/>
    <m/>
    <n v="45697"/>
    <x v="23"/>
  </r>
  <r>
    <x v="1626"/>
    <x v="1"/>
    <x v="2"/>
    <x v="2"/>
    <n v="3033"/>
    <s v="Gabrielly Castro"/>
    <s v="09358746238"/>
    <s v="093.587.462-38"/>
    <s v="Tocantins"/>
    <x v="2"/>
    <s v="Sim"/>
    <n v="45693"/>
    <x v="6"/>
  </r>
  <r>
    <x v="1627"/>
    <x v="1"/>
    <x v="0"/>
    <x v="11"/>
    <n v="3042"/>
    <s v="Isaac Nascimento"/>
    <s v="71509638202"/>
    <s v="715.096.382-02"/>
    <s v="Santa Catarina"/>
    <x v="9"/>
    <s v="Sim"/>
    <n v="45698"/>
    <x v="10"/>
  </r>
  <r>
    <x v="1628"/>
    <x v="1"/>
    <x v="3"/>
    <x v="2"/>
    <n v="3033"/>
    <s v="Bryan Cardoso"/>
    <s v="06529713425"/>
    <s v="065.297.134-25"/>
    <s v="Tocantins"/>
    <x v="2"/>
    <s v="Sim"/>
    <n v="45736"/>
    <x v="4"/>
  </r>
  <r>
    <x v="1629"/>
    <x v="0"/>
    <x v="3"/>
    <x v="3"/>
    <n v="3034"/>
    <s v="Maria Cecília Martins"/>
    <s v="16487302562"/>
    <s v="164.873.025-62"/>
    <s v="Salvador"/>
    <x v="3"/>
    <s v="Sim"/>
    <n v="45693"/>
    <x v="23"/>
  </r>
  <r>
    <x v="1630"/>
    <x v="1"/>
    <x v="0"/>
    <x v="4"/>
    <n v="3035"/>
    <s v="Sophie da Mota"/>
    <s v="693.241.785-55"/>
    <s v="693.241.785-55"/>
    <s v="Porto Alegre"/>
    <x v="4"/>
    <m/>
    <n v="45673"/>
    <x v="40"/>
  </r>
  <r>
    <x v="1631"/>
    <x v="1"/>
    <x v="2"/>
    <x v="10"/>
    <n v="3041"/>
    <s v="Maria Ramos"/>
    <s v="08347691231"/>
    <s v="083.476.912-31"/>
    <s v="Petrolina"/>
    <x v="8"/>
    <s v="Sim"/>
    <n v="45733"/>
    <x v="32"/>
  </r>
  <r>
    <x v="1632"/>
    <x v="0"/>
    <x v="3"/>
    <x v="5"/>
    <n v="3036"/>
    <s v="Ana Julia Moreira"/>
    <s v="056.123.987-86"/>
    <s v="056.123.987-86"/>
    <s v="Porto Velho"/>
    <x v="5"/>
    <m/>
    <n v="45745"/>
    <x v="3"/>
  </r>
  <r>
    <x v="1633"/>
    <x v="0"/>
    <x v="0"/>
    <x v="1"/>
    <n v="3032"/>
    <s v="Alexia Duarte"/>
    <s v="20173954804"/>
    <s v="201.739.548-04"/>
    <s v="Belém"/>
    <x v="1"/>
    <s v="Sim"/>
    <n v="45694"/>
    <x v="1"/>
  </r>
  <r>
    <x v="1634"/>
    <x v="1"/>
    <x v="3"/>
    <x v="3"/>
    <n v="3034"/>
    <s v="Heitor Cardoso"/>
    <s v="80519326415"/>
    <s v="805.193.264-15"/>
    <s v="Salvador"/>
    <x v="3"/>
    <m/>
    <n v="45669"/>
    <x v="22"/>
  </r>
  <r>
    <x v="1635"/>
    <x v="1"/>
    <x v="1"/>
    <x v="4"/>
    <n v="3035"/>
    <s v="Luiza Ramos"/>
    <s v="41237680590"/>
    <s v="412.376.805-90"/>
    <s v="Porto Alegre"/>
    <x v="4"/>
    <s v="Sim"/>
    <n v="45710"/>
    <x v="22"/>
  </r>
  <r>
    <x v="1636"/>
    <x v="1"/>
    <x v="0"/>
    <x v="5"/>
    <n v="3036"/>
    <s v="Yasmin Vieira"/>
    <s v="24185630735"/>
    <s v="241.856.307-35"/>
    <s v="Porto Velho"/>
    <x v="5"/>
    <s v="Sim"/>
    <n v="45683"/>
    <x v="17"/>
  </r>
  <r>
    <x v="1637"/>
    <x v="1"/>
    <x v="2"/>
    <x v="5"/>
    <n v="3036"/>
    <s v="Davi Lucca da Conceição"/>
    <s v="97546038120"/>
    <s v="975.460.381-20"/>
    <s v="Porto Velho"/>
    <x v="5"/>
    <s v="Sim"/>
    <n v="45728"/>
    <x v="27"/>
  </r>
  <r>
    <x v="1638"/>
    <x v="0"/>
    <x v="0"/>
    <x v="10"/>
    <n v="3041"/>
    <s v="Sra. Emanuelly Costela"/>
    <s v="18572630902"/>
    <s v="185.726.309-02"/>
    <s v="Petrolina"/>
    <x v="8"/>
    <m/>
    <n v="45700"/>
    <x v="35"/>
  </r>
  <r>
    <x v="1639"/>
    <x v="0"/>
    <x v="3"/>
    <x v="10"/>
    <n v="3041"/>
    <s v="Ana Almeida"/>
    <s v="928.673.054-38"/>
    <s v="928.673.054-38"/>
    <s v="Petrolina"/>
    <x v="8"/>
    <m/>
    <n v="45729"/>
    <x v="32"/>
  </r>
  <r>
    <x v="1640"/>
    <x v="0"/>
    <x v="1"/>
    <x v="9"/>
    <n v="3040"/>
    <s v="Bernardo Nunes"/>
    <s v="356.209.187-77"/>
    <s v="356.209.187-77"/>
    <s v="Jericoacara"/>
    <x v="6"/>
    <m/>
    <n v="45685"/>
    <x v="16"/>
  </r>
  <r>
    <x v="1641"/>
    <x v="1"/>
    <x v="2"/>
    <x v="6"/>
    <n v="3037"/>
    <s v="Camila Santos"/>
    <s v="28579043123"/>
    <s v="285.790.431-23"/>
    <s v="Fortaleza"/>
    <x v="6"/>
    <s v="Sim"/>
    <n v="45708"/>
    <x v="5"/>
  </r>
  <r>
    <x v="1642"/>
    <x v="1"/>
    <x v="0"/>
    <x v="7"/>
    <n v="3038"/>
    <s v="Manuela da Mata"/>
    <s v="247.106.358-62"/>
    <s v="247.106.358-62"/>
    <s v="Natal"/>
    <x v="7"/>
    <m/>
    <n v="45710"/>
    <x v="34"/>
  </r>
  <r>
    <x v="1643"/>
    <x v="1"/>
    <x v="1"/>
    <x v="4"/>
    <n v="3035"/>
    <s v="Sr. Lucca Campos"/>
    <s v="059.764.283-47"/>
    <s v="059.764.283-47"/>
    <s v="Porto Alegre"/>
    <x v="4"/>
    <s v="Sim"/>
    <n v="45739"/>
    <x v="40"/>
  </r>
  <r>
    <x v="1644"/>
    <x v="1"/>
    <x v="1"/>
    <x v="7"/>
    <n v="3038"/>
    <s v="Ana Lívia Carvalho"/>
    <s v="52609784120"/>
    <s v="526.097.841-20"/>
    <s v="Natal"/>
    <x v="7"/>
    <m/>
    <n v="45663"/>
    <x v="8"/>
  </r>
  <r>
    <x v="1645"/>
    <x v="1"/>
    <x v="3"/>
    <x v="1"/>
    <n v="3032"/>
    <s v="Beatriz da Paz"/>
    <s v="097.834.256-92"/>
    <s v="097.834.256-92"/>
    <s v="Belém"/>
    <x v="1"/>
    <s v="Sim"/>
    <n v="45658"/>
    <x v="1"/>
  </r>
  <r>
    <x v="1646"/>
    <x v="1"/>
    <x v="2"/>
    <x v="1"/>
    <n v="3032"/>
    <s v="Eloah Carvalho"/>
    <s v="845.721.963-46"/>
    <s v="845.721.963-46"/>
    <s v="Belém"/>
    <x v="1"/>
    <m/>
    <n v="45698"/>
    <x v="38"/>
  </r>
  <r>
    <x v="1647"/>
    <x v="1"/>
    <x v="3"/>
    <x v="11"/>
    <n v="3042"/>
    <s v="Maria Eduarda da Rosa"/>
    <s v="652.478.301-80"/>
    <s v="652.478.301-80"/>
    <s v="Santa Catarina"/>
    <x v="9"/>
    <m/>
    <n v="45739"/>
    <x v="10"/>
  </r>
  <r>
    <x v="1648"/>
    <x v="1"/>
    <x v="2"/>
    <x v="0"/>
    <n v="3031"/>
    <s v="Srta. Mariane Silva"/>
    <s v="273.694.085-74"/>
    <s v="273.694.085-74"/>
    <s v="Amazonas"/>
    <x v="0"/>
    <m/>
    <n v="45661"/>
    <x v="5"/>
  </r>
  <r>
    <x v="1649"/>
    <x v="0"/>
    <x v="1"/>
    <x v="10"/>
    <n v="3041"/>
    <s v="Isaac Barbosa"/>
    <s v="25618704994"/>
    <s v="256.187.049-94"/>
    <s v="Petrolina"/>
    <x v="8"/>
    <s v="Sim"/>
    <n v="45678"/>
    <x v="28"/>
  </r>
  <r>
    <x v="1650"/>
    <x v="1"/>
    <x v="1"/>
    <x v="0"/>
    <n v="3031"/>
    <s v="Sra. Laura Fernandes"/>
    <s v="83561907202"/>
    <s v="835.619.072-02"/>
    <s v="Amazonas"/>
    <x v="0"/>
    <s v="Sim"/>
    <n v="45710"/>
    <x v="3"/>
  </r>
  <r>
    <x v="1651"/>
    <x v="1"/>
    <x v="3"/>
    <x v="4"/>
    <n v="3035"/>
    <s v="Alícia Pereira"/>
    <s v="738.526.149-37"/>
    <s v="738.526.149-37"/>
    <s v="Porto Alegre"/>
    <x v="4"/>
    <s v="Sim"/>
    <n v="45675"/>
    <x v="22"/>
  </r>
  <r>
    <x v="1652"/>
    <x v="1"/>
    <x v="0"/>
    <x v="4"/>
    <n v="3035"/>
    <s v="Sr. João Miguel Jesus"/>
    <s v="620.897.315-59"/>
    <s v="620.897.315-59"/>
    <s v="Porto Alegre"/>
    <x v="4"/>
    <m/>
    <n v="45726"/>
    <x v="40"/>
  </r>
  <r>
    <x v="1653"/>
    <x v="1"/>
    <x v="3"/>
    <x v="6"/>
    <n v="3037"/>
    <s v="João Vitor Moreira"/>
    <s v="758.023.169-77"/>
    <s v="758.023.169-77"/>
    <s v="Fortaleza"/>
    <x v="6"/>
    <m/>
    <n v="45728"/>
    <x v="10"/>
  </r>
  <r>
    <x v="1654"/>
    <x v="1"/>
    <x v="3"/>
    <x v="10"/>
    <n v="3041"/>
    <s v="Noah Azevedo"/>
    <s v="85906324747"/>
    <s v="859.063.247-47"/>
    <s v="Petrolina"/>
    <x v="8"/>
    <m/>
    <n v="45722"/>
    <x v="42"/>
  </r>
  <r>
    <x v="1655"/>
    <x v="1"/>
    <x v="0"/>
    <x v="7"/>
    <n v="3038"/>
    <s v="Ana Lívia Dias"/>
    <s v="19834602570"/>
    <s v="198.346.025-70"/>
    <s v="Natal"/>
    <x v="7"/>
    <m/>
    <n v="45671"/>
    <x v="31"/>
  </r>
  <r>
    <x v="1656"/>
    <x v="1"/>
    <x v="2"/>
    <x v="11"/>
    <n v="3042"/>
    <s v="Dr. Thales Pires"/>
    <s v="602.158.379-59"/>
    <s v="602.158.379-59"/>
    <s v="Santa Catarina"/>
    <x v="9"/>
    <s v="Sim"/>
    <n v="45680"/>
    <x v="10"/>
  </r>
  <r>
    <x v="1657"/>
    <x v="0"/>
    <x v="3"/>
    <x v="4"/>
    <n v="3035"/>
    <s v="Dr. Samuel Cardoso"/>
    <s v="20157634906"/>
    <s v="201.576.349-06"/>
    <s v="Porto Alegre"/>
    <x v="4"/>
    <m/>
    <n v="45742"/>
    <x v="40"/>
  </r>
  <r>
    <x v="1658"/>
    <x v="0"/>
    <x v="2"/>
    <x v="6"/>
    <n v="3037"/>
    <s v="André da Cruz"/>
    <s v="60128974567"/>
    <s v="601.289.745-67"/>
    <s v="Fortaleza"/>
    <x v="6"/>
    <m/>
    <n v="45746"/>
    <x v="24"/>
  </r>
  <r>
    <x v="1659"/>
    <x v="0"/>
    <x v="1"/>
    <x v="8"/>
    <n v="3039"/>
    <s v="Dr. Leonardo Mendes"/>
    <s v="074.936.528-56"/>
    <s v="074.936.528-56"/>
    <s v="Recife"/>
    <x v="8"/>
    <m/>
    <n v="45739"/>
    <x v="21"/>
  </r>
  <r>
    <x v="1660"/>
    <x v="0"/>
    <x v="2"/>
    <x v="6"/>
    <n v="3037"/>
    <s v="Lucas Gabriel Vieira"/>
    <s v="05879163202"/>
    <s v="058.791.632-02"/>
    <s v="Fortaleza"/>
    <x v="6"/>
    <m/>
    <n v="45696"/>
    <x v="10"/>
  </r>
  <r>
    <x v="1661"/>
    <x v="0"/>
    <x v="1"/>
    <x v="11"/>
    <n v="3042"/>
    <s v="Renan da Rosa"/>
    <s v="403.598.612-70"/>
    <s v="403.598.612-70"/>
    <s v="Santa Catarina"/>
    <x v="9"/>
    <m/>
    <n v="45670"/>
    <x v="10"/>
  </r>
  <r>
    <x v="1662"/>
    <x v="1"/>
    <x v="3"/>
    <x v="10"/>
    <n v="3041"/>
    <s v="Enrico Pereira"/>
    <s v="08496723500"/>
    <s v="084.967.235-00"/>
    <s v="Petrolina"/>
    <x v="8"/>
    <m/>
    <n v="45679"/>
    <x v="35"/>
  </r>
  <r>
    <x v="1663"/>
    <x v="1"/>
    <x v="1"/>
    <x v="2"/>
    <n v="3033"/>
    <s v="Heloísa da Luz"/>
    <s v="859.612.403-98"/>
    <s v="859.612.403-98"/>
    <s v="Tocantins"/>
    <x v="2"/>
    <m/>
    <n v="45693"/>
    <x v="6"/>
  </r>
  <r>
    <x v="1664"/>
    <x v="0"/>
    <x v="0"/>
    <x v="4"/>
    <n v="3035"/>
    <s v="Ana Julia Azevedo"/>
    <s v="067.489.512-67"/>
    <s v="067.489.512-67"/>
    <s v="Porto Alegre"/>
    <x v="4"/>
    <m/>
    <n v="45746"/>
    <x v="22"/>
  </r>
  <r>
    <x v="1665"/>
    <x v="1"/>
    <x v="0"/>
    <x v="10"/>
    <n v="3041"/>
    <s v="Ana Carolina Cardoso"/>
    <s v="867.320.195-03"/>
    <s v="867.320.195-03"/>
    <s v="Petrolina"/>
    <x v="8"/>
    <m/>
    <n v="45725"/>
    <x v="28"/>
  </r>
  <r>
    <x v="1666"/>
    <x v="0"/>
    <x v="1"/>
    <x v="9"/>
    <n v="3040"/>
    <s v="Ana da Rosa"/>
    <s v="348.752.106-71"/>
    <s v="348.752.106-71"/>
    <s v="Jericoacara"/>
    <x v="6"/>
    <s v="Sim"/>
    <n v="45696"/>
    <x v="24"/>
  </r>
  <r>
    <x v="1667"/>
    <x v="1"/>
    <x v="2"/>
    <x v="3"/>
    <n v="3034"/>
    <s v="Laís Nascimento"/>
    <s v="25801796312"/>
    <s v="258.017.963-12"/>
    <s v="Salvador"/>
    <x v="3"/>
    <m/>
    <n v="45705"/>
    <x v="23"/>
  </r>
  <r>
    <x v="1668"/>
    <x v="1"/>
    <x v="3"/>
    <x v="10"/>
    <n v="3041"/>
    <s v="João Miguel Lopes"/>
    <s v="426.180.357-71"/>
    <s v="426.180.357-71"/>
    <s v="Petrolina"/>
    <x v="8"/>
    <m/>
    <n v="45675"/>
    <x v="28"/>
  </r>
  <r>
    <x v="1669"/>
    <x v="0"/>
    <x v="2"/>
    <x v="11"/>
    <n v="3042"/>
    <s v="Ana Carolina da Mata"/>
    <s v="92361840731"/>
    <s v="923.618.407-31"/>
    <s v="Santa Catarina"/>
    <x v="9"/>
    <m/>
    <n v="45659"/>
    <x v="32"/>
  </r>
  <r>
    <x v="1670"/>
    <x v="0"/>
    <x v="0"/>
    <x v="3"/>
    <n v="3034"/>
    <s v="Srta. Maria Julia Barbosa"/>
    <s v="60518432998"/>
    <s v="605.184.329-98"/>
    <s v="Salvador"/>
    <x v="3"/>
    <m/>
    <n v="45681"/>
    <x v="5"/>
  </r>
  <r>
    <x v="1671"/>
    <x v="1"/>
    <x v="3"/>
    <x v="10"/>
    <n v="3041"/>
    <s v="Davi Lucas Correia"/>
    <s v="16839504298"/>
    <s v="168.395.042-98"/>
    <s v="Petrolina"/>
    <x v="8"/>
    <s v="Sim"/>
    <n v="45746"/>
    <x v="42"/>
  </r>
  <r>
    <x v="1672"/>
    <x v="1"/>
    <x v="0"/>
    <x v="4"/>
    <n v="3035"/>
    <s v="Helena Viana"/>
    <s v="75201438644"/>
    <s v="752.014.386-44"/>
    <s v="Porto Alegre"/>
    <x v="4"/>
    <m/>
    <n v="45696"/>
    <x v="22"/>
  </r>
  <r>
    <x v="1673"/>
    <x v="0"/>
    <x v="3"/>
    <x v="5"/>
    <n v="3036"/>
    <s v="Enzo Duarte"/>
    <s v="620.513.897-21"/>
    <s v="620.513.897-21"/>
    <s v="Porto Velho"/>
    <x v="5"/>
    <m/>
    <n v="45665"/>
    <x v="3"/>
  </r>
  <r>
    <x v="1674"/>
    <x v="1"/>
    <x v="2"/>
    <x v="11"/>
    <n v="3042"/>
    <s v="Lucas Gabriel Rezende"/>
    <s v="029.375.846-83"/>
    <s v="029.375.846-83"/>
    <s v="Santa Catarina"/>
    <x v="9"/>
    <m/>
    <n v="45727"/>
    <x v="10"/>
  </r>
  <r>
    <x v="1675"/>
    <x v="0"/>
    <x v="2"/>
    <x v="5"/>
    <n v="3036"/>
    <s v="Agatha da Mata"/>
    <s v="36205418924"/>
    <s v="362.054.189-24"/>
    <s v="Porto Velho"/>
    <x v="5"/>
    <s v="Sim"/>
    <n v="45746"/>
    <x v="3"/>
  </r>
  <r>
    <x v="1676"/>
    <x v="1"/>
    <x v="3"/>
    <x v="9"/>
    <n v="3040"/>
    <s v="Valentina Costa"/>
    <s v="870.524.913-97"/>
    <s v="870.524.913-97"/>
    <s v="Jericoacara"/>
    <x v="6"/>
    <m/>
    <n v="45733"/>
    <x v="45"/>
  </r>
  <r>
    <x v="1677"/>
    <x v="0"/>
    <x v="0"/>
    <x v="8"/>
    <n v="3039"/>
    <s v="Luiz Fernando Pinto"/>
    <s v="38524706171"/>
    <s v="385.247.061-71"/>
    <s v="Recife"/>
    <x v="8"/>
    <s v="Sim"/>
    <n v="45713"/>
    <x v="34"/>
  </r>
  <r>
    <x v="1678"/>
    <x v="0"/>
    <x v="3"/>
    <x v="8"/>
    <n v="3039"/>
    <s v="Sra. Olivia Ribeiro"/>
    <s v="216.470.583-17"/>
    <s v="216.470.583-17"/>
    <s v="Recife"/>
    <x v="8"/>
    <m/>
    <n v="45704"/>
    <x v="48"/>
  </r>
  <r>
    <x v="1679"/>
    <x v="0"/>
    <x v="3"/>
    <x v="8"/>
    <n v="3039"/>
    <s v="Sophie da Rosa"/>
    <s v="186.497.305-66"/>
    <s v="186.497.305-66"/>
    <s v="Recife"/>
    <x v="8"/>
    <s v="Sim"/>
    <n v="45690"/>
    <x v="8"/>
  </r>
  <r>
    <x v="1680"/>
    <x v="0"/>
    <x v="3"/>
    <x v="4"/>
    <n v="3035"/>
    <s v="Benjamin Castro"/>
    <s v="82953106740"/>
    <s v="829.531.067-40"/>
    <s v="Porto Alegre"/>
    <x v="4"/>
    <s v="Sim"/>
    <n v="45711"/>
    <x v="22"/>
  </r>
  <r>
    <x v="1681"/>
    <x v="0"/>
    <x v="1"/>
    <x v="5"/>
    <n v="3036"/>
    <s v="Paulo Gonçalves"/>
    <s v="82315604753"/>
    <s v="823.156.047-53"/>
    <s v="Porto Velho"/>
    <x v="5"/>
    <m/>
    <n v="45684"/>
    <x v="3"/>
  </r>
  <r>
    <x v="1682"/>
    <x v="1"/>
    <x v="0"/>
    <x v="0"/>
    <n v="3031"/>
    <s v="Luigi Freitas"/>
    <s v="32109874678"/>
    <s v="321.098.746-78"/>
    <s v="Amazonas"/>
    <x v="0"/>
    <m/>
    <n v="45723"/>
    <x v="5"/>
  </r>
  <r>
    <x v="1683"/>
    <x v="0"/>
    <x v="3"/>
    <x v="4"/>
    <n v="3035"/>
    <s v="Vicente Alves"/>
    <s v="20389146560"/>
    <s v="203.891.465-60"/>
    <s v="Porto Alegre"/>
    <x v="4"/>
    <m/>
    <n v="45727"/>
    <x v="22"/>
  </r>
  <r>
    <x v="1684"/>
    <x v="1"/>
    <x v="1"/>
    <x v="5"/>
    <n v="3036"/>
    <s v="Luna Moraes"/>
    <s v="213.958.076-12"/>
    <s v="213.958.076-12"/>
    <s v="Porto Velho"/>
    <x v="5"/>
    <m/>
    <n v="45698"/>
    <x v="3"/>
  </r>
  <r>
    <x v="1685"/>
    <x v="1"/>
    <x v="1"/>
    <x v="0"/>
    <n v="3031"/>
    <s v="Sr. Juan Fernandes"/>
    <s v="630.572.184-07"/>
    <s v="630.572.184-07"/>
    <s v="Amazonas"/>
    <x v="0"/>
    <s v="Sim"/>
    <n v="45702"/>
    <x v="0"/>
  </r>
  <r>
    <x v="1686"/>
    <x v="1"/>
    <x v="0"/>
    <x v="4"/>
    <n v="3035"/>
    <s v="Dr. Nathan Castro"/>
    <s v="983.105.624-89"/>
    <s v="983.105.624-89"/>
    <s v="Porto Alegre"/>
    <x v="4"/>
    <m/>
    <n v="45698"/>
    <x v="4"/>
  </r>
  <r>
    <x v="1687"/>
    <x v="1"/>
    <x v="0"/>
    <x v="1"/>
    <n v="3032"/>
    <s v="Nina Cardoso"/>
    <s v="746.980.125-11"/>
    <s v="746.980.125-11"/>
    <s v="Belém"/>
    <x v="1"/>
    <m/>
    <n v="45669"/>
    <x v="1"/>
  </r>
  <r>
    <x v="1688"/>
    <x v="1"/>
    <x v="1"/>
    <x v="4"/>
    <n v="3035"/>
    <s v="Francisco Farias"/>
    <s v="841.935.702-23"/>
    <s v="841.935.702-23"/>
    <s v="Porto Alegre"/>
    <x v="4"/>
    <s v="Sim"/>
    <n v="45735"/>
    <x v="26"/>
  </r>
  <r>
    <x v="1689"/>
    <x v="1"/>
    <x v="0"/>
    <x v="1"/>
    <n v="3032"/>
    <s v="Cauã Peixoto"/>
    <s v="70823461580"/>
    <s v="708.234.615-80"/>
    <s v="Belém"/>
    <x v="1"/>
    <m/>
    <n v="45702"/>
    <x v="47"/>
  </r>
  <r>
    <x v="1690"/>
    <x v="1"/>
    <x v="3"/>
    <x v="1"/>
    <n v="3032"/>
    <s v="João Pedro Dias"/>
    <s v="621.493.870-69"/>
    <s v="621.493.870-69"/>
    <s v="Belém"/>
    <x v="1"/>
    <s v="Sim"/>
    <n v="45687"/>
    <x v="15"/>
  </r>
  <r>
    <x v="1691"/>
    <x v="0"/>
    <x v="2"/>
    <x v="10"/>
    <n v="3041"/>
    <s v="Esther Fernandes"/>
    <s v="40736125817"/>
    <s v="407.361.258-17"/>
    <s v="Petrolina"/>
    <x v="8"/>
    <m/>
    <n v="45727"/>
    <x v="42"/>
  </r>
  <r>
    <x v="1692"/>
    <x v="1"/>
    <x v="3"/>
    <x v="2"/>
    <n v="3033"/>
    <s v="Miguel Peixoto"/>
    <s v="504.973.168-20"/>
    <s v="504.973.168-20"/>
    <s v="Tocantins"/>
    <x v="2"/>
    <s v="Sim"/>
    <n v="45670"/>
    <x v="8"/>
  </r>
  <r>
    <x v="1693"/>
    <x v="0"/>
    <x v="2"/>
    <x v="0"/>
    <n v="3031"/>
    <s v="João Pedro Cunha"/>
    <s v="618.279.530-12"/>
    <s v="618.279.530-12"/>
    <s v="Amazonas"/>
    <x v="0"/>
    <m/>
    <n v="45738"/>
    <x v="36"/>
  </r>
  <r>
    <x v="1694"/>
    <x v="0"/>
    <x v="2"/>
    <x v="10"/>
    <n v="3041"/>
    <s v="Sra. Milena Martins"/>
    <s v="42159608785"/>
    <s v="421.596.087-85"/>
    <s v="Petrolina"/>
    <x v="8"/>
    <m/>
    <n v="45715"/>
    <x v="42"/>
  </r>
  <r>
    <x v="1695"/>
    <x v="0"/>
    <x v="3"/>
    <x v="1"/>
    <n v="3032"/>
    <s v="Mariane Castro"/>
    <s v="96251704802"/>
    <s v="962.517.048-02"/>
    <s v="Belém"/>
    <x v="1"/>
    <m/>
    <n v="45683"/>
    <x v="15"/>
  </r>
  <r>
    <x v="1696"/>
    <x v="1"/>
    <x v="1"/>
    <x v="3"/>
    <n v="3034"/>
    <s v="Eduardo Mendes"/>
    <s v="32491805642"/>
    <s v="324.918.056-42"/>
    <s v="Salvador"/>
    <x v="3"/>
    <m/>
    <n v="45679"/>
    <x v="17"/>
  </r>
  <r>
    <x v="1697"/>
    <x v="1"/>
    <x v="1"/>
    <x v="1"/>
    <n v="3032"/>
    <s v="Francisco da Paz"/>
    <s v="03195287668"/>
    <s v="031.952.876-68"/>
    <s v="Belém"/>
    <x v="1"/>
    <s v="Sim"/>
    <n v="45694"/>
    <x v="1"/>
  </r>
  <r>
    <x v="1698"/>
    <x v="1"/>
    <x v="3"/>
    <x v="11"/>
    <n v="3042"/>
    <s v="Sra. Isadora Rezende"/>
    <s v="64723598146"/>
    <s v="647.235.981-46"/>
    <s v="Santa Catarina"/>
    <x v="9"/>
    <m/>
    <n v="45677"/>
    <x v="24"/>
  </r>
  <r>
    <x v="1699"/>
    <x v="0"/>
    <x v="2"/>
    <x v="10"/>
    <n v="3041"/>
    <s v="Sr. Leandro Moura"/>
    <s v="974.368.501-48"/>
    <s v="974.368.501-48"/>
    <s v="Petrolina"/>
    <x v="8"/>
    <m/>
    <n v="45678"/>
    <x v="35"/>
  </r>
  <r>
    <x v="1700"/>
    <x v="1"/>
    <x v="1"/>
    <x v="7"/>
    <n v="3038"/>
    <s v="Cauê Cardoso"/>
    <s v="254.907.861-67"/>
    <s v="254.907.861-67"/>
    <s v="Natal"/>
    <x v="7"/>
    <s v="Sim"/>
    <n v="45739"/>
    <x v="21"/>
  </r>
  <r>
    <x v="1701"/>
    <x v="1"/>
    <x v="3"/>
    <x v="2"/>
    <n v="3033"/>
    <s v="Gabriela Silva"/>
    <s v="15263498764"/>
    <s v="152.634.987-64"/>
    <s v="Tocantins"/>
    <x v="2"/>
    <m/>
    <n v="45713"/>
    <x v="6"/>
  </r>
  <r>
    <x v="1702"/>
    <x v="0"/>
    <x v="0"/>
    <x v="0"/>
    <n v="3031"/>
    <s v="Julia Jesus"/>
    <s v="721.690.354-43"/>
    <s v="721.690.354-43"/>
    <s v="Amazonas"/>
    <x v="0"/>
    <m/>
    <n v="45681"/>
    <x v="5"/>
  </r>
  <r>
    <x v="1703"/>
    <x v="0"/>
    <x v="2"/>
    <x v="7"/>
    <n v="3038"/>
    <s v="Sr. Gabriel da Mata"/>
    <s v="614.052.897-67"/>
    <s v="614.052.897-67"/>
    <s v="Natal"/>
    <x v="7"/>
    <m/>
    <n v="45698"/>
    <x v="12"/>
  </r>
  <r>
    <x v="1704"/>
    <x v="0"/>
    <x v="3"/>
    <x v="2"/>
    <n v="3033"/>
    <s v="Heitor Lopes"/>
    <s v="430.896.125-42"/>
    <s v="430.896.125-42"/>
    <s v="Tocantins"/>
    <x v="2"/>
    <m/>
    <n v="45679"/>
    <x v="7"/>
  </r>
  <r>
    <x v="1705"/>
    <x v="0"/>
    <x v="3"/>
    <x v="0"/>
    <n v="3031"/>
    <s v="Rodrigo Aragão"/>
    <s v="081.342.795-97"/>
    <s v="081.342.795-97"/>
    <s v="Amazonas"/>
    <x v="0"/>
    <m/>
    <n v="45665"/>
    <x v="0"/>
  </r>
  <r>
    <x v="1706"/>
    <x v="0"/>
    <x v="3"/>
    <x v="11"/>
    <n v="3042"/>
    <s v="Dr. Bryan Freitas"/>
    <s v="523.896.174-09"/>
    <s v="523.896.174-09"/>
    <s v="Santa Catarina"/>
    <x v="9"/>
    <m/>
    <n v="45683"/>
    <x v="37"/>
  </r>
  <r>
    <x v="1707"/>
    <x v="1"/>
    <x v="0"/>
    <x v="0"/>
    <n v="3031"/>
    <s v="Rodrigo Sales"/>
    <s v="017.856.924-02"/>
    <s v="017.856.924-02"/>
    <s v="Amazonas"/>
    <x v="0"/>
    <s v="Sim"/>
    <n v="45735"/>
    <x v="26"/>
  </r>
  <r>
    <x v="1708"/>
    <x v="1"/>
    <x v="1"/>
    <x v="2"/>
    <n v="3033"/>
    <s v="Sr. Enzo Gabriel Pires"/>
    <s v="79243581023"/>
    <s v="792.435.810-23"/>
    <s v="Tocantins"/>
    <x v="2"/>
    <m/>
    <n v="45676"/>
    <x v="6"/>
  </r>
  <r>
    <x v="1709"/>
    <x v="1"/>
    <x v="0"/>
    <x v="8"/>
    <n v="3039"/>
    <s v="Agatha Correia"/>
    <s v="408.652.137-71"/>
    <s v="408.652.137-71"/>
    <s v="Recife"/>
    <x v="8"/>
    <m/>
    <n v="45660"/>
    <x v="42"/>
  </r>
  <r>
    <x v="1710"/>
    <x v="0"/>
    <x v="0"/>
    <x v="2"/>
    <n v="3033"/>
    <s v="Dr. Pietro Silveira"/>
    <s v="098.136.475-66"/>
    <s v="098.136.475-66"/>
    <s v="Tocantins"/>
    <x v="2"/>
    <s v="Sim"/>
    <n v="45676"/>
    <x v="4"/>
  </r>
  <r>
    <x v="1711"/>
    <x v="1"/>
    <x v="1"/>
    <x v="7"/>
    <n v="3038"/>
    <s v="Dr. Rafael da Mota"/>
    <s v="16042973878"/>
    <s v="160.429.738-78"/>
    <s v="Natal"/>
    <x v="7"/>
    <m/>
    <n v="45709"/>
    <x v="21"/>
  </r>
  <r>
    <x v="1712"/>
    <x v="1"/>
    <x v="0"/>
    <x v="11"/>
    <n v="3042"/>
    <s v="Olivia Carvalho"/>
    <s v="720.196.384-87"/>
    <s v="720.196.384-87"/>
    <s v="Santa Catarina"/>
    <x v="9"/>
    <s v="Sim"/>
    <n v="45692"/>
    <x v="37"/>
  </r>
  <r>
    <x v="1713"/>
    <x v="0"/>
    <x v="2"/>
    <x v="11"/>
    <n v="3042"/>
    <s v="Srta. Manuela Novaes"/>
    <s v="209.453.168-60"/>
    <s v="209.453.168-60"/>
    <s v="Santa Catarina"/>
    <x v="9"/>
    <s v="Sim"/>
    <n v="45727"/>
    <x v="10"/>
  </r>
  <r>
    <x v="1714"/>
    <x v="1"/>
    <x v="2"/>
    <x v="7"/>
    <n v="3038"/>
    <s v="Dr. Rafael da Rosa"/>
    <s v="32815967030"/>
    <s v="328.159.670-30"/>
    <s v="Natal"/>
    <x v="7"/>
    <m/>
    <n v="45744"/>
    <x v="30"/>
  </r>
  <r>
    <x v="1715"/>
    <x v="1"/>
    <x v="0"/>
    <x v="8"/>
    <n v="3039"/>
    <s v="Maria da Luz"/>
    <s v="045.631.297-80"/>
    <s v="045.631.297-80"/>
    <s v="Recife"/>
    <x v="8"/>
    <m/>
    <n v="45680"/>
    <x v="21"/>
  </r>
  <r>
    <x v="1716"/>
    <x v="0"/>
    <x v="2"/>
    <x v="8"/>
    <n v="3039"/>
    <s v="Lara Carvalho"/>
    <s v="85036742117"/>
    <s v="850.367.421-17"/>
    <s v="Recife"/>
    <x v="8"/>
    <m/>
    <n v="45662"/>
    <x v="21"/>
  </r>
  <r>
    <x v="1717"/>
    <x v="0"/>
    <x v="0"/>
    <x v="11"/>
    <n v="3042"/>
    <s v="Carolina Nogueira"/>
    <s v="971.648.530-10"/>
    <s v="971.648.530-10"/>
    <s v="Santa Catarina"/>
    <x v="9"/>
    <m/>
    <n v="45667"/>
    <x v="32"/>
  </r>
  <r>
    <x v="1718"/>
    <x v="0"/>
    <x v="1"/>
    <x v="11"/>
    <n v="3042"/>
    <s v="Luigi Costa"/>
    <s v="26195478067"/>
    <s v="261.954.780-67"/>
    <s v="Santa Catarina"/>
    <x v="9"/>
    <m/>
    <n v="45726"/>
    <x v="39"/>
  </r>
  <r>
    <x v="1719"/>
    <x v="1"/>
    <x v="3"/>
    <x v="6"/>
    <n v="3037"/>
    <s v="Luiz Felipe Pinto"/>
    <s v="48963517209"/>
    <s v="489.635.172-09"/>
    <s v="Fortaleza"/>
    <x v="6"/>
    <m/>
    <n v="45731"/>
    <x v="24"/>
  </r>
  <r>
    <x v="1720"/>
    <x v="1"/>
    <x v="3"/>
    <x v="3"/>
    <n v="3034"/>
    <s v="Cauê da Conceição"/>
    <s v="39216407840"/>
    <s v="392.164.078-40"/>
    <s v="Salvador"/>
    <x v="3"/>
    <s v="Sim"/>
    <n v="45731"/>
    <x v="23"/>
  </r>
  <r>
    <x v="1721"/>
    <x v="0"/>
    <x v="3"/>
    <x v="1"/>
    <n v="3032"/>
    <s v="Evelyn Fernandes"/>
    <s v="25986147391"/>
    <s v="259.861.473-91"/>
    <s v="Belém"/>
    <x v="1"/>
    <m/>
    <n v="45697"/>
    <x v="7"/>
  </r>
  <r>
    <x v="1722"/>
    <x v="1"/>
    <x v="1"/>
    <x v="5"/>
    <n v="3036"/>
    <s v="João Miguel da Mata"/>
    <s v="95328074114"/>
    <s v="953.280.741-14"/>
    <s v="Porto Velho"/>
    <x v="5"/>
    <m/>
    <n v="45741"/>
    <x v="17"/>
  </r>
  <r>
    <x v="1723"/>
    <x v="0"/>
    <x v="1"/>
    <x v="5"/>
    <n v="3036"/>
    <s v="Bernardo Correia"/>
    <s v="804.356.297-00"/>
    <s v="804.356.297-00"/>
    <s v="Porto Velho"/>
    <x v="5"/>
    <s v="Sim"/>
    <n v="45658"/>
    <x v="17"/>
  </r>
  <r>
    <x v="1724"/>
    <x v="1"/>
    <x v="3"/>
    <x v="7"/>
    <n v="3038"/>
    <s v="Natália Lopes"/>
    <s v="38460725910"/>
    <s v="384.607.259-10"/>
    <s v="Natal"/>
    <x v="7"/>
    <m/>
    <n v="45744"/>
    <x v="34"/>
  </r>
  <r>
    <x v="1725"/>
    <x v="0"/>
    <x v="0"/>
    <x v="3"/>
    <n v="3034"/>
    <s v="Ana Julia das Neves"/>
    <s v="629.504.831-51"/>
    <s v="629.504.831-51"/>
    <s v="Salvador"/>
    <x v="3"/>
    <m/>
    <n v="45680"/>
    <x v="23"/>
  </r>
  <r>
    <x v="1726"/>
    <x v="1"/>
    <x v="1"/>
    <x v="0"/>
    <n v="3031"/>
    <s v="Rebeca Ribeiro"/>
    <s v="561.298.307-77"/>
    <s v="561.298.307-77"/>
    <s v="Amazonas"/>
    <x v="0"/>
    <m/>
    <n v="45688"/>
    <x v="36"/>
  </r>
  <r>
    <x v="1727"/>
    <x v="0"/>
    <x v="1"/>
    <x v="1"/>
    <n v="3032"/>
    <s v="Miguel Cardoso"/>
    <s v="21503967859"/>
    <s v="215.039.678-59"/>
    <s v="Belém"/>
    <x v="1"/>
    <s v="Sim"/>
    <n v="45690"/>
    <x v="47"/>
  </r>
  <r>
    <x v="1728"/>
    <x v="1"/>
    <x v="1"/>
    <x v="9"/>
    <n v="3040"/>
    <s v="Emanuelly Aragão"/>
    <s v="91648725309"/>
    <s v="916.487.253-09"/>
    <s v="Jericoacara"/>
    <x v="6"/>
    <m/>
    <n v="45692"/>
    <x v="16"/>
  </r>
  <r>
    <x v="1729"/>
    <x v="1"/>
    <x v="1"/>
    <x v="3"/>
    <n v="3034"/>
    <s v="Benício Rocha"/>
    <s v="02981356712"/>
    <s v="029.813.567-12"/>
    <s v="Salvador"/>
    <x v="3"/>
    <s v="Sim"/>
    <n v="45664"/>
    <x v="17"/>
  </r>
  <r>
    <x v="1730"/>
    <x v="0"/>
    <x v="3"/>
    <x v="2"/>
    <n v="3033"/>
    <s v="Milena Sales"/>
    <s v="12978065494"/>
    <s v="129.780.654-94"/>
    <s v="Tocantins"/>
    <x v="2"/>
    <m/>
    <n v="45731"/>
    <x v="7"/>
  </r>
  <r>
    <x v="1731"/>
    <x v="1"/>
    <x v="0"/>
    <x v="9"/>
    <n v="3040"/>
    <s v="Sra. Mariane Nunes"/>
    <s v="789.304.652-00"/>
    <s v="789.304.652-00"/>
    <s v="Jericoacara"/>
    <x v="6"/>
    <s v="Sim"/>
    <n v="45674"/>
    <x v="24"/>
  </r>
  <r>
    <x v="1732"/>
    <x v="1"/>
    <x v="3"/>
    <x v="10"/>
    <n v="3041"/>
    <s v="Luiza Rocha"/>
    <s v="312.895.067-95"/>
    <s v="312.895.067-95"/>
    <s v="Petrolina"/>
    <x v="8"/>
    <s v="Sim"/>
    <n v="45725"/>
    <x v="42"/>
  </r>
  <r>
    <x v="1733"/>
    <x v="1"/>
    <x v="2"/>
    <x v="9"/>
    <n v="3040"/>
    <s v="Marcela Teixeira"/>
    <s v="976.215.803-21"/>
    <s v="976.215.803-21"/>
    <s v="Jericoacara"/>
    <x v="6"/>
    <s v="Sim"/>
    <n v="45716"/>
    <x v="28"/>
  </r>
  <r>
    <x v="1734"/>
    <x v="1"/>
    <x v="2"/>
    <x v="9"/>
    <n v="3040"/>
    <s v="Pedro Lucas Nascimento"/>
    <s v="54308926700"/>
    <s v="543.089.267-00"/>
    <s v="Jericoacara"/>
    <x v="6"/>
    <m/>
    <n v="45670"/>
    <x v="20"/>
  </r>
  <r>
    <x v="1735"/>
    <x v="1"/>
    <x v="3"/>
    <x v="9"/>
    <n v="3040"/>
    <s v="Augusto da Cruz"/>
    <s v="195.602.384-42"/>
    <s v="195.602.384-42"/>
    <s v="Jericoacara"/>
    <x v="6"/>
    <m/>
    <n v="45685"/>
    <x v="29"/>
  </r>
  <r>
    <x v="1736"/>
    <x v="0"/>
    <x v="1"/>
    <x v="0"/>
    <n v="3031"/>
    <s v="Maysa Ramos"/>
    <s v="470.586.132-90"/>
    <s v="470.586.132-90"/>
    <s v="Amazonas"/>
    <x v="0"/>
    <m/>
    <n v="45696"/>
    <x v="26"/>
  </r>
  <r>
    <x v="1737"/>
    <x v="1"/>
    <x v="0"/>
    <x v="2"/>
    <n v="3033"/>
    <s v="Henrique Viana"/>
    <s v="67924351043"/>
    <s v="679.243.510-43"/>
    <s v="Tocantins"/>
    <x v="2"/>
    <s v="Sim"/>
    <n v="45698"/>
    <x v="2"/>
  </r>
  <r>
    <x v="1738"/>
    <x v="1"/>
    <x v="3"/>
    <x v="5"/>
    <n v="3036"/>
    <s v="João Pedro Monteiro"/>
    <s v="60492871396"/>
    <s v="604.928.713-96"/>
    <s v="Porto Velho"/>
    <x v="5"/>
    <s v="Sim"/>
    <n v="45692"/>
    <x v="17"/>
  </r>
  <r>
    <x v="1739"/>
    <x v="1"/>
    <x v="1"/>
    <x v="5"/>
    <n v="3036"/>
    <s v="Sr. Lucas da Paz"/>
    <s v="06473815244"/>
    <s v="064.738.152-44"/>
    <s v="Porto Velho"/>
    <x v="5"/>
    <m/>
    <n v="45665"/>
    <x v="27"/>
  </r>
  <r>
    <x v="1740"/>
    <x v="1"/>
    <x v="2"/>
    <x v="7"/>
    <n v="3038"/>
    <s v="Pedro Miguel Moraes"/>
    <s v="26391087512"/>
    <s v="263.910.875-12"/>
    <s v="Natal"/>
    <x v="7"/>
    <m/>
    <n v="45727"/>
    <x v="43"/>
  </r>
  <r>
    <x v="1741"/>
    <x v="0"/>
    <x v="2"/>
    <x v="4"/>
    <n v="3035"/>
    <s v="Davi Moura"/>
    <s v="51248367090"/>
    <s v="512.483.670-90"/>
    <s v="Porto Alegre"/>
    <x v="4"/>
    <m/>
    <n v="45699"/>
    <x v="22"/>
  </r>
  <r>
    <x v="1742"/>
    <x v="1"/>
    <x v="3"/>
    <x v="11"/>
    <n v="3042"/>
    <s v="Erick Cardoso"/>
    <s v="54983261737"/>
    <s v="549.832.617-37"/>
    <s v="Santa Catarina"/>
    <x v="9"/>
    <m/>
    <n v="45682"/>
    <x v="39"/>
  </r>
  <r>
    <x v="1743"/>
    <x v="0"/>
    <x v="2"/>
    <x v="4"/>
    <n v="3035"/>
    <s v="Isaac Ferreira"/>
    <s v="439.520.687-56"/>
    <s v="439.520.687-56"/>
    <s v="Porto Alegre"/>
    <x v="4"/>
    <m/>
    <n v="45696"/>
    <x v="26"/>
  </r>
  <r>
    <x v="1744"/>
    <x v="0"/>
    <x v="3"/>
    <x v="10"/>
    <n v="3041"/>
    <s v="Maria Farias"/>
    <s v="934.278.601-40"/>
    <s v="934.278.601-40"/>
    <s v="Petrolina"/>
    <x v="8"/>
    <m/>
    <n v="45743"/>
    <x v="32"/>
  </r>
  <r>
    <x v="1745"/>
    <x v="0"/>
    <x v="1"/>
    <x v="5"/>
    <n v="3036"/>
    <s v="Emanuella Aragão"/>
    <s v="892.160.735-86"/>
    <s v="892.160.735-86"/>
    <s v="Porto Velho"/>
    <x v="5"/>
    <m/>
    <n v="45670"/>
    <x v="3"/>
  </r>
  <r>
    <x v="1746"/>
    <x v="0"/>
    <x v="3"/>
    <x v="3"/>
    <n v="3034"/>
    <s v="Rebeca Rocha"/>
    <s v="38401569710"/>
    <s v="384.015.697-10"/>
    <s v="Salvador"/>
    <x v="3"/>
    <m/>
    <n v="45670"/>
    <x v="17"/>
  </r>
  <r>
    <x v="1747"/>
    <x v="0"/>
    <x v="1"/>
    <x v="5"/>
    <n v="3036"/>
    <s v="Ryan da Luz"/>
    <s v="17032548997"/>
    <s v="170.325.489-97"/>
    <s v="Porto Velho"/>
    <x v="5"/>
    <s v="Sim"/>
    <n v="45719"/>
    <x v="17"/>
  </r>
  <r>
    <x v="1748"/>
    <x v="1"/>
    <x v="0"/>
    <x v="11"/>
    <n v="3042"/>
    <s v="Sra. Isadora Mendes"/>
    <s v="72801645958"/>
    <s v="728.016.459-58"/>
    <s v="Santa Catarina"/>
    <x v="9"/>
    <m/>
    <n v="45713"/>
    <x v="24"/>
  </r>
  <r>
    <x v="1749"/>
    <x v="1"/>
    <x v="3"/>
    <x v="6"/>
    <n v="3037"/>
    <s v="Fernanda Nascimento"/>
    <s v="12340598788"/>
    <s v="123.405.987-88"/>
    <s v="Fortaleza"/>
    <x v="6"/>
    <s v="Sim"/>
    <n v="45668"/>
    <x v="26"/>
  </r>
  <r>
    <x v="1750"/>
    <x v="1"/>
    <x v="1"/>
    <x v="0"/>
    <n v="3031"/>
    <s v="Yago Correia"/>
    <s v="375.692.801-21"/>
    <s v="375.692.801-21"/>
    <s v="Amazonas"/>
    <x v="0"/>
    <s v="Sim"/>
    <n v="45714"/>
    <x v="9"/>
  </r>
  <r>
    <x v="1751"/>
    <x v="0"/>
    <x v="3"/>
    <x v="10"/>
    <n v="3041"/>
    <s v="Dr. Alexandre Pinto"/>
    <s v="13925640770"/>
    <s v="139.256.407-70"/>
    <s v="Petrolina"/>
    <x v="8"/>
    <s v="Sim"/>
    <n v="45725"/>
    <x v="28"/>
  </r>
  <r>
    <x v="1752"/>
    <x v="0"/>
    <x v="3"/>
    <x v="3"/>
    <n v="3034"/>
    <s v="Dr. João Pedro das Neves"/>
    <s v="193.462.078-50"/>
    <s v="193.462.078-50"/>
    <s v="Salvador"/>
    <x v="3"/>
    <s v="Sim"/>
    <n v="45744"/>
    <x v="5"/>
  </r>
  <r>
    <x v="1753"/>
    <x v="0"/>
    <x v="3"/>
    <x v="10"/>
    <n v="3041"/>
    <s v="Diogo Oliveira"/>
    <s v="29061584370"/>
    <s v="290.615.843-70"/>
    <s v="Petrolina"/>
    <x v="8"/>
    <m/>
    <n v="45675"/>
    <x v="28"/>
  </r>
  <r>
    <x v="1754"/>
    <x v="0"/>
    <x v="1"/>
    <x v="9"/>
    <n v="3040"/>
    <s v="Juan da Rocha"/>
    <s v="10495372625"/>
    <s v="104.953.726-25"/>
    <s v="Jericoacara"/>
    <x v="6"/>
    <m/>
    <n v="45733"/>
    <x v="24"/>
  </r>
  <r>
    <x v="1755"/>
    <x v="1"/>
    <x v="0"/>
    <x v="4"/>
    <n v="3035"/>
    <s v="Alice Azevedo"/>
    <s v="85247306929"/>
    <s v="852.473.069-29"/>
    <s v="Porto Alegre"/>
    <x v="4"/>
    <m/>
    <n v="45720"/>
    <x v="4"/>
  </r>
  <r>
    <x v="1756"/>
    <x v="0"/>
    <x v="0"/>
    <x v="7"/>
    <n v="3038"/>
    <s v="Luiza Pires"/>
    <s v="41728069530"/>
    <s v="417.280.695-30"/>
    <s v="Natal"/>
    <x v="7"/>
    <m/>
    <n v="45663"/>
    <x v="12"/>
  </r>
  <r>
    <x v="1757"/>
    <x v="1"/>
    <x v="3"/>
    <x v="0"/>
    <n v="3031"/>
    <s v="Enzo Teixeira"/>
    <s v="50214976343"/>
    <s v="502.149.763-43"/>
    <s v="Amazonas"/>
    <x v="0"/>
    <m/>
    <n v="45690"/>
    <x v="5"/>
  </r>
  <r>
    <x v="1758"/>
    <x v="0"/>
    <x v="3"/>
    <x v="11"/>
    <n v="3042"/>
    <s v="Levi Mendes"/>
    <s v="23814650905"/>
    <s v="238.146.509-05"/>
    <s v="Santa Catarina"/>
    <x v="9"/>
    <m/>
    <n v="45659"/>
    <x v="46"/>
  </r>
  <r>
    <x v="1759"/>
    <x v="0"/>
    <x v="0"/>
    <x v="6"/>
    <n v="3037"/>
    <s v="Isaac Nunes"/>
    <s v="913.806.572-02"/>
    <s v="913.806.572-02"/>
    <s v="Fortaleza"/>
    <x v="6"/>
    <m/>
    <n v="45682"/>
    <x v="26"/>
  </r>
  <r>
    <x v="1760"/>
    <x v="1"/>
    <x v="0"/>
    <x v="4"/>
    <n v="3035"/>
    <s v="Letícia Pires"/>
    <s v="19673208450"/>
    <s v="196.732.084-50"/>
    <s v="Porto Alegre"/>
    <x v="4"/>
    <m/>
    <n v="45671"/>
    <x v="40"/>
  </r>
  <r>
    <x v="1761"/>
    <x v="1"/>
    <x v="1"/>
    <x v="11"/>
    <n v="3042"/>
    <s v="Mariana Monteiro"/>
    <s v="530.129.674-43"/>
    <s v="530.129.674-43"/>
    <s v="Santa Catarina"/>
    <x v="9"/>
    <m/>
    <n v="45745"/>
    <x v="46"/>
  </r>
  <r>
    <x v="1762"/>
    <x v="1"/>
    <x v="0"/>
    <x v="5"/>
    <n v="3036"/>
    <s v="Enzo Ferreira"/>
    <s v="723.018.564-53"/>
    <s v="723.018.564-53"/>
    <s v="Porto Velho"/>
    <x v="5"/>
    <m/>
    <n v="45710"/>
    <x v="13"/>
  </r>
  <r>
    <x v="1763"/>
    <x v="0"/>
    <x v="2"/>
    <x v="10"/>
    <n v="3041"/>
    <s v="Lorenzo Campos"/>
    <s v="90135742897"/>
    <s v="901.357.428-97"/>
    <s v="Petrolina"/>
    <x v="8"/>
    <m/>
    <n v="45686"/>
    <x v="32"/>
  </r>
  <r>
    <x v="1764"/>
    <x v="1"/>
    <x v="1"/>
    <x v="8"/>
    <n v="3039"/>
    <s v="João Lucas Caldeira"/>
    <s v="764.593.012-80"/>
    <s v="764.593.012-80"/>
    <s v="Recife"/>
    <x v="8"/>
    <m/>
    <n v="45689"/>
    <x v="34"/>
  </r>
  <r>
    <x v="1765"/>
    <x v="1"/>
    <x v="1"/>
    <x v="2"/>
    <n v="3033"/>
    <s v="Juan Cavalcanti"/>
    <s v="924.038.175-97"/>
    <s v="924.038.175-97"/>
    <s v="Tocantins"/>
    <x v="2"/>
    <m/>
    <n v="45672"/>
    <x v="6"/>
  </r>
  <r>
    <x v="1766"/>
    <x v="1"/>
    <x v="1"/>
    <x v="9"/>
    <n v="3040"/>
    <s v="Lorena da Conceição"/>
    <s v="58176204994"/>
    <s v="581.762.049-94"/>
    <s v="Jericoacara"/>
    <x v="6"/>
    <m/>
    <n v="45695"/>
    <x v="28"/>
  </r>
  <r>
    <x v="1767"/>
    <x v="1"/>
    <x v="0"/>
    <x v="0"/>
    <n v="3031"/>
    <s v="Sophie Teixeira"/>
    <s v="492.136.850-33"/>
    <s v="492.136.850-33"/>
    <s v="Amazonas"/>
    <x v="0"/>
    <m/>
    <n v="45735"/>
    <x v="3"/>
  </r>
  <r>
    <x v="1768"/>
    <x v="0"/>
    <x v="0"/>
    <x v="4"/>
    <n v="3035"/>
    <s v="Caio Costela"/>
    <s v="19074365884"/>
    <s v="190.743.658-84"/>
    <s v="Porto Alegre"/>
    <x v="4"/>
    <m/>
    <n v="45724"/>
    <x v="26"/>
  </r>
  <r>
    <x v="1769"/>
    <x v="0"/>
    <x v="0"/>
    <x v="7"/>
    <n v="3038"/>
    <s v="Kamilly Barros"/>
    <s v="17063284517"/>
    <s v="170.632.845-17"/>
    <s v="Natal"/>
    <x v="7"/>
    <m/>
    <n v="45716"/>
    <x v="43"/>
  </r>
  <r>
    <x v="1770"/>
    <x v="1"/>
    <x v="2"/>
    <x v="7"/>
    <n v="3038"/>
    <s v="João Gabriel Cavalcanti"/>
    <s v="94518206398"/>
    <s v="945.182.063-98"/>
    <s v="Natal"/>
    <x v="7"/>
    <m/>
    <n v="45674"/>
    <x v="43"/>
  </r>
  <r>
    <x v="1771"/>
    <x v="1"/>
    <x v="1"/>
    <x v="2"/>
    <n v="3033"/>
    <s v="Danilo Sales"/>
    <s v="64318790231"/>
    <s v="643.187.902-31"/>
    <s v="Tocantins"/>
    <x v="2"/>
    <s v="Sim"/>
    <n v="45693"/>
    <x v="8"/>
  </r>
  <r>
    <x v="1772"/>
    <x v="0"/>
    <x v="3"/>
    <x v="6"/>
    <n v="3037"/>
    <s v="Davi Lucas da Conceição"/>
    <s v="162.357.489-73"/>
    <s v="162.357.489-73"/>
    <s v="Fortaleza"/>
    <x v="6"/>
    <m/>
    <n v="45740"/>
    <x v="5"/>
  </r>
  <r>
    <x v="1773"/>
    <x v="0"/>
    <x v="3"/>
    <x v="9"/>
    <n v="3040"/>
    <s v="Diogo Almeida"/>
    <s v="83926570121"/>
    <s v="839.265.701-21"/>
    <s v="Jericoacara"/>
    <x v="6"/>
    <m/>
    <n v="45706"/>
    <x v="16"/>
  </r>
  <r>
    <x v="1774"/>
    <x v="0"/>
    <x v="3"/>
    <x v="10"/>
    <n v="3041"/>
    <s v="Luna Silva"/>
    <s v="95023714888"/>
    <s v="950.237.148-88"/>
    <s v="Petrolina"/>
    <x v="8"/>
    <m/>
    <n v="45717"/>
    <x v="23"/>
  </r>
  <r>
    <x v="1775"/>
    <x v="1"/>
    <x v="1"/>
    <x v="7"/>
    <n v="3038"/>
    <s v="Isis Santos"/>
    <s v="519.873.460-84"/>
    <s v="519.873.460-84"/>
    <s v="Natal"/>
    <x v="7"/>
    <m/>
    <n v="45696"/>
    <x v="21"/>
  </r>
  <r>
    <x v="1776"/>
    <x v="1"/>
    <x v="2"/>
    <x v="9"/>
    <n v="3040"/>
    <s v="Maysa da Rocha"/>
    <s v="256.197.348-46"/>
    <s v="256.197.348-46"/>
    <s v="Jericoacara"/>
    <x v="6"/>
    <m/>
    <n v="45688"/>
    <x v="45"/>
  </r>
  <r>
    <x v="1777"/>
    <x v="0"/>
    <x v="2"/>
    <x v="11"/>
    <n v="3042"/>
    <s v="Davi Lucca Moraes"/>
    <s v="920.376.845-92"/>
    <s v="920.376.845-92"/>
    <s v="Santa Catarina"/>
    <x v="9"/>
    <m/>
    <n v="45671"/>
    <x v="32"/>
  </r>
  <r>
    <x v="1778"/>
    <x v="1"/>
    <x v="2"/>
    <x v="10"/>
    <n v="3041"/>
    <s v="Beatriz Araújo"/>
    <s v="52847061967"/>
    <s v="528.470.619-67"/>
    <s v="Petrolina"/>
    <x v="8"/>
    <m/>
    <n v="45679"/>
    <x v="13"/>
  </r>
  <r>
    <x v="1779"/>
    <x v="0"/>
    <x v="2"/>
    <x v="11"/>
    <n v="3042"/>
    <s v="Davi Lucas Lopes"/>
    <s v="563.718.924-28"/>
    <s v="563.718.924-28"/>
    <s v="Santa Catarina"/>
    <x v="9"/>
    <m/>
    <n v="45674"/>
    <x v="24"/>
  </r>
  <r>
    <x v="1780"/>
    <x v="1"/>
    <x v="1"/>
    <x v="9"/>
    <n v="3040"/>
    <s v="Rebeca Gonçalves"/>
    <s v="206.389.475-29"/>
    <s v="206.389.475-29"/>
    <s v="Jericoacara"/>
    <x v="6"/>
    <m/>
    <n v="45720"/>
    <x v="28"/>
  </r>
  <r>
    <x v="1781"/>
    <x v="1"/>
    <x v="2"/>
    <x v="8"/>
    <n v="3039"/>
    <s v="Maria Clara Mendes"/>
    <s v="138.509.674-84"/>
    <s v="138.509.674-84"/>
    <s v="Recife"/>
    <x v="8"/>
    <m/>
    <n v="45713"/>
    <x v="21"/>
  </r>
  <r>
    <x v="1782"/>
    <x v="0"/>
    <x v="2"/>
    <x v="1"/>
    <n v="3032"/>
    <s v="Clarice da Cruz"/>
    <s v="192.680.543-70"/>
    <s v="192.680.543-70"/>
    <s v="Belém"/>
    <x v="1"/>
    <s v="Sim"/>
    <n v="45730"/>
    <x v="25"/>
  </r>
  <r>
    <x v="1783"/>
    <x v="0"/>
    <x v="2"/>
    <x v="2"/>
    <n v="3033"/>
    <s v="Luiz Gustavo Correia"/>
    <s v="58263497191"/>
    <s v="582.634.971-91"/>
    <s v="Tocantins"/>
    <x v="2"/>
    <m/>
    <n v="45696"/>
    <x v="8"/>
  </r>
  <r>
    <x v="1784"/>
    <x v="0"/>
    <x v="3"/>
    <x v="2"/>
    <n v="3033"/>
    <s v="André Cavalcanti"/>
    <s v="91524708658"/>
    <s v="915.247.086-58"/>
    <s v="Tocantins"/>
    <x v="2"/>
    <m/>
    <n v="45687"/>
    <x v="4"/>
  </r>
  <r>
    <x v="1785"/>
    <x v="0"/>
    <x v="2"/>
    <x v="0"/>
    <n v="3031"/>
    <s v="Renan Almeida"/>
    <s v="062.483.571-53"/>
    <s v="062.483.571-53"/>
    <s v="Amazonas"/>
    <x v="0"/>
    <s v="Sim"/>
    <n v="45681"/>
    <x v="9"/>
  </r>
  <r>
    <x v="1786"/>
    <x v="1"/>
    <x v="2"/>
    <x v="11"/>
    <n v="3042"/>
    <s v="Dr. Yago Nogueira"/>
    <s v="64952037800"/>
    <s v="649.520.378-00"/>
    <s v="Santa Catarina"/>
    <x v="9"/>
    <m/>
    <n v="45679"/>
    <x v="10"/>
  </r>
  <r>
    <x v="1787"/>
    <x v="1"/>
    <x v="2"/>
    <x v="7"/>
    <n v="3038"/>
    <s v="Rafael da Mata"/>
    <s v="12679503821"/>
    <s v="126.795.038-21"/>
    <s v="Natal"/>
    <x v="7"/>
    <m/>
    <n v="45659"/>
    <x v="12"/>
  </r>
  <r>
    <x v="1788"/>
    <x v="0"/>
    <x v="0"/>
    <x v="10"/>
    <n v="3041"/>
    <s v="Ryan Campos"/>
    <s v="042.876.193-31"/>
    <s v="042.876.193-31"/>
    <s v="Petrolina"/>
    <x v="8"/>
    <m/>
    <n v="45729"/>
    <x v="13"/>
  </r>
  <r>
    <x v="1789"/>
    <x v="1"/>
    <x v="2"/>
    <x v="10"/>
    <n v="3041"/>
    <s v="Maitê Correia"/>
    <s v="178.934.250-32"/>
    <s v="178.934.250-32"/>
    <s v="Petrolina"/>
    <x v="8"/>
    <m/>
    <n v="45721"/>
    <x v="13"/>
  </r>
  <r>
    <x v="1790"/>
    <x v="1"/>
    <x v="2"/>
    <x v="5"/>
    <n v="3036"/>
    <s v="Luiz Gustavo da Paz"/>
    <s v="180.793.456-00"/>
    <s v="180.793.456-00"/>
    <s v="Porto Velho"/>
    <x v="5"/>
    <s v="Sim"/>
    <n v="45729"/>
    <x v="17"/>
  </r>
  <r>
    <x v="1791"/>
    <x v="0"/>
    <x v="1"/>
    <x v="2"/>
    <n v="3033"/>
    <s v="Dra. Bárbara Almeida"/>
    <s v="095.176.284-20"/>
    <s v="095.176.284-20"/>
    <s v="Tocantins"/>
    <x v="2"/>
    <m/>
    <n v="45676"/>
    <x v="7"/>
  </r>
  <r>
    <x v="1792"/>
    <x v="0"/>
    <x v="2"/>
    <x v="5"/>
    <n v="3036"/>
    <s v="Alexandre Martins"/>
    <s v="05271486958"/>
    <s v="052.714.869-58"/>
    <s v="Porto Velho"/>
    <x v="5"/>
    <m/>
    <n v="45692"/>
    <x v="3"/>
  </r>
  <r>
    <x v="1793"/>
    <x v="1"/>
    <x v="1"/>
    <x v="7"/>
    <n v="3038"/>
    <s v="Olivia da Cruz"/>
    <s v="620.735.491-52"/>
    <s v="620.735.491-52"/>
    <s v="Natal"/>
    <x v="7"/>
    <s v="Sim"/>
    <n v="45731"/>
    <x v="8"/>
  </r>
  <r>
    <x v="1794"/>
    <x v="0"/>
    <x v="0"/>
    <x v="5"/>
    <n v="3036"/>
    <s v="Elisa Dias"/>
    <s v="283.645.790-29"/>
    <s v="283.645.790-29"/>
    <s v="Porto Velho"/>
    <x v="5"/>
    <m/>
    <n v="45678"/>
    <x v="27"/>
  </r>
  <r>
    <x v="1795"/>
    <x v="1"/>
    <x v="2"/>
    <x v="9"/>
    <n v="3040"/>
    <s v="Júlia Cardoso"/>
    <s v="85194376219"/>
    <s v="851.943.762-19"/>
    <s v="Jericoacara"/>
    <x v="6"/>
    <m/>
    <n v="45668"/>
    <x v="24"/>
  </r>
  <r>
    <x v="1796"/>
    <x v="0"/>
    <x v="2"/>
    <x v="5"/>
    <n v="3036"/>
    <s v="Leandro Vieira"/>
    <s v="41078596220"/>
    <s v="410.785.962-20"/>
    <s v="Porto Velho"/>
    <x v="5"/>
    <s v="Sim"/>
    <n v="45727"/>
    <x v="3"/>
  </r>
  <r>
    <x v="1797"/>
    <x v="0"/>
    <x v="0"/>
    <x v="1"/>
    <n v="3032"/>
    <s v="Brenda Castro"/>
    <s v="89321706577"/>
    <s v="893.217.065-77"/>
    <s v="Belém"/>
    <x v="1"/>
    <m/>
    <n v="45689"/>
    <x v="18"/>
  </r>
  <r>
    <x v="1798"/>
    <x v="0"/>
    <x v="2"/>
    <x v="1"/>
    <n v="3032"/>
    <s v="Dra. Pietra Aragão"/>
    <s v="67830592195"/>
    <s v="678.305.921-95"/>
    <s v="Belém"/>
    <x v="1"/>
    <m/>
    <n v="45738"/>
    <x v="1"/>
  </r>
  <r>
    <x v="1799"/>
    <x v="1"/>
    <x v="0"/>
    <x v="4"/>
    <n v="3035"/>
    <s v="Bárbara Almeida"/>
    <s v="89165270401"/>
    <s v="891.652.704-01"/>
    <s v="Porto Alegre"/>
    <x v="4"/>
    <m/>
    <n v="45703"/>
    <x v="26"/>
  </r>
  <r>
    <x v="1800"/>
    <x v="1"/>
    <x v="2"/>
    <x v="5"/>
    <n v="3036"/>
    <s v="Laura Oliveira"/>
    <s v="17924386564"/>
    <s v="179.243.865-64"/>
    <s v="Porto Velho"/>
    <x v="5"/>
    <m/>
    <n v="45691"/>
    <x v="13"/>
  </r>
  <r>
    <x v="1801"/>
    <x v="1"/>
    <x v="1"/>
    <x v="11"/>
    <n v="3042"/>
    <s v="Luna da Luz"/>
    <s v="026.387.491-50"/>
    <s v="026.387.491-50"/>
    <s v="Santa Catarina"/>
    <x v="9"/>
    <m/>
    <n v="45713"/>
    <x v="24"/>
  </r>
  <r>
    <x v="1802"/>
    <x v="1"/>
    <x v="3"/>
    <x v="1"/>
    <n v="3032"/>
    <s v="Daniel Martins"/>
    <s v="73496518219"/>
    <s v="734.965.182-19"/>
    <s v="Belém"/>
    <x v="1"/>
    <m/>
    <n v="45679"/>
    <x v="15"/>
  </r>
  <r>
    <x v="1803"/>
    <x v="1"/>
    <x v="3"/>
    <x v="10"/>
    <n v="3041"/>
    <s v="Emanuelly Pinto"/>
    <s v="07418596294"/>
    <s v="074.185.962-94"/>
    <s v="Petrolina"/>
    <x v="8"/>
    <m/>
    <n v="45718"/>
    <x v="42"/>
  </r>
  <r>
    <x v="1804"/>
    <x v="1"/>
    <x v="2"/>
    <x v="7"/>
    <n v="3038"/>
    <s v="Bianca Oliveira"/>
    <s v="64193857093"/>
    <s v="641.938.570-93"/>
    <s v="Natal"/>
    <x v="7"/>
    <m/>
    <n v="45712"/>
    <x v="34"/>
  </r>
  <r>
    <x v="1805"/>
    <x v="1"/>
    <x v="2"/>
    <x v="0"/>
    <n v="3031"/>
    <s v="Marcos Vinicius Ramos"/>
    <s v="47982651364"/>
    <s v="479.826.513-64"/>
    <s v="Amazonas"/>
    <x v="0"/>
    <m/>
    <n v="45665"/>
    <x v="5"/>
  </r>
  <r>
    <x v="1806"/>
    <x v="1"/>
    <x v="2"/>
    <x v="4"/>
    <n v="3035"/>
    <s v="Caroline Santos"/>
    <s v="416.382.795-19"/>
    <s v="416.382.795-19"/>
    <s v="Porto Alegre"/>
    <x v="4"/>
    <m/>
    <n v="45678"/>
    <x v="22"/>
  </r>
  <r>
    <x v="1807"/>
    <x v="1"/>
    <x v="3"/>
    <x v="2"/>
    <n v="3033"/>
    <s v="Sabrina Teixeira"/>
    <s v="816.245.097-11"/>
    <s v="816.245.097-11"/>
    <s v="Tocantins"/>
    <x v="2"/>
    <m/>
    <n v="45688"/>
    <x v="8"/>
  </r>
  <r>
    <x v="1808"/>
    <x v="1"/>
    <x v="1"/>
    <x v="0"/>
    <n v="3031"/>
    <s v="Otávio da Cunha"/>
    <s v="86021743571"/>
    <s v="860.217.435-71"/>
    <s v="Amazonas"/>
    <x v="0"/>
    <s v="Sim"/>
    <n v="45671"/>
    <x v="26"/>
  </r>
  <r>
    <x v="1809"/>
    <x v="1"/>
    <x v="2"/>
    <x v="6"/>
    <n v="3037"/>
    <s v="Amanda Novaes"/>
    <s v="640.781.235-62"/>
    <s v="640.781.235-62"/>
    <s v="Fortaleza"/>
    <x v="6"/>
    <m/>
    <n v="45692"/>
    <x v="5"/>
  </r>
  <r>
    <x v="1810"/>
    <x v="1"/>
    <x v="1"/>
    <x v="2"/>
    <n v="3033"/>
    <s v="Ana Lívia das Neves"/>
    <s v="083.659.217-40"/>
    <s v="083.659.217-40"/>
    <s v="Tocantins"/>
    <x v="2"/>
    <s v="Sim"/>
    <n v="45722"/>
    <x v="7"/>
  </r>
  <r>
    <x v="1811"/>
    <x v="1"/>
    <x v="1"/>
    <x v="5"/>
    <n v="3036"/>
    <s v="Maria Clara Duarte"/>
    <s v="97465021820"/>
    <s v="974.650.218-20"/>
    <s v="Porto Velho"/>
    <x v="5"/>
    <m/>
    <n v="45659"/>
    <x v="17"/>
  </r>
  <r>
    <x v="1812"/>
    <x v="0"/>
    <x v="3"/>
    <x v="11"/>
    <n v="3042"/>
    <s v="Levi Moura"/>
    <s v="098.172.346-22"/>
    <s v="098.172.346-22"/>
    <s v="Santa Catarina"/>
    <x v="9"/>
    <m/>
    <n v="45667"/>
    <x v="24"/>
  </r>
  <r>
    <x v="1813"/>
    <x v="0"/>
    <x v="3"/>
    <x v="9"/>
    <n v="3040"/>
    <s v="Stephany Moraes"/>
    <s v="305.928.764-38"/>
    <s v="305.928.764-38"/>
    <s v="Jericoacara"/>
    <x v="6"/>
    <m/>
    <n v="45738"/>
    <x v="28"/>
  </r>
  <r>
    <x v="1814"/>
    <x v="1"/>
    <x v="1"/>
    <x v="6"/>
    <n v="3037"/>
    <s v="Maria Cecília Gonçalves"/>
    <s v="67043892104"/>
    <s v="670.438.921-04"/>
    <s v="Fortaleza"/>
    <x v="6"/>
    <m/>
    <n v="45673"/>
    <x v="26"/>
  </r>
  <r>
    <x v="1815"/>
    <x v="0"/>
    <x v="1"/>
    <x v="9"/>
    <n v="3040"/>
    <s v="Melissa Azevedo"/>
    <s v="01372946896"/>
    <s v="013.729.468-96"/>
    <s v="Jericoacara"/>
    <x v="6"/>
    <m/>
    <n v="45686"/>
    <x v="20"/>
  </r>
  <r>
    <x v="1816"/>
    <x v="1"/>
    <x v="0"/>
    <x v="2"/>
    <n v="3033"/>
    <s v="Fernando Costela"/>
    <s v="90632574143"/>
    <s v="906.325.741-43"/>
    <s v="Tocantins"/>
    <x v="2"/>
    <s v="Sim"/>
    <n v="45737"/>
    <x v="4"/>
  </r>
  <r>
    <x v="1817"/>
    <x v="0"/>
    <x v="2"/>
    <x v="6"/>
    <n v="3037"/>
    <s v="Sr. Heitor Azevedo"/>
    <s v="62807531903"/>
    <s v="628.075.319-03"/>
    <s v="Fortaleza"/>
    <x v="6"/>
    <m/>
    <n v="45688"/>
    <x v="26"/>
  </r>
  <r>
    <x v="1818"/>
    <x v="1"/>
    <x v="1"/>
    <x v="5"/>
    <n v="3036"/>
    <s v="Stella da Luz"/>
    <s v="291.408.753-50"/>
    <s v="291.408.753-50"/>
    <s v="Porto Velho"/>
    <x v="5"/>
    <s v="Sim"/>
    <n v="45700"/>
    <x v="3"/>
  </r>
  <r>
    <x v="1819"/>
    <x v="1"/>
    <x v="1"/>
    <x v="7"/>
    <n v="3038"/>
    <s v="Francisco Sales"/>
    <s v="476.298.510-49"/>
    <s v="476.298.510-49"/>
    <s v="Natal"/>
    <x v="7"/>
    <s v="Sim"/>
    <n v="45716"/>
    <x v="21"/>
  </r>
  <r>
    <x v="1820"/>
    <x v="1"/>
    <x v="0"/>
    <x v="11"/>
    <n v="3042"/>
    <s v="Giovanna da Cunha"/>
    <s v="13820754997"/>
    <s v="138.207.549-97"/>
    <s v="Santa Catarina"/>
    <x v="9"/>
    <m/>
    <n v="45690"/>
    <x v="37"/>
  </r>
  <r>
    <x v="1821"/>
    <x v="1"/>
    <x v="0"/>
    <x v="7"/>
    <n v="3038"/>
    <s v="Sra. Clara Cavalcanti"/>
    <s v="20851369740"/>
    <s v="208.513.697-40"/>
    <s v="Natal"/>
    <x v="7"/>
    <m/>
    <n v="45666"/>
    <x v="12"/>
  </r>
  <r>
    <x v="1822"/>
    <x v="1"/>
    <x v="3"/>
    <x v="7"/>
    <n v="3038"/>
    <s v="Theo Ribeiro"/>
    <s v="327.916.840-69"/>
    <s v="327.916.840-69"/>
    <s v="Natal"/>
    <x v="7"/>
    <m/>
    <n v="45717"/>
    <x v="12"/>
  </r>
  <r>
    <x v="1823"/>
    <x v="0"/>
    <x v="2"/>
    <x v="8"/>
    <n v="3039"/>
    <s v="Dr. Theo Martins"/>
    <s v="852.147.693-00"/>
    <s v="852.147.693-00"/>
    <s v="Recife"/>
    <x v="8"/>
    <m/>
    <n v="45671"/>
    <x v="8"/>
  </r>
  <r>
    <x v="1824"/>
    <x v="0"/>
    <x v="3"/>
    <x v="9"/>
    <n v="3040"/>
    <s v="Joaquim Barros"/>
    <s v="80524961360"/>
    <s v="805.249.613-60"/>
    <s v="Jericoacara"/>
    <x v="6"/>
    <m/>
    <n v="45687"/>
    <x v="24"/>
  </r>
  <r>
    <x v="1825"/>
    <x v="1"/>
    <x v="2"/>
    <x v="6"/>
    <n v="3037"/>
    <s v="Lucas Dias"/>
    <s v="539.612.847-09"/>
    <s v="539.612.847-09"/>
    <s v="Fortaleza"/>
    <x v="6"/>
    <m/>
    <n v="45668"/>
    <x v="5"/>
  </r>
  <r>
    <x v="1826"/>
    <x v="0"/>
    <x v="0"/>
    <x v="10"/>
    <n v="3041"/>
    <s v="Ana Vitória Moraes"/>
    <s v="94712560380"/>
    <s v="947.125.603-80"/>
    <s v="Petrolina"/>
    <x v="8"/>
    <s v="Sim"/>
    <n v="45680"/>
    <x v="32"/>
  </r>
  <r>
    <x v="1827"/>
    <x v="1"/>
    <x v="1"/>
    <x v="9"/>
    <n v="3040"/>
    <s v="Maitê Teixeira"/>
    <s v="03894176296"/>
    <s v="038.941.762-96"/>
    <s v="Jericoacara"/>
    <x v="6"/>
    <m/>
    <n v="45724"/>
    <x v="16"/>
  </r>
  <r>
    <x v="1828"/>
    <x v="0"/>
    <x v="1"/>
    <x v="6"/>
    <n v="3037"/>
    <s v="Erick Silveira"/>
    <s v="92604318750"/>
    <s v="926.043.187-50"/>
    <s v="Fortaleza"/>
    <x v="6"/>
    <m/>
    <n v="45692"/>
    <x v="26"/>
  </r>
  <r>
    <x v="1829"/>
    <x v="0"/>
    <x v="1"/>
    <x v="1"/>
    <n v="3032"/>
    <s v="Lucca Viana"/>
    <s v="73024815988"/>
    <s v="730.248.159-88"/>
    <s v="Belém"/>
    <x v="1"/>
    <m/>
    <n v="45688"/>
    <x v="44"/>
  </r>
  <r>
    <x v="1830"/>
    <x v="1"/>
    <x v="2"/>
    <x v="4"/>
    <n v="3035"/>
    <s v="Cauã Pires"/>
    <s v="46587123007"/>
    <s v="465.871.230-07"/>
    <s v="Porto Alegre"/>
    <x v="4"/>
    <m/>
    <n v="45704"/>
    <x v="26"/>
  </r>
  <r>
    <x v="1831"/>
    <x v="1"/>
    <x v="0"/>
    <x v="1"/>
    <n v="3032"/>
    <s v="Ana Beatriz Castro"/>
    <s v="815.376.942-19"/>
    <s v="815.376.942-19"/>
    <s v="Belém"/>
    <x v="1"/>
    <m/>
    <n v="45742"/>
    <x v="38"/>
  </r>
  <r>
    <x v="1832"/>
    <x v="1"/>
    <x v="3"/>
    <x v="6"/>
    <n v="3037"/>
    <s v="Luna Carvalho"/>
    <s v="796.143.085-75"/>
    <s v="796.143.085-75"/>
    <s v="Fortaleza"/>
    <x v="6"/>
    <s v="Sim"/>
    <n v="45678"/>
    <x v="24"/>
  </r>
  <r>
    <x v="1833"/>
    <x v="1"/>
    <x v="2"/>
    <x v="8"/>
    <n v="3039"/>
    <s v="Beatriz Fernandes"/>
    <s v="694.207.583-38"/>
    <s v="694.207.583-38"/>
    <s v="Recife"/>
    <x v="8"/>
    <s v="Sim"/>
    <n v="45668"/>
    <x v="21"/>
  </r>
  <r>
    <x v="1834"/>
    <x v="0"/>
    <x v="1"/>
    <x v="11"/>
    <n v="3042"/>
    <s v="Luiz Otávio Vieira"/>
    <s v="57340612807"/>
    <s v="573.406.128-07"/>
    <s v="Santa Catarina"/>
    <x v="9"/>
    <s v="Sim"/>
    <n v="45673"/>
    <x v="46"/>
  </r>
  <r>
    <x v="1835"/>
    <x v="0"/>
    <x v="1"/>
    <x v="9"/>
    <n v="3040"/>
    <s v="Thales Cardoso"/>
    <s v="86421935737"/>
    <s v="864.219.357-37"/>
    <s v="Jericoacara"/>
    <x v="6"/>
    <m/>
    <n v="45718"/>
    <x v="24"/>
  </r>
  <r>
    <x v="1836"/>
    <x v="1"/>
    <x v="0"/>
    <x v="1"/>
    <n v="3032"/>
    <s v="Mariana Ramos"/>
    <s v="957.142.368-82"/>
    <s v="957.142.368-82"/>
    <s v="Belém"/>
    <x v="1"/>
    <m/>
    <n v="45731"/>
    <x v="15"/>
  </r>
  <r>
    <x v="1837"/>
    <x v="0"/>
    <x v="1"/>
    <x v="3"/>
    <n v="3034"/>
    <s v="Ana Silveira"/>
    <s v="10298347504"/>
    <s v="102.983.475-04"/>
    <s v="Salvador"/>
    <x v="3"/>
    <s v="Sim"/>
    <n v="45737"/>
    <x v="5"/>
  </r>
  <r>
    <x v="1838"/>
    <x v="1"/>
    <x v="0"/>
    <x v="7"/>
    <n v="3038"/>
    <s v="Heitor Souza"/>
    <s v="837.096.251-30"/>
    <s v="837.096.251-30"/>
    <s v="Natal"/>
    <x v="7"/>
    <m/>
    <n v="45746"/>
    <x v="34"/>
  </r>
  <r>
    <x v="1839"/>
    <x v="0"/>
    <x v="0"/>
    <x v="9"/>
    <n v="3040"/>
    <s v="Isaac Castro"/>
    <s v="436.819.720-87"/>
    <s v="436.819.720-87"/>
    <s v="Jericoacara"/>
    <x v="6"/>
    <m/>
    <n v="45666"/>
    <x v="45"/>
  </r>
  <r>
    <x v="1840"/>
    <x v="1"/>
    <x v="1"/>
    <x v="9"/>
    <n v="3040"/>
    <s v="Thiago da Rosa"/>
    <s v="03568497247"/>
    <s v="035.684.972-47"/>
    <s v="Jericoacara"/>
    <x v="6"/>
    <s v="Sim"/>
    <n v="45717"/>
    <x v="29"/>
  </r>
  <r>
    <x v="1841"/>
    <x v="0"/>
    <x v="1"/>
    <x v="8"/>
    <n v="3039"/>
    <s v="Maria Alice Cardoso"/>
    <s v="45067918357"/>
    <s v="450.679.183-57"/>
    <s v="Recife"/>
    <x v="8"/>
    <m/>
    <n v="45703"/>
    <x v="8"/>
  </r>
  <r>
    <x v="1842"/>
    <x v="0"/>
    <x v="0"/>
    <x v="5"/>
    <n v="3036"/>
    <s v="Ana Beatriz Moura"/>
    <s v="526.341.970-80"/>
    <s v="526.341.970-80"/>
    <s v="Porto Velho"/>
    <x v="5"/>
    <m/>
    <n v="45718"/>
    <x v="3"/>
  </r>
  <r>
    <x v="1843"/>
    <x v="1"/>
    <x v="1"/>
    <x v="0"/>
    <n v="3031"/>
    <s v="Gabrielly Santos"/>
    <s v="80759216312"/>
    <s v="807.592.163-12"/>
    <s v="Amazonas"/>
    <x v="0"/>
    <s v="Sim"/>
    <n v="45659"/>
    <x v="9"/>
  </r>
  <r>
    <x v="1844"/>
    <x v="1"/>
    <x v="1"/>
    <x v="6"/>
    <n v="3037"/>
    <s v="Dra. Ana Vitória Costa"/>
    <s v="931.074.528-23"/>
    <s v="931.074.528-23"/>
    <s v="Fortaleza"/>
    <x v="6"/>
    <m/>
    <n v="45687"/>
    <x v="19"/>
  </r>
  <r>
    <x v="1845"/>
    <x v="0"/>
    <x v="3"/>
    <x v="9"/>
    <n v="3040"/>
    <s v="Pedro Lopes"/>
    <s v="513.970.428-50"/>
    <s v="513.970.428-50"/>
    <s v="Jericoacara"/>
    <x v="6"/>
    <m/>
    <n v="45738"/>
    <x v="20"/>
  </r>
  <r>
    <x v="1846"/>
    <x v="1"/>
    <x v="2"/>
    <x v="8"/>
    <n v="3039"/>
    <s v="Yasmin Castro"/>
    <s v="810.267.934-40"/>
    <s v="810.267.934-40"/>
    <s v="Recife"/>
    <x v="8"/>
    <m/>
    <n v="45727"/>
    <x v="14"/>
  </r>
  <r>
    <x v="1847"/>
    <x v="1"/>
    <x v="3"/>
    <x v="7"/>
    <n v="3038"/>
    <s v="Cecília Nunes"/>
    <s v="15793864075"/>
    <s v="157.938.640-75"/>
    <s v="Natal"/>
    <x v="7"/>
    <m/>
    <n v="45679"/>
    <x v="12"/>
  </r>
  <r>
    <x v="1848"/>
    <x v="1"/>
    <x v="0"/>
    <x v="9"/>
    <n v="3040"/>
    <s v="Sra. Maitê Nunes"/>
    <s v="93821406704"/>
    <s v="938.214.067-04"/>
    <s v="Jericoacara"/>
    <x v="6"/>
    <s v="Sim"/>
    <n v="45718"/>
    <x v="28"/>
  </r>
  <r>
    <x v="1849"/>
    <x v="1"/>
    <x v="0"/>
    <x v="6"/>
    <n v="3037"/>
    <s v="Dr. Vitor Gabriel Pinto"/>
    <s v="15438902704"/>
    <s v="154.389.027-04"/>
    <s v="Fortaleza"/>
    <x v="6"/>
    <m/>
    <n v="45741"/>
    <x v="5"/>
  </r>
  <r>
    <x v="1850"/>
    <x v="1"/>
    <x v="1"/>
    <x v="7"/>
    <n v="3038"/>
    <s v="Isis Duarte"/>
    <s v="97286041576"/>
    <s v="972.860.415-76"/>
    <s v="Natal"/>
    <x v="7"/>
    <s v="Sim"/>
    <n v="45681"/>
    <x v="34"/>
  </r>
  <r>
    <x v="1851"/>
    <x v="0"/>
    <x v="3"/>
    <x v="8"/>
    <n v="3039"/>
    <s v="Nicole Barbosa"/>
    <s v="28376150995"/>
    <s v="283.761.509-95"/>
    <s v="Recife"/>
    <x v="8"/>
    <m/>
    <n v="45710"/>
    <x v="16"/>
  </r>
  <r>
    <x v="1852"/>
    <x v="0"/>
    <x v="0"/>
    <x v="8"/>
    <n v="3039"/>
    <s v="Kamilly Nascimento"/>
    <s v="60512984794"/>
    <s v="605.129.847-94"/>
    <s v="Recife"/>
    <x v="8"/>
    <m/>
    <n v="45682"/>
    <x v="21"/>
  </r>
  <r>
    <x v="1853"/>
    <x v="1"/>
    <x v="1"/>
    <x v="6"/>
    <n v="3037"/>
    <s v="Thales Oliveira"/>
    <s v="109.453.268-15"/>
    <s v="109.453.268-15"/>
    <s v="Fortaleza"/>
    <x v="6"/>
    <s v="Sim"/>
    <n v="45690"/>
    <x v="24"/>
  </r>
  <r>
    <x v="1854"/>
    <x v="0"/>
    <x v="1"/>
    <x v="6"/>
    <n v="3037"/>
    <s v="Maysa Jesus"/>
    <s v="64027519876"/>
    <s v="640.275.198-76"/>
    <s v="Fortaleza"/>
    <x v="6"/>
    <s v="Sim"/>
    <n v="45671"/>
    <x v="10"/>
  </r>
  <r>
    <x v="1855"/>
    <x v="0"/>
    <x v="2"/>
    <x v="7"/>
    <n v="3038"/>
    <s v="Clara Alves"/>
    <s v="427.316.580-53"/>
    <s v="427.316.580-53"/>
    <s v="Natal"/>
    <x v="7"/>
    <m/>
    <n v="45683"/>
    <x v="30"/>
  </r>
  <r>
    <x v="1856"/>
    <x v="1"/>
    <x v="2"/>
    <x v="0"/>
    <n v="3031"/>
    <s v="Emanuella Fogaça"/>
    <s v="71342805607"/>
    <s v="713.428.056-07"/>
    <s v="Amazonas"/>
    <x v="0"/>
    <s v="Sim"/>
    <n v="45713"/>
    <x v="3"/>
  </r>
  <r>
    <x v="1857"/>
    <x v="0"/>
    <x v="3"/>
    <x v="3"/>
    <n v="3034"/>
    <s v="Kaique Sales"/>
    <s v="640.815.239-24"/>
    <s v="640.815.239-24"/>
    <s v="Salvador"/>
    <x v="3"/>
    <m/>
    <n v="45732"/>
    <x v="5"/>
  </r>
  <r>
    <x v="1858"/>
    <x v="0"/>
    <x v="1"/>
    <x v="7"/>
    <n v="3038"/>
    <s v="Ian Monteiro"/>
    <s v="135.478.960-10"/>
    <s v="135.478.960-10"/>
    <s v="Natal"/>
    <x v="7"/>
    <s v="Sim"/>
    <n v="45702"/>
    <x v="31"/>
  </r>
  <r>
    <x v="1859"/>
    <x v="1"/>
    <x v="1"/>
    <x v="9"/>
    <n v="3040"/>
    <s v="Eduardo Aragão"/>
    <s v="68190324551"/>
    <s v="681.903.245-51"/>
    <s v="Jericoacara"/>
    <x v="6"/>
    <m/>
    <n v="45677"/>
    <x v="16"/>
  </r>
  <r>
    <x v="1860"/>
    <x v="0"/>
    <x v="3"/>
    <x v="3"/>
    <n v="3034"/>
    <s v="Emanuel Santos"/>
    <s v="81794352619"/>
    <s v="817.943.526-19"/>
    <s v="Salvador"/>
    <x v="3"/>
    <m/>
    <n v="45707"/>
    <x v="11"/>
  </r>
  <r>
    <x v="1861"/>
    <x v="1"/>
    <x v="3"/>
    <x v="3"/>
    <n v="3034"/>
    <s v="Thomas Dias"/>
    <s v="364.895.017-75"/>
    <s v="364.895.017-75"/>
    <s v="Salvador"/>
    <x v="3"/>
    <s v="Sim"/>
    <n v="45680"/>
    <x v="17"/>
  </r>
  <r>
    <x v="1862"/>
    <x v="1"/>
    <x v="2"/>
    <x v="6"/>
    <n v="3037"/>
    <s v="Srta. Maria Alves"/>
    <s v="915.843.072-50"/>
    <s v="915.843.072-50"/>
    <s v="Fortaleza"/>
    <x v="6"/>
    <s v="Sim"/>
    <n v="45696"/>
    <x v="19"/>
  </r>
  <r>
    <x v="1863"/>
    <x v="0"/>
    <x v="3"/>
    <x v="2"/>
    <n v="3033"/>
    <s v="João Felipe Ferreira"/>
    <s v="204.851.769-20"/>
    <s v="204.851.769-20"/>
    <s v="Tocantins"/>
    <x v="2"/>
    <m/>
    <n v="45728"/>
    <x v="4"/>
  </r>
  <r>
    <x v="1864"/>
    <x v="1"/>
    <x v="0"/>
    <x v="7"/>
    <n v="3038"/>
    <s v="Isabella Porto"/>
    <s v="72086943113"/>
    <s v="720.869.431-13"/>
    <s v="Natal"/>
    <x v="7"/>
    <s v="Sim"/>
    <n v="45724"/>
    <x v="43"/>
  </r>
  <r>
    <x v="1865"/>
    <x v="1"/>
    <x v="0"/>
    <x v="7"/>
    <n v="3038"/>
    <s v="Rafaela Fogaça"/>
    <s v="13276908450"/>
    <s v="132.769.084-50"/>
    <s v="Natal"/>
    <x v="7"/>
    <m/>
    <n v="45727"/>
    <x v="31"/>
  </r>
  <r>
    <x v="1866"/>
    <x v="0"/>
    <x v="1"/>
    <x v="11"/>
    <n v="3042"/>
    <s v="Gabriela Castro"/>
    <s v="29473056125"/>
    <s v="294.730.561-25"/>
    <s v="Santa Catarina"/>
    <x v="9"/>
    <m/>
    <n v="45682"/>
    <x v="10"/>
  </r>
  <r>
    <x v="1867"/>
    <x v="1"/>
    <x v="1"/>
    <x v="0"/>
    <n v="3031"/>
    <s v="Júlia da Rocha"/>
    <s v="29503816777"/>
    <s v="295.038.167-77"/>
    <s v="Amazonas"/>
    <x v="0"/>
    <m/>
    <n v="45659"/>
    <x v="0"/>
  </r>
  <r>
    <x v="1868"/>
    <x v="0"/>
    <x v="3"/>
    <x v="11"/>
    <n v="3042"/>
    <s v="Ryan da Rosa"/>
    <s v="26104583989"/>
    <s v="261.045.839-89"/>
    <s v="Santa Catarina"/>
    <x v="9"/>
    <m/>
    <n v="45687"/>
    <x v="39"/>
  </r>
  <r>
    <x v="1869"/>
    <x v="1"/>
    <x v="3"/>
    <x v="4"/>
    <n v="3035"/>
    <s v="Marcela Pinto"/>
    <s v="163.078.925-95"/>
    <s v="163.078.925-95"/>
    <s v="Porto Alegre"/>
    <x v="4"/>
    <s v="Sim"/>
    <n v="45701"/>
    <x v="26"/>
  </r>
  <r>
    <x v="1870"/>
    <x v="1"/>
    <x v="0"/>
    <x v="2"/>
    <n v="3033"/>
    <s v="Dra. Bárbara Caldeira"/>
    <s v="208.491.367-50"/>
    <s v="208.491.367-50"/>
    <s v="Tocantins"/>
    <x v="2"/>
    <s v="Sim"/>
    <n v="45664"/>
    <x v="6"/>
  </r>
  <r>
    <x v="1871"/>
    <x v="0"/>
    <x v="2"/>
    <x v="2"/>
    <n v="3033"/>
    <s v="Isabelly da Paz"/>
    <s v="680.723.451-17"/>
    <s v="680.723.451-17"/>
    <s v="Tocantins"/>
    <x v="2"/>
    <m/>
    <n v="45660"/>
    <x v="7"/>
  </r>
  <r>
    <x v="1872"/>
    <x v="1"/>
    <x v="2"/>
    <x v="0"/>
    <n v="3031"/>
    <s v="Caio Sales"/>
    <s v="32564071961"/>
    <s v="325.640.719-61"/>
    <s v="Amazonas"/>
    <x v="0"/>
    <m/>
    <n v="45717"/>
    <x v="9"/>
  </r>
  <r>
    <x v="1873"/>
    <x v="1"/>
    <x v="0"/>
    <x v="7"/>
    <n v="3038"/>
    <s v="Ana Laura da Mota"/>
    <s v="07219568312"/>
    <s v="072.195.683-12"/>
    <s v="Natal"/>
    <x v="7"/>
    <m/>
    <n v="45712"/>
    <x v="12"/>
  </r>
  <r>
    <x v="1874"/>
    <x v="0"/>
    <x v="0"/>
    <x v="3"/>
    <n v="3034"/>
    <s v="Vinicius Silva"/>
    <s v="71638509484"/>
    <s v="716.385.094-84"/>
    <s v="Salvador"/>
    <x v="3"/>
    <s v="Sim"/>
    <n v="45688"/>
    <x v="23"/>
  </r>
  <r>
    <x v="1875"/>
    <x v="0"/>
    <x v="1"/>
    <x v="6"/>
    <n v="3037"/>
    <s v="Sra. Sofia Oliveira"/>
    <s v="179.486.053-39"/>
    <s v="179.486.053-39"/>
    <s v="Fortaleza"/>
    <x v="6"/>
    <m/>
    <n v="45702"/>
    <x v="10"/>
  </r>
  <r>
    <x v="1876"/>
    <x v="1"/>
    <x v="1"/>
    <x v="6"/>
    <n v="3037"/>
    <s v="Henrique Farias"/>
    <s v="60291748350"/>
    <s v="602.917.483-50"/>
    <s v="Fortaleza"/>
    <x v="6"/>
    <s v="Sim"/>
    <n v="45693"/>
    <x v="10"/>
  </r>
  <r>
    <x v="1877"/>
    <x v="1"/>
    <x v="2"/>
    <x v="9"/>
    <n v="3040"/>
    <s v="Bryan Novaes"/>
    <s v="02516489315"/>
    <s v="025.164.893-15"/>
    <s v="Jericoacara"/>
    <x v="6"/>
    <m/>
    <n v="45729"/>
    <x v="16"/>
  </r>
  <r>
    <x v="1878"/>
    <x v="0"/>
    <x v="0"/>
    <x v="10"/>
    <n v="3041"/>
    <s v="Sabrina Aragão"/>
    <s v="948.536.170-00"/>
    <s v="948.536.170-00"/>
    <s v="Petrolina"/>
    <x v="8"/>
    <m/>
    <n v="45678"/>
    <x v="28"/>
  </r>
  <r>
    <x v="1879"/>
    <x v="1"/>
    <x v="2"/>
    <x v="10"/>
    <n v="3041"/>
    <s v="Carolina Peixoto"/>
    <s v="591.763.408-48"/>
    <s v="591.763.408-48"/>
    <s v="Petrolina"/>
    <x v="8"/>
    <s v="Sim"/>
    <n v="45716"/>
    <x v="35"/>
  </r>
  <r>
    <x v="1880"/>
    <x v="0"/>
    <x v="1"/>
    <x v="5"/>
    <n v="3036"/>
    <s v="Thiago Araújo"/>
    <s v="24567980158"/>
    <s v="245.679.801-58"/>
    <s v="Porto Velho"/>
    <x v="5"/>
    <s v="Sim"/>
    <n v="45661"/>
    <x v="17"/>
  </r>
  <r>
    <x v="1881"/>
    <x v="1"/>
    <x v="2"/>
    <x v="7"/>
    <n v="3038"/>
    <s v="Calebe Cavalcanti"/>
    <s v="915.460.832-51"/>
    <s v="915.460.832-51"/>
    <s v="Natal"/>
    <x v="7"/>
    <m/>
    <n v="45731"/>
    <x v="12"/>
  </r>
  <r>
    <x v="1882"/>
    <x v="1"/>
    <x v="2"/>
    <x v="1"/>
    <n v="3032"/>
    <s v="Sra. Sabrina Teixeira"/>
    <s v="647.839.502-29"/>
    <s v="647.839.502-29"/>
    <s v="Belém"/>
    <x v="1"/>
    <m/>
    <n v="45703"/>
    <x v="38"/>
  </r>
  <r>
    <x v="1883"/>
    <x v="1"/>
    <x v="0"/>
    <x v="3"/>
    <n v="3034"/>
    <s v="Ana Carolina Alves"/>
    <s v="89423607500"/>
    <s v="894.236.075-00"/>
    <s v="Salvador"/>
    <x v="3"/>
    <m/>
    <n v="45700"/>
    <x v="23"/>
  </r>
  <r>
    <x v="1884"/>
    <x v="1"/>
    <x v="1"/>
    <x v="11"/>
    <n v="3042"/>
    <s v="Maria Eduarda Carvalho"/>
    <s v="910.324.876-31"/>
    <s v="910.324.876-31"/>
    <s v="Santa Catarina"/>
    <x v="9"/>
    <m/>
    <n v="45687"/>
    <x v="39"/>
  </r>
  <r>
    <x v="1885"/>
    <x v="0"/>
    <x v="2"/>
    <x v="11"/>
    <n v="3042"/>
    <s v="Benjamin Nunes"/>
    <s v="98374156066"/>
    <s v="983.741.560-66"/>
    <s v="Santa Catarina"/>
    <x v="9"/>
    <m/>
    <n v="45685"/>
    <x v="46"/>
  </r>
  <r>
    <x v="1886"/>
    <x v="0"/>
    <x v="3"/>
    <x v="7"/>
    <n v="3038"/>
    <s v="Emanuelly Silva"/>
    <s v="64708193548"/>
    <s v="647.081.935-48"/>
    <s v="Natal"/>
    <x v="7"/>
    <m/>
    <n v="45688"/>
    <x v="12"/>
  </r>
  <r>
    <x v="1887"/>
    <x v="1"/>
    <x v="1"/>
    <x v="4"/>
    <n v="3035"/>
    <s v="Leandro da Mata"/>
    <s v="20981537677"/>
    <s v="209.815.376-77"/>
    <s v="Porto Alegre"/>
    <x v="4"/>
    <m/>
    <n v="45742"/>
    <x v="8"/>
  </r>
  <r>
    <x v="1888"/>
    <x v="1"/>
    <x v="0"/>
    <x v="7"/>
    <n v="3038"/>
    <s v="João Gabriel Melo"/>
    <s v="038.965.421-33"/>
    <s v="038.965.421-33"/>
    <s v="Natal"/>
    <x v="7"/>
    <s v="Sim"/>
    <n v="45682"/>
    <x v="8"/>
  </r>
  <r>
    <x v="1889"/>
    <x v="0"/>
    <x v="3"/>
    <x v="5"/>
    <n v="3036"/>
    <s v="Vinicius Nunes"/>
    <s v="731.405.689-75"/>
    <s v="731.405.689-75"/>
    <s v="Porto Velho"/>
    <x v="5"/>
    <m/>
    <n v="45669"/>
    <x v="13"/>
  </r>
  <r>
    <x v="1890"/>
    <x v="0"/>
    <x v="1"/>
    <x v="7"/>
    <n v="3038"/>
    <s v="Yasmin Almeida"/>
    <s v="01645879348"/>
    <s v="016.458.793-48"/>
    <s v="Natal"/>
    <x v="7"/>
    <m/>
    <n v="45677"/>
    <x v="8"/>
  </r>
  <r>
    <x v="1891"/>
    <x v="0"/>
    <x v="3"/>
    <x v="5"/>
    <n v="3036"/>
    <s v="Sarah Teixeira"/>
    <s v="97038421514"/>
    <s v="970.384.215-14"/>
    <s v="Porto Velho"/>
    <x v="5"/>
    <s v="Sim"/>
    <n v="45740"/>
    <x v="17"/>
  </r>
  <r>
    <x v="1892"/>
    <x v="1"/>
    <x v="2"/>
    <x v="9"/>
    <n v="3040"/>
    <s v="Lara Rocha"/>
    <s v="463.085.279-47"/>
    <s v="463.085.279-47"/>
    <s v="Jericoacara"/>
    <x v="6"/>
    <m/>
    <n v="45682"/>
    <x v="45"/>
  </r>
  <r>
    <x v="1893"/>
    <x v="1"/>
    <x v="0"/>
    <x v="0"/>
    <n v="3031"/>
    <s v="Ana Vitória Castro"/>
    <s v="371.046.258-44"/>
    <s v="371.046.258-44"/>
    <s v="Amazonas"/>
    <x v="0"/>
    <m/>
    <n v="45725"/>
    <x v="0"/>
  </r>
  <r>
    <x v="1894"/>
    <x v="1"/>
    <x v="3"/>
    <x v="4"/>
    <n v="3035"/>
    <s v="Isaac Santos"/>
    <s v="249.017.635-80"/>
    <s v="249.017.635-80"/>
    <s v="Porto Alegre"/>
    <x v="4"/>
    <s v="Sim"/>
    <n v="45677"/>
    <x v="4"/>
  </r>
  <r>
    <x v="1895"/>
    <x v="0"/>
    <x v="1"/>
    <x v="4"/>
    <n v="3035"/>
    <s v="Sr. Guilherme Oliveira"/>
    <s v="60723491534"/>
    <s v="607.234.915-34"/>
    <s v="Porto Alegre"/>
    <x v="4"/>
    <m/>
    <n v="45741"/>
    <x v="8"/>
  </r>
  <r>
    <x v="1896"/>
    <x v="0"/>
    <x v="0"/>
    <x v="11"/>
    <n v="3042"/>
    <s v="Larissa Pires"/>
    <s v="20184793696"/>
    <s v="201.847.936-96"/>
    <s v="Santa Catarina"/>
    <x v="9"/>
    <s v="Sim"/>
    <n v="45736"/>
    <x v="46"/>
  </r>
  <r>
    <x v="1897"/>
    <x v="0"/>
    <x v="1"/>
    <x v="2"/>
    <n v="3033"/>
    <s v="Thales Viana"/>
    <s v="182.956.374-28"/>
    <s v="182.956.374-28"/>
    <s v="Tocantins"/>
    <x v="2"/>
    <m/>
    <n v="45658"/>
    <x v="8"/>
  </r>
  <r>
    <x v="1898"/>
    <x v="1"/>
    <x v="1"/>
    <x v="9"/>
    <n v="3040"/>
    <s v="João Vitor da Conceição"/>
    <s v="08549326151"/>
    <s v="085.493.261-51"/>
    <s v="Jericoacara"/>
    <x v="6"/>
    <m/>
    <n v="45745"/>
    <x v="45"/>
  </r>
  <r>
    <x v="1899"/>
    <x v="1"/>
    <x v="3"/>
    <x v="10"/>
    <n v="3041"/>
    <s v="Lucas Gabriel Dias"/>
    <s v="53621974016"/>
    <s v="536.219.740-16"/>
    <s v="Petrolina"/>
    <x v="8"/>
    <m/>
    <n v="45658"/>
    <x v="35"/>
  </r>
  <r>
    <x v="1900"/>
    <x v="1"/>
    <x v="3"/>
    <x v="11"/>
    <n v="3042"/>
    <s v="Bryan da Cruz"/>
    <s v="912.457.063-06"/>
    <s v="912.457.063-06"/>
    <s v="Santa Catarina"/>
    <x v="9"/>
    <s v="Sim"/>
    <n v="45724"/>
    <x v="24"/>
  </r>
  <r>
    <x v="1901"/>
    <x v="1"/>
    <x v="3"/>
    <x v="4"/>
    <n v="3035"/>
    <s v="Ana Clara da Luz"/>
    <s v="590.283.746-47"/>
    <s v="590.283.746-47"/>
    <s v="Porto Alegre"/>
    <x v="4"/>
    <s v="Sim"/>
    <n v="45703"/>
    <x v="4"/>
  </r>
  <r>
    <x v="1902"/>
    <x v="1"/>
    <x v="3"/>
    <x v="4"/>
    <n v="3035"/>
    <s v="Camila das Neves"/>
    <s v="04639587210"/>
    <s v="046.395.872-10"/>
    <s v="Porto Alegre"/>
    <x v="4"/>
    <m/>
    <n v="45708"/>
    <x v="4"/>
  </r>
  <r>
    <x v="1903"/>
    <x v="1"/>
    <x v="0"/>
    <x v="8"/>
    <n v="3039"/>
    <s v="Lorenzo Carvalho"/>
    <s v="01286439515"/>
    <s v="012.864.395-15"/>
    <s v="Recife"/>
    <x v="8"/>
    <m/>
    <n v="45666"/>
    <x v="21"/>
  </r>
  <r>
    <x v="1904"/>
    <x v="0"/>
    <x v="2"/>
    <x v="1"/>
    <n v="3032"/>
    <s v="Antônio Ferreira"/>
    <s v="850.396.417-10"/>
    <s v="850.396.417-10"/>
    <s v="Belém"/>
    <x v="1"/>
    <m/>
    <n v="45737"/>
    <x v="1"/>
  </r>
  <r>
    <x v="1905"/>
    <x v="0"/>
    <x v="2"/>
    <x v="0"/>
    <n v="3031"/>
    <s v="Sra. Gabriela Nascimento"/>
    <s v="042.135.678-26"/>
    <s v="042.135.678-26"/>
    <s v="Amazonas"/>
    <x v="0"/>
    <m/>
    <n v="45695"/>
    <x v="5"/>
  </r>
  <r>
    <x v="1906"/>
    <x v="1"/>
    <x v="0"/>
    <x v="8"/>
    <n v="3039"/>
    <s v="Calebe Carvalho"/>
    <s v="53028164744"/>
    <s v="530.281.647-44"/>
    <s v="Recife"/>
    <x v="8"/>
    <m/>
    <n v="45683"/>
    <x v="34"/>
  </r>
  <r>
    <x v="1907"/>
    <x v="1"/>
    <x v="1"/>
    <x v="0"/>
    <n v="3031"/>
    <s v="João Felipe Peixoto"/>
    <s v="176.495.203-07"/>
    <s v="176.495.203-07"/>
    <s v="Amazonas"/>
    <x v="0"/>
    <m/>
    <n v="45738"/>
    <x v="36"/>
  </r>
  <r>
    <x v="1908"/>
    <x v="0"/>
    <x v="1"/>
    <x v="11"/>
    <n v="3042"/>
    <s v="Natália da Mata"/>
    <s v="670.435.912-52"/>
    <s v="670.435.912-52"/>
    <s v="Santa Catarina"/>
    <x v="9"/>
    <m/>
    <n v="45672"/>
    <x v="37"/>
  </r>
  <r>
    <x v="1909"/>
    <x v="0"/>
    <x v="0"/>
    <x v="10"/>
    <n v="3041"/>
    <s v="Guilherme Cardoso"/>
    <s v="97684325191"/>
    <s v="976.843.251-91"/>
    <s v="Petrolina"/>
    <x v="8"/>
    <m/>
    <n v="45703"/>
    <x v="42"/>
  </r>
  <r>
    <x v="1910"/>
    <x v="0"/>
    <x v="1"/>
    <x v="10"/>
    <n v="3041"/>
    <s v="Ana Júlia da Cruz"/>
    <s v="903.285.741-04"/>
    <s v="903.285.741-04"/>
    <s v="Petrolina"/>
    <x v="8"/>
    <m/>
    <n v="45706"/>
    <x v="23"/>
  </r>
  <r>
    <x v="1911"/>
    <x v="1"/>
    <x v="1"/>
    <x v="4"/>
    <n v="3035"/>
    <s v="Luana Jesus"/>
    <s v="293.861.504-33"/>
    <s v="293.861.504-33"/>
    <s v="Porto Alegre"/>
    <x v="4"/>
    <m/>
    <n v="45728"/>
    <x v="8"/>
  </r>
  <r>
    <x v="1912"/>
    <x v="1"/>
    <x v="2"/>
    <x v="11"/>
    <n v="3042"/>
    <s v="Sarah Nascimento"/>
    <s v="82170936440"/>
    <s v="821.709.364-40"/>
    <s v="Santa Catarina"/>
    <x v="9"/>
    <m/>
    <n v="45673"/>
    <x v="37"/>
  </r>
  <r>
    <x v="1913"/>
    <x v="1"/>
    <x v="1"/>
    <x v="4"/>
    <n v="3035"/>
    <s v="Dr. Murilo da Luz"/>
    <s v="064.829.731-40"/>
    <s v="064.829.731-40"/>
    <s v="Porto Alegre"/>
    <x v="4"/>
    <s v="Sim"/>
    <n v="45733"/>
    <x v="22"/>
  </r>
  <r>
    <x v="1914"/>
    <x v="0"/>
    <x v="1"/>
    <x v="1"/>
    <n v="3032"/>
    <s v="Marcelo Vieira"/>
    <s v="182.390.645-15"/>
    <s v="182.390.645-15"/>
    <s v="Belém"/>
    <x v="1"/>
    <s v="Sim"/>
    <n v="45679"/>
    <x v="25"/>
  </r>
  <r>
    <x v="1915"/>
    <x v="1"/>
    <x v="3"/>
    <x v="5"/>
    <n v="3036"/>
    <s v="Dr. Luiz Fernando Santos"/>
    <s v="21473608996"/>
    <s v="214.736.089-96"/>
    <s v="Porto Velho"/>
    <x v="5"/>
    <m/>
    <n v="45683"/>
    <x v="27"/>
  </r>
  <r>
    <x v="1916"/>
    <x v="0"/>
    <x v="3"/>
    <x v="6"/>
    <n v="3037"/>
    <s v="João Felipe Castro"/>
    <s v="102.897.465-58"/>
    <s v="102.897.465-58"/>
    <s v="Fortaleza"/>
    <x v="6"/>
    <m/>
    <n v="45665"/>
    <x v="10"/>
  </r>
  <r>
    <x v="1917"/>
    <x v="1"/>
    <x v="0"/>
    <x v="7"/>
    <n v="3038"/>
    <s v="Srta. Elisa Araújo"/>
    <s v="16024537808"/>
    <s v="160.245.378-08"/>
    <s v="Natal"/>
    <x v="7"/>
    <s v="Sim"/>
    <n v="45706"/>
    <x v="43"/>
  </r>
  <r>
    <x v="1918"/>
    <x v="1"/>
    <x v="0"/>
    <x v="9"/>
    <n v="3040"/>
    <s v="Caio Santos"/>
    <s v="60819754366"/>
    <s v="608.197.543-66"/>
    <s v="Jericoacara"/>
    <x v="6"/>
    <m/>
    <n v="45711"/>
    <x v="29"/>
  </r>
  <r>
    <x v="1919"/>
    <x v="1"/>
    <x v="0"/>
    <x v="5"/>
    <n v="3036"/>
    <s v="Mariane Barros"/>
    <s v="19406827549"/>
    <s v="194.068.275-49"/>
    <s v="Porto Velho"/>
    <x v="5"/>
    <m/>
    <n v="45681"/>
    <x v="3"/>
  </r>
  <r>
    <x v="1920"/>
    <x v="0"/>
    <x v="1"/>
    <x v="8"/>
    <n v="3039"/>
    <s v="Vitor Gabriel Sales"/>
    <s v="17605834993"/>
    <s v="176.058.349-93"/>
    <s v="Recife"/>
    <x v="8"/>
    <s v="Sim"/>
    <n v="45724"/>
    <x v="48"/>
  </r>
  <r>
    <x v="1921"/>
    <x v="0"/>
    <x v="0"/>
    <x v="3"/>
    <n v="3034"/>
    <s v="Dra. Sophia Barros"/>
    <s v="841.952.367-46"/>
    <s v="841.952.367-46"/>
    <s v="Salvador"/>
    <x v="3"/>
    <m/>
    <n v="45742"/>
    <x v="11"/>
  </r>
  <r>
    <x v="1922"/>
    <x v="1"/>
    <x v="0"/>
    <x v="6"/>
    <n v="3037"/>
    <s v="Sr. Pedro Lucas Costa"/>
    <s v="137.296.540-80"/>
    <s v="137.296.540-80"/>
    <s v="Fortaleza"/>
    <x v="6"/>
    <m/>
    <n v="45660"/>
    <x v="24"/>
  </r>
  <r>
    <x v="1923"/>
    <x v="1"/>
    <x v="1"/>
    <x v="11"/>
    <n v="3042"/>
    <s v="Bárbara Souza"/>
    <s v="780.316.924-40"/>
    <s v="780.316.924-40"/>
    <s v="Santa Catarina"/>
    <x v="9"/>
    <m/>
    <n v="45703"/>
    <x v="39"/>
  </r>
  <r>
    <x v="1924"/>
    <x v="0"/>
    <x v="1"/>
    <x v="3"/>
    <n v="3034"/>
    <s v="Kaique Cavalcanti"/>
    <s v="60194378250"/>
    <s v="601.943.782-50"/>
    <s v="Salvador"/>
    <x v="3"/>
    <s v="Sim"/>
    <n v="45723"/>
    <x v="22"/>
  </r>
  <r>
    <x v="1925"/>
    <x v="0"/>
    <x v="1"/>
    <x v="2"/>
    <n v="3033"/>
    <s v="Sophie Nogueira"/>
    <s v="47860913240"/>
    <s v="478.609.132-40"/>
    <s v="Tocantins"/>
    <x v="2"/>
    <m/>
    <n v="45739"/>
    <x v="4"/>
  </r>
  <r>
    <x v="1926"/>
    <x v="1"/>
    <x v="2"/>
    <x v="1"/>
    <n v="3032"/>
    <s v="Augusto Porto"/>
    <s v="68107294530"/>
    <s v="681.072.945-30"/>
    <s v="Belém"/>
    <x v="1"/>
    <s v="Sim"/>
    <n v="45734"/>
    <x v="41"/>
  </r>
  <r>
    <x v="1927"/>
    <x v="1"/>
    <x v="1"/>
    <x v="5"/>
    <n v="3036"/>
    <s v="Dr. Luiz Fernando Azevedo"/>
    <s v="024.581.793-04"/>
    <s v="024.581.793-04"/>
    <s v="Porto Velho"/>
    <x v="5"/>
    <m/>
    <n v="45676"/>
    <x v="13"/>
  </r>
  <r>
    <x v="1928"/>
    <x v="1"/>
    <x v="3"/>
    <x v="9"/>
    <n v="3040"/>
    <s v="Cauã Novaes"/>
    <s v="906.453.217-61"/>
    <s v="906.453.217-61"/>
    <s v="Jericoacara"/>
    <x v="6"/>
    <m/>
    <n v="45696"/>
    <x v="20"/>
  </r>
  <r>
    <x v="1929"/>
    <x v="1"/>
    <x v="3"/>
    <x v="1"/>
    <n v="3032"/>
    <s v="Lorena Aragão"/>
    <s v="675.034.981-10"/>
    <s v="675.034.981-10"/>
    <s v="Belém"/>
    <x v="1"/>
    <m/>
    <n v="45725"/>
    <x v="18"/>
  </r>
  <r>
    <x v="1930"/>
    <x v="1"/>
    <x v="2"/>
    <x v="0"/>
    <n v="3031"/>
    <s v="Srta. Ana Laura Martins"/>
    <s v="016.283.945-60"/>
    <s v="016.283.945-60"/>
    <s v="Amazonas"/>
    <x v="0"/>
    <m/>
    <n v="45658"/>
    <x v="13"/>
  </r>
  <r>
    <x v="1931"/>
    <x v="0"/>
    <x v="0"/>
    <x v="8"/>
    <n v="3039"/>
    <s v="Eduardo Moreira"/>
    <s v="08461257901"/>
    <s v="084.612.579-01"/>
    <s v="Recife"/>
    <x v="8"/>
    <s v="Sim"/>
    <n v="45718"/>
    <x v="42"/>
  </r>
  <r>
    <x v="1932"/>
    <x v="1"/>
    <x v="2"/>
    <x v="9"/>
    <n v="3040"/>
    <s v="Clarice Cunha"/>
    <s v="489.701.536-75"/>
    <s v="489.701.536-75"/>
    <s v="Jericoacara"/>
    <x v="6"/>
    <m/>
    <n v="45746"/>
    <x v="24"/>
  </r>
  <r>
    <x v="1933"/>
    <x v="1"/>
    <x v="3"/>
    <x v="6"/>
    <n v="3037"/>
    <s v="Vicente Pereira"/>
    <s v="910.287.543-88"/>
    <s v="910.287.543-88"/>
    <s v="Fortaleza"/>
    <x v="6"/>
    <m/>
    <n v="45746"/>
    <x v="5"/>
  </r>
  <r>
    <x v="1934"/>
    <x v="0"/>
    <x v="3"/>
    <x v="3"/>
    <n v="3034"/>
    <s v="João Miguel Ribeiro"/>
    <s v="58692310433"/>
    <s v="586.923.104-33"/>
    <s v="Salvador"/>
    <x v="3"/>
    <s v="Sim"/>
    <n v="45680"/>
    <x v="5"/>
  </r>
  <r>
    <x v="1935"/>
    <x v="1"/>
    <x v="1"/>
    <x v="7"/>
    <n v="3038"/>
    <s v="Marcos Vinicius Carvalho"/>
    <s v="105.862.394-05"/>
    <s v="105.862.394-05"/>
    <s v="Natal"/>
    <x v="7"/>
    <m/>
    <n v="45732"/>
    <x v="21"/>
  </r>
  <r>
    <x v="1936"/>
    <x v="0"/>
    <x v="0"/>
    <x v="2"/>
    <n v="3033"/>
    <s v="Luigi Santos"/>
    <s v="96123784013"/>
    <s v="961.237.840-13"/>
    <s v="Tocantins"/>
    <x v="2"/>
    <s v="Sim"/>
    <n v="45671"/>
    <x v="4"/>
  </r>
  <r>
    <x v="1937"/>
    <x v="0"/>
    <x v="0"/>
    <x v="7"/>
    <n v="3038"/>
    <s v="Stella Cardoso"/>
    <s v="79560142399"/>
    <s v="795.601.423-99"/>
    <s v="Natal"/>
    <x v="7"/>
    <m/>
    <n v="45732"/>
    <x v="21"/>
  </r>
  <r>
    <x v="1938"/>
    <x v="1"/>
    <x v="3"/>
    <x v="9"/>
    <n v="3040"/>
    <s v="Luna Santos"/>
    <s v="15829306786"/>
    <s v="158.293.067-86"/>
    <s v="Jericoacara"/>
    <x v="6"/>
    <s v="Sim"/>
    <n v="45673"/>
    <x v="29"/>
  </r>
  <r>
    <x v="1939"/>
    <x v="0"/>
    <x v="0"/>
    <x v="10"/>
    <n v="3041"/>
    <s v="Thomas Nogueira"/>
    <s v="02468351762"/>
    <s v="024.683.517-62"/>
    <s v="Petrolina"/>
    <x v="8"/>
    <s v="Sim"/>
    <n v="45733"/>
    <x v="42"/>
  </r>
  <r>
    <x v="1940"/>
    <x v="1"/>
    <x v="3"/>
    <x v="8"/>
    <n v="3039"/>
    <s v="Letícia da Conceição"/>
    <s v="051.398.642-15"/>
    <s v="051.398.642-15"/>
    <s v="Recife"/>
    <x v="8"/>
    <m/>
    <n v="45738"/>
    <x v="48"/>
  </r>
  <r>
    <x v="1941"/>
    <x v="0"/>
    <x v="0"/>
    <x v="6"/>
    <n v="3037"/>
    <s v="Letícia Costa"/>
    <s v="564.893.170-01"/>
    <s v="564.893.170-01"/>
    <s v="Fortaleza"/>
    <x v="6"/>
    <m/>
    <n v="45679"/>
    <x v="26"/>
  </r>
  <r>
    <x v="1942"/>
    <x v="1"/>
    <x v="0"/>
    <x v="3"/>
    <n v="3034"/>
    <s v="Luigi Lopes"/>
    <s v="430.618.275-44"/>
    <s v="430.618.275-44"/>
    <s v="Salvador"/>
    <x v="3"/>
    <m/>
    <n v="45706"/>
    <x v="11"/>
  </r>
  <r>
    <x v="1943"/>
    <x v="1"/>
    <x v="1"/>
    <x v="5"/>
    <n v="3036"/>
    <s v="Dr. Raul da Mata"/>
    <s v="602.417.953-70"/>
    <s v="602.417.953-70"/>
    <s v="Porto Velho"/>
    <x v="5"/>
    <m/>
    <n v="45672"/>
    <x v="3"/>
  </r>
  <r>
    <x v="1944"/>
    <x v="1"/>
    <x v="2"/>
    <x v="3"/>
    <n v="3034"/>
    <s v="Carolina Silveira"/>
    <s v="407.362.185-80"/>
    <s v="407.362.185-80"/>
    <s v="Salvador"/>
    <x v="3"/>
    <m/>
    <n v="45721"/>
    <x v="11"/>
  </r>
  <r>
    <x v="1945"/>
    <x v="1"/>
    <x v="2"/>
    <x v="7"/>
    <n v="3038"/>
    <s v="Nina da Rocha"/>
    <s v="27165890467"/>
    <s v="271.658.904-67"/>
    <s v="Natal"/>
    <x v="7"/>
    <s v="Sim"/>
    <n v="45704"/>
    <x v="12"/>
  </r>
  <r>
    <x v="1946"/>
    <x v="0"/>
    <x v="2"/>
    <x v="0"/>
    <n v="3031"/>
    <s v="Olivia Cunha"/>
    <s v="52347698010"/>
    <s v="523.476.980-10"/>
    <s v="Amazonas"/>
    <x v="0"/>
    <m/>
    <n v="45697"/>
    <x v="26"/>
  </r>
  <r>
    <x v="1947"/>
    <x v="0"/>
    <x v="1"/>
    <x v="8"/>
    <n v="3039"/>
    <s v="Olivia Araújo"/>
    <s v="48695170357"/>
    <s v="486.951.703-57"/>
    <s v="Recife"/>
    <x v="8"/>
    <m/>
    <n v="45733"/>
    <x v="34"/>
  </r>
  <r>
    <x v="1948"/>
    <x v="1"/>
    <x v="3"/>
    <x v="6"/>
    <n v="3037"/>
    <s v="Sr. Francisco Almeida"/>
    <s v="502.314.678-26"/>
    <s v="502.314.678-26"/>
    <s v="Fortaleza"/>
    <x v="6"/>
    <m/>
    <n v="45745"/>
    <x v="10"/>
  </r>
  <r>
    <x v="1949"/>
    <x v="1"/>
    <x v="0"/>
    <x v="0"/>
    <n v="3031"/>
    <s v="Dr. Kevin Fernandes"/>
    <s v="05386271903"/>
    <s v="053.862.719-03"/>
    <s v="Amazonas"/>
    <x v="0"/>
    <m/>
    <n v="45729"/>
    <x v="13"/>
  </r>
  <r>
    <x v="1950"/>
    <x v="1"/>
    <x v="3"/>
    <x v="8"/>
    <n v="3039"/>
    <s v="Lívia Rezende"/>
    <s v="75821306426"/>
    <s v="758.213.064-26"/>
    <s v="Recife"/>
    <x v="8"/>
    <s v="Sim"/>
    <n v="45681"/>
    <x v="21"/>
  </r>
  <r>
    <x v="1951"/>
    <x v="1"/>
    <x v="0"/>
    <x v="5"/>
    <n v="3036"/>
    <s v="Emanuella da Conceição"/>
    <s v="273.681.590-40"/>
    <s v="273.681.590-40"/>
    <s v="Porto Velho"/>
    <x v="5"/>
    <s v="Sim"/>
    <n v="45675"/>
    <x v="17"/>
  </r>
  <r>
    <x v="1952"/>
    <x v="0"/>
    <x v="1"/>
    <x v="10"/>
    <n v="3041"/>
    <s v="Thales da Luz"/>
    <s v="297.065.318-40"/>
    <s v="297.065.318-40"/>
    <s v="Petrolina"/>
    <x v="8"/>
    <s v="Sim"/>
    <n v="45699"/>
    <x v="28"/>
  </r>
  <r>
    <x v="1953"/>
    <x v="1"/>
    <x v="3"/>
    <x v="4"/>
    <n v="3035"/>
    <s v="Ana Vitória Rodrigues"/>
    <s v="16207958411"/>
    <s v="162.079.584-11"/>
    <s v="Porto Alegre"/>
    <x v="4"/>
    <m/>
    <n v="45684"/>
    <x v="40"/>
  </r>
  <r>
    <x v="1954"/>
    <x v="1"/>
    <x v="0"/>
    <x v="7"/>
    <n v="3038"/>
    <s v="Juliana Vieira"/>
    <s v="30518974260"/>
    <s v="305.189.742-60"/>
    <s v="Natal"/>
    <x v="7"/>
    <s v="Sim"/>
    <n v="45676"/>
    <x v="21"/>
  </r>
  <r>
    <x v="1955"/>
    <x v="1"/>
    <x v="1"/>
    <x v="1"/>
    <n v="3032"/>
    <s v="Diego Oliveira"/>
    <s v="980.721.345-23"/>
    <s v="980.721.345-23"/>
    <s v="Belém"/>
    <x v="1"/>
    <m/>
    <n v="45738"/>
    <x v="23"/>
  </r>
  <r>
    <x v="1956"/>
    <x v="0"/>
    <x v="1"/>
    <x v="0"/>
    <n v="3031"/>
    <s v="Benício Pereira"/>
    <s v="801.369.745-20"/>
    <s v="801.369.745-20"/>
    <s v="Amazonas"/>
    <x v="0"/>
    <s v="Sim"/>
    <n v="45676"/>
    <x v="36"/>
  </r>
  <r>
    <x v="1957"/>
    <x v="0"/>
    <x v="1"/>
    <x v="1"/>
    <n v="3032"/>
    <s v="Stephany Barbosa"/>
    <s v="508.241.973-05"/>
    <s v="508.241.973-05"/>
    <s v="Belém"/>
    <x v="1"/>
    <s v="Sim"/>
    <n v="45739"/>
    <x v="38"/>
  </r>
  <r>
    <x v="1958"/>
    <x v="0"/>
    <x v="2"/>
    <x v="8"/>
    <n v="3039"/>
    <s v="Carolina Fernandes"/>
    <s v="463.807.129-50"/>
    <s v="463.807.129-50"/>
    <s v="Recife"/>
    <x v="8"/>
    <m/>
    <n v="45733"/>
    <x v="34"/>
  </r>
  <r>
    <x v="1959"/>
    <x v="1"/>
    <x v="3"/>
    <x v="3"/>
    <n v="3034"/>
    <s v="Larissa Duarte"/>
    <s v="803.497.215-05"/>
    <s v="803.497.215-05"/>
    <s v="Salvador"/>
    <x v="3"/>
    <m/>
    <n v="45673"/>
    <x v="22"/>
  </r>
  <r>
    <x v="1960"/>
    <x v="0"/>
    <x v="3"/>
    <x v="8"/>
    <n v="3039"/>
    <s v="Dr. Calebe das Neves"/>
    <s v="93285160721"/>
    <s v="932.851.607-21"/>
    <s v="Recife"/>
    <x v="8"/>
    <m/>
    <n v="45673"/>
    <x v="14"/>
  </r>
  <r>
    <x v="1961"/>
    <x v="1"/>
    <x v="1"/>
    <x v="10"/>
    <n v="3041"/>
    <s v="Ana Vitória Nogueira"/>
    <s v="35024978188"/>
    <s v="350.249.781-88"/>
    <s v="Petrolina"/>
    <x v="8"/>
    <m/>
    <n v="45727"/>
    <x v="35"/>
  </r>
  <r>
    <x v="1962"/>
    <x v="0"/>
    <x v="2"/>
    <x v="0"/>
    <n v="3031"/>
    <s v="Lavínia Novaes"/>
    <s v="52761489020"/>
    <s v="527.614.890-20"/>
    <s v="Amazonas"/>
    <x v="0"/>
    <m/>
    <n v="45715"/>
    <x v="5"/>
  </r>
  <r>
    <x v="1963"/>
    <x v="1"/>
    <x v="1"/>
    <x v="1"/>
    <n v="3032"/>
    <s v="Emanuella Moura"/>
    <s v="079.463.281-50"/>
    <s v="079.463.281-50"/>
    <s v="Belém"/>
    <x v="1"/>
    <m/>
    <n v="45730"/>
    <x v="23"/>
  </r>
  <r>
    <x v="1964"/>
    <x v="0"/>
    <x v="2"/>
    <x v="7"/>
    <n v="3038"/>
    <s v="Isabelly Oliveira"/>
    <s v="02947518667"/>
    <s v="029.475.186-67"/>
    <s v="Natal"/>
    <x v="7"/>
    <m/>
    <n v="45674"/>
    <x v="43"/>
  </r>
  <r>
    <x v="1965"/>
    <x v="1"/>
    <x v="0"/>
    <x v="2"/>
    <n v="3033"/>
    <s v="Vitor Cardoso"/>
    <s v="54380267938"/>
    <s v="543.802.679-38"/>
    <s v="Tocantins"/>
    <x v="2"/>
    <s v="Sim"/>
    <n v="45714"/>
    <x v="2"/>
  </r>
  <r>
    <x v="1966"/>
    <x v="0"/>
    <x v="0"/>
    <x v="11"/>
    <n v="3042"/>
    <s v="Davi da Cruz"/>
    <s v="53816094775"/>
    <s v="538.160.947-75"/>
    <s v="Santa Catarina"/>
    <x v="9"/>
    <m/>
    <n v="45664"/>
    <x v="24"/>
  </r>
  <r>
    <x v="1967"/>
    <x v="0"/>
    <x v="0"/>
    <x v="10"/>
    <n v="3041"/>
    <s v="Davi Lucas Moura"/>
    <s v="59074128360"/>
    <s v="590.741.283-60"/>
    <s v="Petrolina"/>
    <x v="8"/>
    <m/>
    <n v="45735"/>
    <x v="32"/>
  </r>
  <r>
    <x v="1968"/>
    <x v="0"/>
    <x v="2"/>
    <x v="10"/>
    <n v="3041"/>
    <s v="Dra. Alícia das Neves"/>
    <s v="68451790267"/>
    <s v="684.517.902-67"/>
    <s v="Petrolina"/>
    <x v="8"/>
    <s v="Sim"/>
    <n v="45742"/>
    <x v="23"/>
  </r>
  <r>
    <x v="1969"/>
    <x v="1"/>
    <x v="2"/>
    <x v="2"/>
    <n v="3033"/>
    <s v="Gustavo Farias"/>
    <s v="62910457370"/>
    <s v="629.104.573-70"/>
    <s v="Tocantins"/>
    <x v="2"/>
    <s v="Sim"/>
    <n v="45669"/>
    <x v="2"/>
  </r>
  <r>
    <x v="1970"/>
    <x v="0"/>
    <x v="3"/>
    <x v="11"/>
    <n v="3042"/>
    <s v="Yuri Fogaça"/>
    <s v="412.903.768-40"/>
    <s v="412.903.768-40"/>
    <s v="Santa Catarina"/>
    <x v="9"/>
    <s v="Sim"/>
    <n v="45688"/>
    <x v="39"/>
  </r>
  <r>
    <x v="1971"/>
    <x v="1"/>
    <x v="0"/>
    <x v="2"/>
    <n v="3033"/>
    <s v="Maria Vitória Cunha"/>
    <s v="01283569442"/>
    <s v="012.835.694-42"/>
    <s v="Tocantins"/>
    <x v="2"/>
    <m/>
    <n v="45702"/>
    <x v="7"/>
  </r>
  <r>
    <x v="1972"/>
    <x v="0"/>
    <x v="3"/>
    <x v="4"/>
    <n v="3035"/>
    <s v="Nicolas Moura"/>
    <s v="42103785690"/>
    <s v="421.037.856-90"/>
    <s v="Porto Alegre"/>
    <x v="4"/>
    <m/>
    <n v="45712"/>
    <x v="40"/>
  </r>
  <r>
    <x v="1973"/>
    <x v="1"/>
    <x v="0"/>
    <x v="0"/>
    <n v="3031"/>
    <s v="Levi Mendes"/>
    <s v="912.835.074-04"/>
    <s v="912.835.074-04"/>
    <s v="Amazonas"/>
    <x v="0"/>
    <m/>
    <n v="45667"/>
    <x v="13"/>
  </r>
  <r>
    <x v="1974"/>
    <x v="1"/>
    <x v="2"/>
    <x v="6"/>
    <n v="3037"/>
    <s v="Isadora Dias"/>
    <s v="62978350121"/>
    <s v="629.783.501-21"/>
    <s v="Fortaleza"/>
    <x v="6"/>
    <m/>
    <n v="45682"/>
    <x v="19"/>
  </r>
  <r>
    <x v="1975"/>
    <x v="1"/>
    <x v="0"/>
    <x v="10"/>
    <n v="3041"/>
    <s v="Ana Lívia da Conceição"/>
    <s v="061.379.428-13"/>
    <s v="061.379.428-13"/>
    <s v="Petrolina"/>
    <x v="8"/>
    <m/>
    <n v="45722"/>
    <x v="42"/>
  </r>
  <r>
    <x v="1976"/>
    <x v="0"/>
    <x v="3"/>
    <x v="5"/>
    <n v="3036"/>
    <s v="Dra. Emanuelly Lopes"/>
    <s v="24016785308"/>
    <s v="240.167.853-08"/>
    <s v="Porto Velho"/>
    <x v="5"/>
    <m/>
    <n v="45741"/>
    <x v="9"/>
  </r>
  <r>
    <x v="1977"/>
    <x v="0"/>
    <x v="1"/>
    <x v="4"/>
    <n v="3035"/>
    <s v="Dr. André Lopes"/>
    <s v="14359086784"/>
    <s v="143.590.867-84"/>
    <s v="Porto Alegre"/>
    <x v="4"/>
    <m/>
    <n v="45722"/>
    <x v="8"/>
  </r>
  <r>
    <x v="1978"/>
    <x v="0"/>
    <x v="1"/>
    <x v="7"/>
    <n v="3038"/>
    <s v="Luiz Henrique Pires"/>
    <s v="792.834.156-55"/>
    <s v="792.834.156-55"/>
    <s v="Natal"/>
    <x v="7"/>
    <m/>
    <n v="45741"/>
    <x v="30"/>
  </r>
  <r>
    <x v="1979"/>
    <x v="1"/>
    <x v="3"/>
    <x v="1"/>
    <n v="3032"/>
    <s v="Davi Lucas Carvalho"/>
    <s v="893.526.047-92"/>
    <s v="893.526.047-92"/>
    <s v="Belém"/>
    <x v="1"/>
    <m/>
    <n v="45729"/>
    <x v="7"/>
  </r>
  <r>
    <x v="1980"/>
    <x v="0"/>
    <x v="2"/>
    <x v="3"/>
    <n v="3034"/>
    <s v="Heitor Viana"/>
    <s v="790.365.182-02"/>
    <s v="790.365.182-02"/>
    <s v="Salvador"/>
    <x v="3"/>
    <m/>
    <n v="45731"/>
    <x v="11"/>
  </r>
  <r>
    <x v="1981"/>
    <x v="1"/>
    <x v="0"/>
    <x v="3"/>
    <n v="3034"/>
    <s v="Nicolas Pinto"/>
    <s v="519.640.832-06"/>
    <s v="519.640.832-06"/>
    <s v="Salvador"/>
    <x v="3"/>
    <m/>
    <n v="45727"/>
    <x v="22"/>
  </r>
  <r>
    <x v="1982"/>
    <x v="0"/>
    <x v="3"/>
    <x v="4"/>
    <n v="3035"/>
    <s v="Natália Gonçalves"/>
    <s v="640.829.537-10"/>
    <s v="640.829.537-10"/>
    <s v="Porto Alegre"/>
    <x v="4"/>
    <m/>
    <n v="45738"/>
    <x v="4"/>
  </r>
  <r>
    <x v="1983"/>
    <x v="0"/>
    <x v="0"/>
    <x v="2"/>
    <n v="3033"/>
    <s v="Dra. Bárbara Martins"/>
    <s v="67231085903"/>
    <s v="672.310.859-03"/>
    <s v="Tocantins"/>
    <x v="2"/>
    <m/>
    <n v="45670"/>
    <x v="8"/>
  </r>
  <r>
    <x v="1984"/>
    <x v="0"/>
    <x v="0"/>
    <x v="5"/>
    <n v="3036"/>
    <s v="Maria Luiza da Cunha"/>
    <s v="543.692.801-33"/>
    <s v="543.692.801-33"/>
    <s v="Porto Velho"/>
    <x v="5"/>
    <m/>
    <n v="45674"/>
    <x v="9"/>
  </r>
  <r>
    <x v="1985"/>
    <x v="1"/>
    <x v="3"/>
    <x v="4"/>
    <n v="3035"/>
    <s v="Bruna da Luz"/>
    <s v="250.674.139-99"/>
    <s v="250.674.139-99"/>
    <s v="Porto Alegre"/>
    <x v="4"/>
    <m/>
    <n v="45674"/>
    <x v="26"/>
  </r>
  <r>
    <x v="1986"/>
    <x v="0"/>
    <x v="2"/>
    <x v="5"/>
    <n v="3036"/>
    <s v="Levi da Luz"/>
    <s v="863.421.075-80"/>
    <s v="863.421.075-80"/>
    <s v="Porto Velho"/>
    <x v="5"/>
    <m/>
    <n v="45734"/>
    <x v="13"/>
  </r>
  <r>
    <x v="1987"/>
    <x v="1"/>
    <x v="2"/>
    <x v="7"/>
    <n v="3038"/>
    <s v="Felipe Freitas"/>
    <s v="14280539642"/>
    <s v="142.805.396-42"/>
    <s v="Natal"/>
    <x v="7"/>
    <s v="Sim"/>
    <n v="45738"/>
    <x v="12"/>
  </r>
  <r>
    <x v="1988"/>
    <x v="0"/>
    <x v="1"/>
    <x v="5"/>
    <n v="3036"/>
    <s v="Sra. Amanda Cunha"/>
    <s v="69028751467"/>
    <s v="690.287.514-67"/>
    <s v="Porto Velho"/>
    <x v="5"/>
    <m/>
    <n v="45675"/>
    <x v="3"/>
  </r>
  <r>
    <x v="1989"/>
    <x v="0"/>
    <x v="2"/>
    <x v="11"/>
    <n v="3042"/>
    <s v="Lucca Gomes"/>
    <s v="09348562738"/>
    <s v="093.485.627-38"/>
    <s v="Santa Catarina"/>
    <x v="9"/>
    <m/>
    <n v="45681"/>
    <x v="24"/>
  </r>
  <r>
    <x v="1990"/>
    <x v="0"/>
    <x v="2"/>
    <x v="2"/>
    <n v="3033"/>
    <s v="Sr. Luiz Otávio da Luz"/>
    <s v="29463078592"/>
    <s v="294.630.785-92"/>
    <s v="Tocantins"/>
    <x v="2"/>
    <m/>
    <n v="45695"/>
    <x v="4"/>
  </r>
  <r>
    <x v="1991"/>
    <x v="0"/>
    <x v="2"/>
    <x v="3"/>
    <n v="3034"/>
    <s v="Ryan Barbosa"/>
    <s v="602.398.715-02"/>
    <s v="602.398.715-02"/>
    <s v="Salvador"/>
    <x v="3"/>
    <s v="Sim"/>
    <n v="45696"/>
    <x v="11"/>
  </r>
  <r>
    <x v="1992"/>
    <x v="0"/>
    <x v="1"/>
    <x v="3"/>
    <n v="3034"/>
    <s v="Rodrigo Peixoto"/>
    <s v="07681329595"/>
    <s v="076.813.295-95"/>
    <s v="Salvador"/>
    <x v="3"/>
    <m/>
    <n v="45659"/>
    <x v="17"/>
  </r>
  <r>
    <x v="1993"/>
    <x v="0"/>
    <x v="1"/>
    <x v="3"/>
    <n v="3034"/>
    <s v="Murilo Martins"/>
    <s v="372.189.065-59"/>
    <s v="372.189.065-59"/>
    <s v="Salvador"/>
    <x v="3"/>
    <m/>
    <n v="45721"/>
    <x v="5"/>
  </r>
  <r>
    <x v="1994"/>
    <x v="1"/>
    <x v="2"/>
    <x v="8"/>
    <n v="3039"/>
    <s v="Enzo Gabriel Correia"/>
    <s v="39607421507"/>
    <s v="396.074.215-07"/>
    <s v="Recife"/>
    <x v="8"/>
    <m/>
    <n v="45700"/>
    <x v="16"/>
  </r>
  <r>
    <x v="1995"/>
    <x v="1"/>
    <x v="0"/>
    <x v="6"/>
    <n v="3037"/>
    <s v="Daniel da Paz"/>
    <s v="16528093415"/>
    <s v="165.280.934-15"/>
    <s v="Fortaleza"/>
    <x v="6"/>
    <s v="Sim"/>
    <n v="45703"/>
    <x v="5"/>
  </r>
  <r>
    <x v="1996"/>
    <x v="1"/>
    <x v="1"/>
    <x v="10"/>
    <n v="3041"/>
    <s v="Mirella Nogueira"/>
    <s v="85730614217"/>
    <s v="857.306.142-17"/>
    <s v="Petrolina"/>
    <x v="8"/>
    <s v="Sim"/>
    <n v="45675"/>
    <x v="13"/>
  </r>
  <r>
    <x v="1997"/>
    <x v="1"/>
    <x v="2"/>
    <x v="11"/>
    <n v="3042"/>
    <s v="Amanda Freitas"/>
    <s v="61729034543"/>
    <s v="617.290.345-43"/>
    <s v="Santa Catarina"/>
    <x v="9"/>
    <s v="Sim"/>
    <n v="45739"/>
    <x v="46"/>
  </r>
  <r>
    <x v="1998"/>
    <x v="0"/>
    <x v="2"/>
    <x v="9"/>
    <n v="3040"/>
    <s v="Mariane da Mota"/>
    <s v="249.017.538-60"/>
    <s v="249.017.538-60"/>
    <s v="Jericoacara"/>
    <x v="6"/>
    <s v="Sim"/>
    <n v="45683"/>
    <x v="20"/>
  </r>
  <r>
    <x v="1999"/>
    <x v="0"/>
    <x v="0"/>
    <x v="8"/>
    <n v="3039"/>
    <s v="Breno Sales"/>
    <s v="234.986.175-91"/>
    <s v="234.986.175-91"/>
    <s v="Recife"/>
    <x v="8"/>
    <m/>
    <n v="45713"/>
    <x v="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CC0E29-12BE-42C1-B742-503D01D19582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12">
  <location ref="A3:B16" firstHeaderRow="1" firstDataRow="1" firstDataCol="1"/>
  <pivotFields count="13">
    <pivotField dataField="1" showAll="0">
      <items count="2001">
        <item x="615"/>
        <item x="334"/>
        <item x="863"/>
        <item x="237"/>
        <item x="1359"/>
        <item x="737"/>
        <item x="575"/>
        <item x="806"/>
        <item x="940"/>
        <item x="929"/>
        <item x="328"/>
        <item x="1624"/>
        <item x="986"/>
        <item x="100"/>
        <item x="1388"/>
        <item x="962"/>
        <item x="545"/>
        <item x="1805"/>
        <item x="21"/>
        <item x="48"/>
        <item x="1593"/>
        <item x="780"/>
        <item x="440"/>
        <item x="621"/>
        <item x="55"/>
        <item x="1018"/>
        <item x="1848"/>
        <item x="1506"/>
        <item x="1829"/>
        <item x="928"/>
        <item x="851"/>
        <item x="1032"/>
        <item x="511"/>
        <item x="685"/>
        <item x="143"/>
        <item x="1832"/>
        <item x="121"/>
        <item x="893"/>
        <item x="1672"/>
        <item x="1511"/>
        <item x="810"/>
        <item x="444"/>
        <item x="1081"/>
        <item x="239"/>
        <item x="493"/>
        <item x="190"/>
        <item x="240"/>
        <item x="500"/>
        <item x="614"/>
        <item x="976"/>
        <item x="512"/>
        <item x="811"/>
        <item x="99"/>
        <item x="729"/>
        <item x="762"/>
        <item x="337"/>
        <item x="1553"/>
        <item x="1651"/>
        <item x="1608"/>
        <item x="463"/>
        <item x="208"/>
        <item x="1079"/>
        <item x="967"/>
        <item x="1261"/>
        <item x="570"/>
        <item x="1159"/>
        <item x="917"/>
        <item x="1235"/>
        <item x="910"/>
        <item x="1918"/>
        <item x="1533"/>
        <item x="1547"/>
        <item x="105"/>
        <item x="68"/>
        <item x="128"/>
        <item x="1500"/>
        <item x="843"/>
        <item x="1644"/>
        <item x="769"/>
        <item x="262"/>
        <item x="1241"/>
        <item x="1850"/>
        <item x="732"/>
        <item x="357"/>
        <item x="22"/>
        <item x="466"/>
        <item x="1897"/>
        <item x="590"/>
        <item x="1504"/>
        <item x="693"/>
        <item x="1369"/>
        <item x="857"/>
        <item x="1867"/>
        <item x="346"/>
        <item x="169"/>
        <item x="1372"/>
        <item x="311"/>
        <item x="999"/>
        <item x="1920"/>
        <item x="1366"/>
        <item x="1170"/>
        <item x="1750"/>
        <item x="680"/>
        <item x="1142"/>
        <item x="1784"/>
        <item x="428"/>
        <item x="520"/>
        <item x="344"/>
        <item x="670"/>
        <item x="1934"/>
        <item x="1259"/>
        <item x="655"/>
        <item x="1155"/>
        <item x="1768"/>
        <item x="1663"/>
        <item x="1546"/>
        <item x="1667"/>
        <item x="922"/>
        <item x="845"/>
        <item x="821"/>
        <item x="820"/>
        <item x="397"/>
        <item x="1930"/>
        <item x="1487"/>
        <item x="88"/>
        <item x="107"/>
        <item x="234"/>
        <item x="690"/>
        <item x="618"/>
        <item x="1091"/>
        <item x="1622"/>
        <item x="1827"/>
        <item x="300"/>
        <item x="1316"/>
        <item x="1396"/>
        <item x="1297"/>
        <item x="1633"/>
        <item x="324"/>
        <item x="1058"/>
        <item x="918"/>
        <item x="860"/>
        <item x="1331"/>
        <item x="1822"/>
        <item x="969"/>
        <item x="38"/>
        <item x="1993"/>
        <item x="158"/>
        <item x="1097"/>
        <item x="669"/>
        <item x="1949"/>
        <item x="255"/>
        <item x="1043"/>
        <item x="232"/>
        <item x="27"/>
        <item x="1720"/>
        <item x="458"/>
        <item x="1825"/>
        <item x="98"/>
        <item x="1819"/>
        <item x="20"/>
        <item x="97"/>
        <item x="688"/>
        <item x="1957"/>
        <item x="1227"/>
        <item x="1278"/>
        <item x="1193"/>
        <item x="1599"/>
        <item x="508"/>
        <item x="625"/>
        <item x="46"/>
        <item x="1104"/>
        <item x="661"/>
        <item x="1288"/>
        <item x="180"/>
        <item x="1084"/>
        <item x="44"/>
        <item x="45"/>
        <item x="204"/>
        <item x="1818"/>
        <item x="191"/>
        <item x="219"/>
        <item x="117"/>
        <item x="1916"/>
        <item x="1323"/>
        <item x="524"/>
        <item x="1440"/>
        <item x="652"/>
        <item x="963"/>
        <item x="277"/>
        <item x="1049"/>
        <item x="1272"/>
        <item x="351"/>
        <item x="515"/>
        <item x="1218"/>
        <item x="1995"/>
        <item x="468"/>
        <item x="161"/>
        <item x="246"/>
        <item x="303"/>
        <item x="739"/>
        <item x="533"/>
        <item x="1146"/>
        <item x="106"/>
        <item x="1328"/>
        <item x="1767"/>
        <item x="305"/>
        <item x="1368"/>
        <item x="1550"/>
        <item x="267"/>
        <item x="147"/>
        <item x="15"/>
        <item x="532"/>
        <item x="744"/>
        <item x="971"/>
        <item x="566"/>
        <item x="372"/>
        <item x="662"/>
        <item x="753"/>
        <item x="536"/>
        <item x="1230"/>
        <item x="366"/>
        <item x="998"/>
        <item x="1295"/>
        <item x="215"/>
        <item x="1207"/>
        <item x="1594"/>
        <item x="679"/>
        <item x="1204"/>
        <item x="1290"/>
        <item x="1508"/>
        <item x="4"/>
        <item x="233"/>
        <item x="1135"/>
        <item x="1741"/>
        <item x="1650"/>
        <item x="731"/>
        <item x="979"/>
        <item x="307"/>
        <item x="517"/>
        <item x="1133"/>
        <item x="25"/>
        <item x="301"/>
        <item x="684"/>
        <item x="1560"/>
        <item x="1942"/>
        <item x="1491"/>
        <item x="1933"/>
        <item x="403"/>
        <item x="392"/>
        <item x="1989"/>
        <item x="1274"/>
        <item x="984"/>
        <item x="1740"/>
        <item x="562"/>
        <item x="1774"/>
        <item x="1112"/>
        <item x="249"/>
        <item x="231"/>
        <item x="1532"/>
        <item x="833"/>
        <item x="189"/>
        <item x="628"/>
        <item x="1119"/>
        <item x="285"/>
        <item x="1280"/>
        <item x="1057"/>
        <item x="296"/>
        <item x="668"/>
        <item x="1705"/>
        <item x="1523"/>
        <item x="1739"/>
        <item x="1671"/>
        <item x="1011"/>
        <item x="513"/>
        <item x="1166"/>
        <item x="1986"/>
        <item x="1198"/>
        <item x="1992"/>
        <item x="1110"/>
        <item x="1676"/>
        <item x="592"/>
        <item x="362"/>
        <item x="551"/>
        <item x="1264"/>
        <item x="933"/>
        <item x="1680"/>
        <item x="1497"/>
        <item x="1981"/>
        <item x="1250"/>
        <item x="582"/>
        <item x="177"/>
        <item x="987"/>
        <item x="650"/>
        <item x="1505"/>
        <item x="1538"/>
        <item x="1524"/>
        <item x="647"/>
        <item x="137"/>
        <item x="1093"/>
        <item x="1765"/>
        <item x="1031"/>
        <item x="1702"/>
        <item x="119"/>
        <item x="1046"/>
        <item x="1090"/>
        <item x="256"/>
        <item x="365"/>
        <item x="869"/>
        <item x="1637"/>
        <item x="1479"/>
        <item x="1734"/>
        <item x="1800"/>
        <item x="380"/>
        <item x="374"/>
        <item x="1098"/>
        <item x="358"/>
        <item x="1452"/>
        <item x="1390"/>
        <item x="1746"/>
        <item x="1835"/>
        <item x="306"/>
        <item x="16"/>
        <item x="1697"/>
        <item x="1268"/>
        <item x="390"/>
        <item x="43"/>
        <item x="1037"/>
        <item x="1061"/>
        <item x="1273"/>
        <item x="636"/>
        <item x="840"/>
        <item x="89"/>
        <item x="1303"/>
        <item x="49"/>
        <item x="1870"/>
        <item x="764"/>
        <item x="968"/>
        <item x="1130"/>
        <item x="602"/>
        <item x="1517"/>
        <item x="547"/>
        <item x="1407"/>
        <item x="1475"/>
        <item x="1492"/>
        <item x="624"/>
        <item x="96"/>
        <item x="541"/>
        <item x="555"/>
        <item x="1471"/>
        <item x="407"/>
        <item x="865"/>
        <item x="1376"/>
        <item x="1628"/>
        <item x="1312"/>
        <item x="706"/>
        <item x="1906"/>
        <item x="1987"/>
        <item x="1"/>
        <item x="199"/>
        <item x="1039"/>
        <item x="887"/>
        <item x="86"/>
        <item x="1569"/>
        <item x="1449"/>
        <item x="183"/>
        <item x="1661"/>
        <item x="756"/>
        <item x="788"/>
        <item x="1573"/>
        <item x="665"/>
        <item x="1704"/>
        <item x="1185"/>
        <item x="112"/>
        <item x="1534"/>
        <item x="1926"/>
        <item x="1892"/>
        <item x="1478"/>
        <item x="1109"/>
        <item x="60"/>
        <item x="1970"/>
        <item x="35"/>
        <item x="50"/>
        <item x="1156"/>
        <item x="1024"/>
        <item x="1456"/>
        <item x="1411"/>
        <item x="1709"/>
        <item x="1901"/>
        <item x="152"/>
        <item x="733"/>
        <item x="1869"/>
        <item x="964"/>
        <item x="266"/>
        <item x="1005"/>
        <item x="1603"/>
        <item x="434"/>
        <item x="1904"/>
        <item x="92"/>
        <item x="63"/>
        <item x="701"/>
        <item x="1595"/>
        <item x="1450"/>
        <item x="932"/>
        <item x="1451"/>
        <item x="1223"/>
        <item x="1788"/>
        <item x="54"/>
        <item x="1212"/>
        <item x="443"/>
        <item x="728"/>
        <item x="776"/>
        <item x="459"/>
        <item x="33"/>
        <item x="852"/>
        <item x="952"/>
        <item x="560"/>
        <item x="1202"/>
        <item x="1556"/>
        <item x="1123"/>
        <item x="649"/>
        <item x="750"/>
        <item x="542"/>
        <item x="1319"/>
        <item x="1050"/>
        <item x="1332"/>
        <item x="974"/>
        <item x="1385"/>
        <item x="1925"/>
        <item x="200"/>
        <item x="730"/>
        <item x="1163"/>
        <item x="972"/>
        <item x="1410"/>
        <item x="1855"/>
        <item x="580"/>
        <item x="1384"/>
        <item x="1937"/>
        <item x="1959"/>
        <item x="1253"/>
        <item x="482"/>
        <item x="1944"/>
        <item x="1808"/>
        <item x="1040"/>
        <item x="1064"/>
        <item x="1353"/>
        <item x="1020"/>
        <item x="1111"/>
        <item x="1206"/>
        <item x="660"/>
        <item x="1911"/>
        <item x="1769"/>
        <item x="795"/>
        <item x="376"/>
        <item x="719"/>
        <item x="1021"/>
        <item x="903"/>
        <item x="1055"/>
        <item x="1035"/>
        <item x="144"/>
        <item x="447"/>
        <item x="1220"/>
        <item x="1424"/>
        <item x="1670"/>
        <item x="1514"/>
        <item x="573"/>
        <item x="1991"/>
        <item x="1886"/>
        <item x="1076"/>
        <item x="491"/>
        <item x="1301"/>
        <item x="185"/>
        <item x="1444"/>
        <item x="1102"/>
        <item x="792"/>
        <item x="1255"/>
        <item x="1614"/>
        <item x="416"/>
        <item x="1802"/>
        <item x="138"/>
        <item x="28"/>
        <item x="1857"/>
        <item x="1810"/>
        <item x="1691"/>
        <item x="912"/>
        <item x="66"/>
        <item x="1488"/>
        <item x="85"/>
        <item x="1003"/>
        <item x="1293"/>
        <item x="1463"/>
        <item x="1852"/>
        <item x="686"/>
        <item x="826"/>
        <item x="1169"/>
        <item x="1898"/>
        <item x="1526"/>
        <item x="771"/>
        <item x="1087"/>
        <item x="206"/>
        <item x="1655"/>
        <item x="1602"/>
        <item x="1563"/>
        <item x="1877"/>
        <item x="1262"/>
        <item x="216"/>
        <item x="1238"/>
        <item x="1682"/>
        <item x="1002"/>
        <item x="1575"/>
        <item x="1408"/>
        <item x="1782"/>
        <item x="51"/>
        <item x="1894"/>
        <item x="42"/>
        <item x="235"/>
        <item x="1903"/>
        <item x="475"/>
        <item x="1265"/>
        <item x="523"/>
        <item x="1696"/>
        <item x="419"/>
        <item x="1677"/>
        <item x="1699"/>
        <item x="597"/>
        <item x="58"/>
        <item x="1854"/>
        <item x="1648"/>
        <item x="766"/>
        <item x="931"/>
        <item x="258"/>
        <item x="947"/>
        <item x="1938"/>
        <item x="1558"/>
        <item x="995"/>
        <item x="364"/>
        <item x="692"/>
        <item x="1131"/>
        <item x="1753"/>
        <item x="1406"/>
        <item x="1217"/>
        <item x="492"/>
        <item x="113"/>
        <item x="1354"/>
        <item x="87"/>
        <item x="1395"/>
        <item x="1343"/>
        <item x="1114"/>
        <item x="1803"/>
        <item x="1801"/>
        <item x="323"/>
        <item x="64"/>
        <item x="1845"/>
        <item x="847"/>
        <item x="1815"/>
        <item x="157"/>
        <item x="1361"/>
        <item x="1520"/>
        <item x="260"/>
        <item x="1191"/>
        <item x="745"/>
        <item x="413"/>
        <item x="1883"/>
        <item x="1876"/>
        <item x="817"/>
        <item x="1023"/>
        <item x="1060"/>
        <item x="1403"/>
        <item x="1871"/>
        <item x="1167"/>
        <item x="1071"/>
        <item x="154"/>
        <item x="1687"/>
        <item x="528"/>
        <item x="437"/>
        <item x="1947"/>
        <item x="1234"/>
        <item x="1527"/>
        <item x="1899"/>
        <item x="1874"/>
        <item x="1737"/>
        <item x="95"/>
        <item x="829"/>
        <item x="1580"/>
        <item x="1948"/>
        <item x="704"/>
        <item x="370"/>
        <item x="1034"/>
        <item x="890"/>
        <item x="1931"/>
        <item x="1421"/>
        <item x="175"/>
        <item x="1776"/>
        <item x="1913"/>
        <item x="1127"/>
        <item x="339"/>
        <item x="131"/>
        <item x="391"/>
        <item x="1510"/>
        <item x="1954"/>
        <item x="1977"/>
        <item x="550"/>
        <item x="1377"/>
        <item x="540"/>
        <item x="488"/>
        <item x="1157"/>
        <item x="179"/>
        <item x="645"/>
        <item x="126"/>
        <item x="1150"/>
        <item x="1907"/>
        <item x="1860"/>
        <item x="1980"/>
        <item x="1415"/>
        <item x="393"/>
        <item x="696"/>
        <item x="770"/>
        <item x="1013"/>
        <item x="1821"/>
        <item x="1356"/>
        <item x="238"/>
        <item x="935"/>
        <item x="1531"/>
        <item x="52"/>
        <item x="1348"/>
        <item x="989"/>
        <item x="866"/>
        <item x="1665"/>
        <item x="1572"/>
        <item x="1770"/>
        <item x="503"/>
        <item x="1350"/>
        <item x="1016"/>
        <item x="1355"/>
        <item x="1809"/>
        <item x="1733"/>
        <item x="448"/>
        <item x="1880"/>
        <item x="1979"/>
        <item x="1610"/>
        <item x="1059"/>
        <item x="1147"/>
        <item x="2"/>
        <item x="1630"/>
        <item x="955"/>
        <item x="221"/>
        <item x="399"/>
        <item x="69"/>
        <item x="1358"/>
        <item x="173"/>
        <item x="1053"/>
        <item x="490"/>
        <item x="1338"/>
        <item x="1164"/>
        <item x="1963"/>
        <item x="1792"/>
        <item x="1027"/>
        <item x="473"/>
        <item x="754"/>
        <item x="130"/>
        <item x="1349"/>
        <item x="941"/>
        <item x="630"/>
        <item x="1435"/>
        <item x="1806"/>
        <item x="1761"/>
        <item x="853"/>
        <item x="29"/>
        <item x="1790"/>
        <item x="695"/>
        <item x="1248"/>
        <item x="1409"/>
        <item x="1804"/>
        <item x="1324"/>
        <item x="1298"/>
        <item x="1279"/>
        <item x="299"/>
        <item x="985"/>
        <item x="1519"/>
        <item x="1389"/>
        <item x="81"/>
        <item x="1642"/>
        <item x="1075"/>
        <item x="315"/>
        <item x="34"/>
        <item x="1771"/>
        <item x="398"/>
        <item x="1713"/>
        <item x="78"/>
        <item x="257"/>
        <item x="426"/>
        <item x="401"/>
        <item x="159"/>
        <item x="1335"/>
        <item x="386"/>
        <item x="923"/>
        <item x="1849"/>
        <item x="814"/>
        <item x="1201"/>
        <item x="674"/>
        <item x="539"/>
        <item x="1914"/>
        <item x="142"/>
        <item x="1442"/>
        <item x="352"/>
        <item x="799"/>
        <item x="133"/>
        <item x="1722"/>
        <item x="310"/>
        <item x="140"/>
        <item x="387"/>
        <item x="595"/>
        <item x="927"/>
        <item x="471"/>
        <item x="423"/>
        <item x="182"/>
        <item x="1070"/>
        <item x="1891"/>
        <item x="1239"/>
        <item x="1138"/>
        <item x="1679"/>
        <item x="823"/>
        <item x="1940"/>
        <item x="480"/>
        <item x="449"/>
        <item x="225"/>
        <item x="1363"/>
        <item x="1962"/>
        <item x="1472"/>
        <item x="1751"/>
        <item x="1723"/>
        <item x="226"/>
        <item x="1781"/>
        <item x="1896"/>
        <item x="930"/>
        <item x="1422"/>
        <item x="150"/>
        <item x="353"/>
        <item x="136"/>
        <item x="1772"/>
        <item x="451"/>
        <item x="717"/>
        <item x="1378"/>
        <item x="1985"/>
        <item x="535"/>
        <item x="707"/>
        <item x="75"/>
        <item x="316"/>
        <item x="644"/>
        <item x="115"/>
        <item x="768"/>
        <item x="1836"/>
        <item x="1267"/>
        <item x="1498"/>
        <item x="567"/>
        <item x="252"/>
        <item x="389"/>
        <item x="1631"/>
        <item x="74"/>
        <item x="0"/>
        <item x="1125"/>
        <item x="1168"/>
        <item x="1688"/>
        <item x="1816"/>
        <item x="804"/>
        <item x="715"/>
        <item x="90"/>
        <item x="675"/>
        <item x="1778"/>
        <item x="699"/>
        <item x="479"/>
        <item x="569"/>
        <item x="1434"/>
        <item x="1383"/>
        <item x="658"/>
        <item x="79"/>
        <item x="900"/>
        <item x="378"/>
        <item x="1382"/>
        <item x="198"/>
        <item x="279"/>
        <item x="1773"/>
        <item x="577"/>
        <item x="643"/>
        <item x="938"/>
        <item x="836"/>
        <item x="1228"/>
        <item x="1583"/>
        <item x="1646"/>
        <item x="899"/>
        <item x="1222"/>
        <item x="805"/>
        <item x="1683"/>
        <item x="1728"/>
        <item x="1432"/>
        <item x="103"/>
        <item x="786"/>
        <item x="1932"/>
        <item x="108"/>
        <item x="1551"/>
        <item x="1719"/>
        <item x="1096"/>
        <item x="251"/>
        <item x="1735"/>
        <item x="282"/>
        <item x="1493"/>
        <item x="1841"/>
        <item x="1996"/>
        <item x="803"/>
        <item x="876"/>
        <item x="1158"/>
        <item x="1052"/>
        <item x="1840"/>
        <item x="483"/>
        <item x="565"/>
        <item x="270"/>
        <item x="1443"/>
        <item x="1030"/>
        <item x="367"/>
        <item x="1509"/>
        <item x="1393"/>
        <item x="568"/>
        <item x="1975"/>
        <item x="425"/>
        <item x="1237"/>
        <item x="110"/>
        <item x="724"/>
        <item x="600"/>
        <item x="263"/>
        <item x="67"/>
        <item x="629"/>
        <item x="354"/>
        <item x="961"/>
        <item x="703"/>
        <item x="129"/>
        <item x="1048"/>
        <item x="1703"/>
        <item x="1172"/>
        <item x="1271"/>
        <item x="1529"/>
        <item x="1062"/>
        <item x="1700"/>
        <item x="936"/>
        <item x="1486"/>
        <item x="827"/>
        <item x="1122"/>
        <item x="1799"/>
        <item x="902"/>
        <item x="954"/>
        <item x="816"/>
        <item x="1188"/>
        <item x="450"/>
        <item x="1128"/>
        <item x="1466"/>
        <item x="543"/>
        <item x="1033"/>
        <item x="280"/>
        <item x="3"/>
        <item x="122"/>
        <item x="308"/>
        <item x="1588"/>
        <item x="1276"/>
        <item x="656"/>
        <item x="73"/>
        <item x="314"/>
        <item x="712"/>
        <item x="1036"/>
        <item x="1364"/>
        <item x="404"/>
        <item x="1067"/>
        <item x="1310"/>
        <item x="1134"/>
        <item x="1105"/>
        <item x="350"/>
        <item x="1522"/>
        <item x="1607"/>
        <item x="1438"/>
        <item x="664"/>
        <item x="1226"/>
        <item x="1311"/>
        <item x="1900"/>
        <item x="292"/>
        <item x="371"/>
        <item x="1326"/>
        <item x="360"/>
        <item x="1026"/>
        <item x="1082"/>
        <item x="1252"/>
        <item x="509"/>
        <item x="338"/>
        <item x="767"/>
        <item x="467"/>
        <item x="325"/>
        <item x="606"/>
        <item x="819"/>
        <item x="531"/>
        <item x="1775"/>
        <item x="1999"/>
        <item x="1950"/>
        <item x="1387"/>
        <item x="1162"/>
        <item x="959"/>
        <item x="420"/>
        <item x="1756"/>
        <item x="1824"/>
        <item x="1964"/>
        <item x="1100"/>
        <item x="472"/>
        <item x="1515"/>
        <item x="885"/>
        <item x="1919"/>
        <item x="207"/>
        <item x="1956"/>
        <item x="359"/>
        <item x="809"/>
        <item x="1269"/>
        <item x="1972"/>
        <item x="1591"/>
        <item x="1086"/>
        <item x="71"/>
        <item x="634"/>
        <item x="725"/>
        <item x="1467"/>
        <item x="349"/>
        <item x="1200"/>
        <item x="741"/>
        <item x="1258"/>
        <item x="956"/>
        <item x="791"/>
        <item x="1351"/>
        <item x="1165"/>
        <item x="227"/>
        <item x="1541"/>
        <item x="1367"/>
        <item x="1929"/>
        <item x="1339"/>
        <item x="579"/>
        <item x="396"/>
        <item x="1171"/>
        <item x="1196"/>
        <item x="1299"/>
        <item x="1418"/>
        <item x="1789"/>
        <item x="1868"/>
        <item x="495"/>
        <item x="529"/>
        <item x="276"/>
        <item x="1028"/>
        <item x="1019"/>
        <item x="400"/>
        <item x="838"/>
        <item x="264"/>
        <item x="1282"/>
        <item x="477"/>
        <item x="160"/>
        <item x="854"/>
        <item x="1881"/>
        <item x="1360"/>
        <item x="1010"/>
        <item x="789"/>
        <item x="683"/>
        <item x="1455"/>
        <item x="1195"/>
        <item x="1373"/>
        <item x="32"/>
        <item x="1779"/>
        <item x="176"/>
        <item x="537"/>
        <item x="167"/>
        <item x="153"/>
        <item x="1617"/>
        <item x="1973"/>
        <item x="1994"/>
        <item x="988"/>
        <item x="1570"/>
        <item x="758"/>
        <item x="1342"/>
        <item x="1184"/>
        <item x="168"/>
        <item x="1445"/>
        <item x="627"/>
        <item x="62"/>
        <item x="1391"/>
        <item x="61"/>
        <item x="487"/>
        <item x="877"/>
        <item x="1192"/>
        <item x="802"/>
        <item x="481"/>
        <item x="499"/>
        <item x="1474"/>
        <item x="965"/>
        <item x="388"/>
        <item x="1684"/>
        <item x="841"/>
        <item x="411"/>
        <item x="1302"/>
        <item x="501"/>
        <item x="438"/>
        <item x="583"/>
        <item x="228"/>
        <item x="1890"/>
        <item x="41"/>
        <item x="1213"/>
        <item x="331"/>
        <item x="798"/>
        <item x="1318"/>
        <item x="1732"/>
        <item x="1584"/>
        <item x="1983"/>
        <item x="751"/>
        <item x="1152"/>
        <item x="1587"/>
        <item x="1502"/>
        <item x="1306"/>
        <item x="1872"/>
        <item x="1381"/>
        <item x="245"/>
        <item x="1177"/>
        <item x="1231"/>
        <item x="1812"/>
        <item x="1936"/>
        <item x="1548"/>
        <item x="1611"/>
        <item x="982"/>
        <item x="619"/>
        <item x="1858"/>
        <item x="57"/>
        <item x="1284"/>
        <item x="254"/>
        <item x="1145"/>
        <item x="1813"/>
        <item x="815"/>
        <item x="1140"/>
        <item x="355"/>
        <item x="1065"/>
        <item x="1300"/>
        <item x="123"/>
        <item x="125"/>
        <item x="72"/>
        <item x="19"/>
        <item x="842"/>
        <item x="1887"/>
        <item x="298"/>
        <item x="1585"/>
        <item x="626"/>
        <item x="1352"/>
        <item x="1263"/>
        <item x="197"/>
        <item x="1951"/>
        <item x="1254"/>
        <item x="1468"/>
        <item x="1144"/>
        <item x="742"/>
        <item x="1742"/>
        <item x="1725"/>
        <item x="723"/>
        <item x="457"/>
        <item x="855"/>
        <item x="1690"/>
        <item x="896"/>
        <item x="1946"/>
        <item x="1758"/>
        <item x="322"/>
        <item x="677"/>
        <item x="294"/>
        <item x="1044"/>
        <item x="149"/>
        <item x="1917"/>
        <item x="1292"/>
        <item x="1600"/>
        <item x="9"/>
        <item x="1317"/>
        <item x="1645"/>
        <item x="1831"/>
        <item x="441"/>
        <item x="454"/>
        <item x="1909"/>
        <item x="832"/>
        <item x="867"/>
        <item x="1439"/>
        <item x="1447"/>
        <item x="244"/>
        <item x="1374"/>
        <item x="782"/>
        <item x="1539"/>
        <item x="1793"/>
        <item x="1015"/>
        <item x="504"/>
        <item x="202"/>
        <item x="934"/>
        <item x="1244"/>
        <item x="1908"/>
        <item x="564"/>
        <item x="1968"/>
        <item x="287"/>
        <item x="1664"/>
        <item x="1430"/>
        <item x="496"/>
        <item x="1814"/>
        <item x="395"/>
        <item x="1260"/>
        <item x="26"/>
        <item x="1627"/>
        <item x="1660"/>
        <item x="1103"/>
        <item x="1069"/>
        <item x="1837"/>
        <item x="1634"/>
        <item x="1275"/>
        <item x="1417"/>
        <item x="1923"/>
        <item x="455"/>
        <item x="1405"/>
        <item x="1882"/>
        <item x="948"/>
        <item x="433"/>
        <item x="1314"/>
        <item x="1088"/>
        <item x="759"/>
        <item x="1689"/>
        <item x="925"/>
        <item x="779"/>
        <item x="1334"/>
        <item x="1895"/>
        <item x="410"/>
        <item x="521"/>
        <item x="747"/>
        <item x="620"/>
        <item x="1605"/>
        <item x="966"/>
        <item x="548"/>
        <item x="1242"/>
        <item x="557"/>
        <item x="942"/>
        <item x="738"/>
        <item x="320"/>
        <item x="1846"/>
        <item x="1969"/>
        <item x="1243"/>
        <item x="1066"/>
        <item x="849"/>
        <item x="1283"/>
        <item x="844"/>
        <item x="587"/>
        <item x="174"/>
        <item x="1327"/>
        <item x="1681"/>
        <item x="1401"/>
        <item x="1636"/>
        <item x="1574"/>
        <item x="1577"/>
        <item x="309"/>
        <item x="271"/>
        <item x="584"/>
        <item x="608"/>
        <item x="102"/>
        <item x="589"/>
        <item x="773"/>
        <item x="740"/>
        <item x="1370"/>
        <item x="605"/>
        <item x="1194"/>
        <item x="1465"/>
        <item x="1476"/>
        <item x="1653"/>
        <item x="1971"/>
        <item x="1480"/>
        <item x="1078"/>
        <item x="726"/>
        <item x="1915"/>
        <item x="1477"/>
        <item x="1544"/>
        <item x="1635"/>
        <item x="1419"/>
        <item x="1659"/>
        <item x="188"/>
        <item x="691"/>
        <item x="1441"/>
        <item x="828"/>
        <item x="648"/>
        <item x="1582"/>
        <item x="1557"/>
        <item x="1380"/>
        <item x="856"/>
        <item x="1397"/>
        <item x="1873"/>
        <item x="1536"/>
        <item x="1744"/>
        <item x="694"/>
        <item x="1371"/>
        <item x="1889"/>
        <item x="405"/>
        <item x="275"/>
        <item x="801"/>
        <item x="10"/>
        <item x="1984"/>
        <item x="527"/>
        <item x="950"/>
        <item x="1436"/>
        <item x="217"/>
        <item x="748"/>
        <item x="1905"/>
        <item x="813"/>
        <item x="1494"/>
        <item x="881"/>
        <item x="478"/>
        <item x="1513"/>
        <item x="870"/>
        <item x="297"/>
        <item x="1562"/>
        <item x="1839"/>
        <item x="1708"/>
        <item x="794"/>
        <item x="291"/>
        <item x="1960"/>
        <item x="178"/>
        <item x="642"/>
        <item x="1530"/>
        <item x="1484"/>
        <item x="497"/>
        <item x="242"/>
        <item x="778"/>
        <item x="1658"/>
        <item x="1686"/>
        <item x="333"/>
        <item x="345"/>
        <item x="607"/>
        <item x="1884"/>
        <item x="1074"/>
        <item x="960"/>
        <item x="1313"/>
        <item x="1203"/>
        <item x="1838"/>
        <item x="1199"/>
        <item x="1864"/>
        <item x="1233"/>
        <item x="1340"/>
        <item x="1730"/>
        <item x="864"/>
        <item x="981"/>
        <item x="1662"/>
        <item x="848"/>
        <item x="1499"/>
        <item x="1068"/>
        <item x="651"/>
        <item x="506"/>
        <item x="1197"/>
        <item x="373"/>
        <item x="1113"/>
        <item x="336"/>
        <item x="241"/>
        <item x="1120"/>
        <item x="17"/>
        <item x="578"/>
        <item x="635"/>
        <item x="470"/>
        <item x="1747"/>
        <item x="361"/>
        <item x="1394"/>
        <item x="1336"/>
        <item x="1426"/>
        <item x="1561"/>
        <item x="120"/>
        <item x="1586"/>
        <item x="1041"/>
        <item x="141"/>
        <item x="921"/>
        <item x="746"/>
        <item x="1967"/>
        <item x="641"/>
        <item x="101"/>
        <item x="1797"/>
        <item x="1454"/>
        <item x="1537"/>
        <item x="1063"/>
        <item x="31"/>
        <item x="1729"/>
        <item x="1760"/>
        <item x="465"/>
        <item x="593"/>
        <item x="1178"/>
        <item x="171"/>
        <item x="522"/>
        <item x="904"/>
        <item x="1216"/>
        <item x="558"/>
        <item x="56"/>
        <item x="421"/>
        <item x="594"/>
        <item x="637"/>
        <item x="1205"/>
        <item x="1160"/>
        <item x="822"/>
        <item x="612"/>
        <item x="1754"/>
        <item x="1341"/>
        <item x="1922"/>
        <item x="329"/>
        <item x="774"/>
        <item x="943"/>
        <item x="991"/>
        <item x="871"/>
        <item x="1132"/>
        <item x="1780"/>
        <item x="1685"/>
        <item x="76"/>
        <item x="992"/>
        <item x="585"/>
        <item x="1174"/>
        <item x="1287"/>
        <item x="1246"/>
        <item x="1281"/>
        <item x="898"/>
        <item x="1182"/>
        <item x="1045"/>
        <item x="1116"/>
        <item x="1743"/>
        <item x="572"/>
        <item x="59"/>
        <item x="1072"/>
        <item x="906"/>
        <item x="363"/>
        <item x="430"/>
        <item x="1935"/>
        <item x="1042"/>
        <item x="1543"/>
        <item x="757"/>
        <item x="1656"/>
        <item x="383"/>
        <item x="663"/>
        <item x="462"/>
        <item x="288"/>
        <item x="939"/>
        <item x="1974"/>
        <item x="591"/>
        <item x="698"/>
        <item x="209"/>
        <item x="953"/>
        <item x="653"/>
        <item x="1612"/>
        <item x="1362"/>
        <item x="40"/>
        <item x="502"/>
        <item x="1764"/>
        <item x="1554"/>
        <item x="1051"/>
        <item x="736"/>
        <item x="1762"/>
        <item x="1224"/>
        <item x="1755"/>
        <item x="1416"/>
        <item x="1721"/>
        <item x="24"/>
        <item x="164"/>
        <item x="1047"/>
        <item x="576"/>
        <item x="1888"/>
        <item x="1412"/>
        <item x="1321"/>
        <item x="464"/>
        <item x="1225"/>
        <item x="1626"/>
        <item x="563"/>
        <item x="672"/>
        <item x="1866"/>
        <item x="134"/>
        <item x="1485"/>
        <item x="1386"/>
        <item x="687"/>
        <item x="1998"/>
        <item x="800"/>
        <item x="1423"/>
        <item x="1861"/>
        <item x="37"/>
        <item x="222"/>
        <item x="713"/>
        <item x="711"/>
        <item x="431"/>
        <item x="163"/>
        <item x="1668"/>
        <item x="1859"/>
        <item x="638"/>
        <item x="1507"/>
        <item x="1692"/>
        <item x="281"/>
        <item x="983"/>
        <item x="818"/>
        <item x="581"/>
        <item x="1643"/>
        <item x="975"/>
        <item x="1473"/>
        <item x="705"/>
        <item x="673"/>
        <item x="1402"/>
        <item x="1270"/>
        <item x="1446"/>
        <item x="544"/>
        <item x="559"/>
        <item x="293"/>
        <item x="39"/>
        <item x="6"/>
        <item x="148"/>
        <item x="1392"/>
        <item x="412"/>
        <item x="538"/>
        <item x="312"/>
        <item x="248"/>
        <item x="1786"/>
        <item x="13"/>
        <item x="272"/>
        <item x="970"/>
        <item x="1345"/>
        <item x="1842"/>
        <item x="978"/>
        <item x="1578"/>
        <item x="708"/>
        <item x="1654"/>
        <item x="162"/>
        <item x="1325"/>
        <item x="1308"/>
        <item x="295"/>
        <item x="114"/>
        <item x="874"/>
        <item x="1924"/>
        <item x="211"/>
        <item x="269"/>
        <item x="1462"/>
        <item x="760"/>
        <item x="646"/>
        <item x="875"/>
        <item x="785"/>
        <item x="422"/>
        <item x="224"/>
        <item x="84"/>
        <item x="990"/>
        <item x="1229"/>
        <item x="1210"/>
        <item x="1187"/>
        <item x="1427"/>
        <item x="1910"/>
        <item x="1025"/>
        <item x="1657"/>
        <item x="574"/>
        <item x="709"/>
        <item x="1811"/>
        <item x="808"/>
        <item x="453"/>
        <item x="1004"/>
        <item x="77"/>
        <item x="124"/>
        <item x="1843"/>
        <item x="889"/>
        <item x="408"/>
        <item x="1399"/>
        <item x="195"/>
        <item x="1618"/>
        <item x="385"/>
        <item x="1726"/>
        <item x="1674"/>
        <item x="858"/>
        <item x="1830"/>
        <item x="1344"/>
        <item x="937"/>
        <item x="1219"/>
        <item x="514"/>
        <item x="1107"/>
        <item x="749"/>
        <item x="1428"/>
        <item x="1834"/>
        <item x="908"/>
        <item x="1215"/>
        <item x="172"/>
        <item x="824"/>
        <item x="755"/>
        <item x="1232"/>
        <item x="1939"/>
        <item x="1322"/>
        <item x="247"/>
        <item x="1176"/>
        <item x="1826"/>
        <item x="1214"/>
        <item x="945"/>
        <item x="1609"/>
        <item x="94"/>
        <item x="289"/>
        <item x="1483"/>
        <item x="213"/>
        <item x="414"/>
        <item x="1089"/>
        <item x="1601"/>
        <item x="920"/>
        <item x="290"/>
        <item x="946"/>
        <item x="1787"/>
        <item x="879"/>
        <item x="1092"/>
        <item x="283"/>
        <item x="1425"/>
        <item x="894"/>
        <item x="1141"/>
        <item x="1209"/>
        <item x="1958"/>
        <item x="166"/>
        <item x="772"/>
        <item x="666"/>
        <item x="1291"/>
        <item x="722"/>
        <item x="518"/>
        <item x="1077"/>
        <item x="1833"/>
        <item x="1567"/>
        <item x="432"/>
        <item x="793"/>
        <item x="205"/>
        <item x="720"/>
        <item x="381"/>
        <item x="384"/>
        <item x="1305"/>
        <item x="1952"/>
        <item x="1398"/>
        <item x="519"/>
        <item x="1763"/>
        <item x="1589"/>
        <item x="436"/>
        <item x="132"/>
        <item x="1794"/>
        <item x="916"/>
        <item x="1652"/>
        <item x="1619"/>
        <item x="1457"/>
        <item x="777"/>
        <item x="957"/>
        <item x="616"/>
        <item x="435"/>
        <item x="165"/>
        <item x="1149"/>
        <item x="1357"/>
        <item x="1785"/>
        <item x="588"/>
        <item x="469"/>
        <item x="797"/>
        <item x="1990"/>
        <item x="617"/>
        <item x="859"/>
        <item x="790"/>
        <item x="1153"/>
        <item x="603"/>
        <item x="429"/>
        <item x="304"/>
        <item x="787"/>
        <item x="1000"/>
        <item x="1181"/>
        <item x="1175"/>
        <item x="1124"/>
        <item x="1673"/>
        <item x="1552"/>
        <item x="1304"/>
        <item x="1576"/>
        <item x="382"/>
        <item x="1912"/>
        <item x="510"/>
        <item x="1807"/>
        <item x="1542"/>
        <item x="735"/>
        <item x="1566"/>
        <item x="156"/>
        <item x="1549"/>
        <item x="784"/>
        <item x="951"/>
        <item x="1639"/>
        <item x="905"/>
        <item x="1581"/>
        <item x="335"/>
        <item x="1759"/>
        <item x="1453"/>
        <item x="1945"/>
        <item x="1458"/>
        <item x="907"/>
        <item x="23"/>
        <item x="830"/>
        <item x="1006"/>
        <item x="1921"/>
        <item x="914"/>
        <item x="1623"/>
        <item x="356"/>
        <item x="1625"/>
        <item x="1464"/>
        <item x="1564"/>
        <item x="1579"/>
        <item x="476"/>
        <item x="1798"/>
        <item x="1738"/>
        <item x="1795"/>
        <item x="268"/>
        <item x="654"/>
        <item x="193"/>
        <item x="1429"/>
        <item x="223"/>
        <item x="261"/>
        <item x="1927"/>
        <item x="1257"/>
        <item x="682"/>
        <item x="116"/>
        <item x="212"/>
        <item x="1943"/>
        <item x="846"/>
        <item x="1460"/>
        <item x="317"/>
        <item x="1437"/>
        <item x="375"/>
        <item x="7"/>
        <item x="456"/>
        <item x="552"/>
        <item x="1791"/>
        <item x="613"/>
        <item x="201"/>
        <item x="1179"/>
        <item x="1315"/>
        <item x="1151"/>
        <item x="1592"/>
        <item x="1240"/>
        <item x="146"/>
        <item x="880"/>
        <item x="253"/>
        <item x="155"/>
        <item x="1501"/>
        <item x="1459"/>
        <item x="1495"/>
        <item x="230"/>
        <item x="452"/>
        <item x="417"/>
        <item x="761"/>
        <item x="1590"/>
        <item x="1555"/>
        <item x="192"/>
        <item x="891"/>
        <item x="1620"/>
        <item x="812"/>
        <item x="622"/>
        <item x="1285"/>
        <item x="1865"/>
        <item x="342"/>
        <item x="484"/>
        <item x="1976"/>
        <item x="996"/>
        <item x="118"/>
        <item x="734"/>
        <item x="516"/>
        <item x="1143"/>
        <item x="1988"/>
        <item x="671"/>
        <item x="718"/>
        <item x="1496"/>
        <item x="1137"/>
        <item x="1565"/>
        <item x="601"/>
        <item x="1266"/>
        <item x="1431"/>
        <item x="424"/>
        <item x="1180"/>
        <item x="187"/>
        <item x="1879"/>
        <item x="1540"/>
        <item x="1982"/>
        <item x="1978"/>
        <item x="1101"/>
        <item x="553"/>
        <item x="1117"/>
        <item x="781"/>
        <item x="278"/>
        <item x="1251"/>
        <item x="883"/>
        <item x="598"/>
        <item x="1856"/>
        <item x="681"/>
        <item x="1694"/>
        <item x="604"/>
        <item x="1309"/>
        <item x="18"/>
        <item x="1736"/>
        <item x="1080"/>
        <item x="556"/>
        <item x="862"/>
        <item x="343"/>
        <item x="460"/>
        <item x="1208"/>
        <item x="194"/>
        <item x="825"/>
        <item x="1851"/>
        <item x="91"/>
        <item x="505"/>
        <item x="250"/>
        <item x="394"/>
        <item x="631"/>
        <item x="1961"/>
        <item x="1518"/>
        <item x="831"/>
        <item x="1136"/>
        <item x="796"/>
        <item x="1330"/>
        <item x="1008"/>
        <item x="1129"/>
        <item x="1568"/>
        <item x="1320"/>
        <item x="243"/>
        <item x="284"/>
        <item x="765"/>
        <item x="1161"/>
        <item x="873"/>
        <item x="623"/>
        <item x="609"/>
        <item x="1647"/>
        <item x="1745"/>
        <item x="1420"/>
        <item x="714"/>
        <item x="1710"/>
        <item x="837"/>
        <item x="1106"/>
        <item x="1118"/>
        <item x="549"/>
        <item x="1965"/>
        <item x="897"/>
        <item x="36"/>
        <item x="1621"/>
        <item x="1007"/>
        <item x="1597"/>
        <item x="1022"/>
        <item x="1404"/>
        <item x="895"/>
        <item x="534"/>
        <item x="1847"/>
        <item x="1400"/>
        <item x="571"/>
        <item x="1666"/>
        <item x="1375"/>
        <item x="1525"/>
        <item x="1469"/>
        <item x="1902"/>
        <item x="1056"/>
        <item x="210"/>
        <item x="1878"/>
        <item x="721"/>
        <item x="1482"/>
        <item x="135"/>
        <item x="265"/>
        <item x="1615"/>
        <item x="1748"/>
        <item x="196"/>
        <item x="494"/>
        <item x="274"/>
        <item x="994"/>
        <item x="633"/>
        <item x="1054"/>
        <item x="1121"/>
        <item x="886"/>
        <item x="127"/>
        <item x="1953"/>
        <item x="1863"/>
        <item x="1828"/>
        <item x="1433"/>
        <item x="1777"/>
        <item x="1333"/>
        <item x="1489"/>
        <item x="561"/>
        <item x="1329"/>
        <item x="1715"/>
        <item x="888"/>
        <item x="1512"/>
        <item x="111"/>
        <item x="485"/>
        <item x="1714"/>
        <item x="526"/>
        <item x="340"/>
        <item x="868"/>
        <item x="445"/>
        <item x="667"/>
        <item x="139"/>
        <item x="286"/>
        <item x="1365"/>
        <item x="1997"/>
        <item x="882"/>
        <item x="1516"/>
        <item x="498"/>
        <item x="1966"/>
        <item x="1757"/>
        <item x="1148"/>
        <item x="1186"/>
        <item x="1796"/>
        <item x="12"/>
        <item x="151"/>
        <item x="184"/>
        <item x="1632"/>
        <item x="273"/>
        <item x="1126"/>
        <item x="507"/>
        <item x="807"/>
        <item x="1481"/>
        <item x="924"/>
        <item x="1528"/>
        <item x="1545"/>
        <item x="1640"/>
        <item x="640"/>
        <item x="861"/>
        <item x="1535"/>
        <item x="1641"/>
        <item x="1211"/>
        <item x="8"/>
        <item x="1712"/>
        <item x="1014"/>
        <item x="1718"/>
        <item x="678"/>
        <item x="1095"/>
        <item x="949"/>
        <item x="170"/>
        <item x="913"/>
        <item x="1001"/>
        <item x="993"/>
        <item x="1503"/>
        <item x="1727"/>
        <item x="1256"/>
        <item x="1823"/>
        <item x="330"/>
        <item x="318"/>
        <item x="676"/>
        <item x="1139"/>
        <item x="347"/>
        <item x="872"/>
        <item x="697"/>
        <item x="1783"/>
        <item x="1707"/>
        <item x="1094"/>
        <item x="530"/>
        <item x="1752"/>
        <item x="599"/>
        <item x="70"/>
        <item x="1766"/>
        <item x="716"/>
        <item x="181"/>
        <item x="439"/>
        <item x="892"/>
        <item x="214"/>
        <item x="1277"/>
        <item x="1844"/>
        <item x="1448"/>
        <item x="639"/>
        <item x="1596"/>
        <item x="1862"/>
        <item x="1941"/>
        <item x="326"/>
        <item x="5"/>
        <item x="1698"/>
        <item x="369"/>
        <item x="80"/>
        <item x="1294"/>
        <item x="1717"/>
        <item x="1695"/>
        <item x="909"/>
        <item x="1731"/>
        <item x="926"/>
        <item x="1649"/>
        <item x="1893"/>
        <item x="1029"/>
        <item x="348"/>
        <item x="1247"/>
        <item x="1236"/>
        <item x="839"/>
        <item x="1017"/>
        <item x="319"/>
        <item x="1955"/>
        <item x="834"/>
        <item x="1716"/>
        <item x="710"/>
        <item x="911"/>
        <item x="1012"/>
        <item x="657"/>
        <item x="1347"/>
        <item x="406"/>
        <item x="546"/>
        <item x="1038"/>
        <item x="997"/>
        <item x="1559"/>
        <item x="203"/>
        <item x="1675"/>
        <item x="1099"/>
        <item x="1470"/>
        <item x="218"/>
        <item x="83"/>
        <item x="14"/>
        <item x="1701"/>
        <item x="1817"/>
        <item x="1669"/>
        <item x="30"/>
        <item x="1820"/>
        <item x="700"/>
        <item x="461"/>
        <item x="313"/>
        <item x="474"/>
        <item x="1928"/>
        <item x="1173"/>
        <item x="236"/>
        <item x="341"/>
        <item x="1885"/>
        <item x="1009"/>
        <item x="702"/>
        <item x="596"/>
        <item x="427"/>
        <item x="82"/>
        <item x="554"/>
        <item x="1108"/>
        <item x="1711"/>
        <item x="1289"/>
        <item x="1307"/>
        <item x="1598"/>
        <item x="973"/>
        <item x="65"/>
        <item x="1154"/>
        <item x="919"/>
        <item x="415"/>
        <item x="145"/>
        <item x="1616"/>
        <item x="783"/>
        <item x="611"/>
        <item x="402"/>
        <item x="659"/>
        <item x="944"/>
        <item x="977"/>
        <item x="1606"/>
        <item x="446"/>
        <item x="1724"/>
        <item x="1613"/>
        <item x="980"/>
        <item x="1085"/>
        <item x="409"/>
        <item x="1073"/>
        <item x="727"/>
        <item x="53"/>
        <item x="775"/>
        <item x="327"/>
        <item x="377"/>
        <item x="1853"/>
        <item x="1115"/>
        <item x="229"/>
        <item x="47"/>
        <item x="752"/>
        <item x="1629"/>
        <item x="958"/>
        <item x="109"/>
        <item x="1638"/>
        <item x="1245"/>
        <item x="1379"/>
        <item x="915"/>
        <item x="332"/>
        <item x="1286"/>
        <item x="1414"/>
        <item x="743"/>
        <item x="850"/>
        <item x="1183"/>
        <item x="93"/>
        <item x="104"/>
        <item x="1461"/>
        <item x="1706"/>
        <item x="11"/>
        <item x="586"/>
        <item x="1678"/>
        <item x="1249"/>
        <item x="1693"/>
        <item x="1875"/>
        <item x="763"/>
        <item x="878"/>
        <item x="901"/>
        <item x="1083"/>
        <item x="1337"/>
        <item x="1490"/>
        <item x="259"/>
        <item x="220"/>
        <item x="379"/>
        <item x="1571"/>
        <item x="1189"/>
        <item x="1604"/>
        <item x="489"/>
        <item x="689"/>
        <item x="884"/>
        <item x="1296"/>
        <item x="632"/>
        <item x="418"/>
        <item x="525"/>
        <item x="610"/>
        <item x="442"/>
        <item x="321"/>
        <item x="835"/>
        <item x="368"/>
        <item x="302"/>
        <item x="1190"/>
        <item x="1749"/>
        <item x="1221"/>
        <item x="186"/>
        <item x="1346"/>
        <item x="1521"/>
        <item x="1413"/>
        <item x="486"/>
        <item t="default"/>
      </items>
    </pivotField>
    <pivotField showAll="0" sortType="descending">
      <items count="7">
        <item m="1" x="5"/>
        <item m="1" x="4"/>
        <item m="1" x="2"/>
        <item x="0"/>
        <item x="1"/>
        <item m="1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 sortType="ascending">
      <items count="43">
        <item m="1" x="26"/>
        <item m="1" x="24"/>
        <item m="1" x="29"/>
        <item m="1" x="25"/>
        <item m="1" x="36"/>
        <item m="1" x="40"/>
        <item m="1" x="33"/>
        <item m="1" x="41"/>
        <item m="1" x="38"/>
        <item m="1" x="23"/>
        <item m="1" x="39"/>
        <item m="1" x="32"/>
        <item m="1" x="37"/>
        <item m="1" x="35"/>
        <item m="1" x="30"/>
        <item m="1" x="27"/>
        <item m="1" x="31"/>
        <item m="1" x="28"/>
        <item m="1" x="34"/>
        <item m="1" x="12"/>
        <item m="1" x="15"/>
        <item m="1" x="13"/>
        <item m="1" x="16"/>
        <item m="1" x="17"/>
        <item m="1" x="14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 v="38"/>
    </i>
    <i>
      <x v="30"/>
    </i>
    <i>
      <x v="40"/>
    </i>
    <i>
      <x v="33"/>
    </i>
    <i>
      <x v="39"/>
    </i>
    <i>
      <x v="36"/>
    </i>
    <i>
      <x v="37"/>
    </i>
    <i>
      <x v="34"/>
    </i>
    <i>
      <x v="41"/>
    </i>
    <i>
      <x v="32"/>
    </i>
    <i>
      <x v="31"/>
    </i>
    <i>
      <x v="35"/>
    </i>
    <i t="grand">
      <x/>
    </i>
  </rowItems>
  <colItems count="1">
    <i/>
  </colItems>
  <dataFields count="1">
    <dataField name="Contagem de protocolo" fld="0" subtotal="count" baseField="0" baseItem="0"/>
  </dataFields>
  <chartFormats count="1"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82688-A412-4DC0-847B-750D8468DD19}" name="Tabela dinâ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">
  <location ref="A52:B55" firstHeaderRow="1" firstDataRow="1" firstDataCol="1"/>
  <pivotFields count="13">
    <pivotField showAll="0"/>
    <pivotField axis="axisRow" showAll="0">
      <items count="7">
        <item m="1" x="5"/>
        <item m="1" x="4"/>
        <item m="1" x="2"/>
        <item x="0"/>
        <item x="1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 v="3"/>
    </i>
    <i>
      <x v="4"/>
    </i>
    <i t="grand">
      <x/>
    </i>
  </rowItems>
  <colItems count="1">
    <i/>
  </colItems>
  <dataFields count="1">
    <dataField name="Contagem de negocio" fld="10" subtotal="count" baseField="0" baseItem="0"/>
  </dataFields>
  <chartFormats count="6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60D9F-EC2E-431A-8D35-6D802DF52CCC}" name="Tabela dinâ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">
  <location ref="A46:B49" firstHeaderRow="1" firstDataRow="1" firstDataCol="1"/>
  <pivotFields count="13">
    <pivotField dataField="1" showAll="0"/>
    <pivotField axis="axisRow" showAll="0">
      <items count="7">
        <item m="1" x="5"/>
        <item m="1" x="4"/>
        <item m="1" x="2"/>
        <item x="0"/>
        <item x="1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 v="3"/>
    </i>
    <i>
      <x v="4"/>
    </i>
    <i t="grand">
      <x/>
    </i>
  </rowItems>
  <colItems count="1">
    <i/>
  </colItems>
  <dataFields count="1">
    <dataField name="Contagem de protocolo" fld="0" subtotal="count" baseField="0" baseItem="0"/>
  </dataFields>
  <chartFormats count="6">
    <chartFormat chart="2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F1610B-D5CE-444A-B7AC-58A4E99BA763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6">
  <location ref="A22:B35" firstHeaderRow="1" firstDataRow="1" firstDataCol="1"/>
  <pivotFields count="13">
    <pivotField showAll="0"/>
    <pivotField showAll="0"/>
    <pivotField showAll="0"/>
    <pivotField axis="axisRow" showAll="0" sortType="ascending">
      <items count="43">
        <item m="1" x="26"/>
        <item m="1" x="24"/>
        <item m="1" x="29"/>
        <item m="1" x="25"/>
        <item m="1" x="36"/>
        <item m="1" x="40"/>
        <item m="1" x="33"/>
        <item m="1" x="41"/>
        <item m="1" x="38"/>
        <item m="1" x="23"/>
        <item m="1" x="39"/>
        <item m="1" x="32"/>
        <item m="1" x="37"/>
        <item m="1" x="35"/>
        <item m="1" x="30"/>
        <item m="1" x="27"/>
        <item m="1" x="31"/>
        <item m="1" x="28"/>
        <item m="1" x="34"/>
        <item m="1" x="12"/>
        <item m="1" x="15"/>
        <item m="1" x="13"/>
        <item m="1" x="16"/>
        <item m="1" x="17"/>
        <item m="1" x="14"/>
        <item m="1" x="18"/>
        <item m="1" x="19"/>
        <item m="1" x="20"/>
        <item m="1" x="21"/>
        <item m="1"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3">
    <i>
      <x v="37"/>
    </i>
    <i>
      <x v="40"/>
    </i>
    <i>
      <x v="39"/>
    </i>
    <i>
      <x v="41"/>
    </i>
    <i>
      <x v="38"/>
    </i>
    <i>
      <x v="30"/>
    </i>
    <i>
      <x v="36"/>
    </i>
    <i>
      <x v="35"/>
    </i>
    <i>
      <x v="34"/>
    </i>
    <i>
      <x v="33"/>
    </i>
    <i>
      <x v="31"/>
    </i>
    <i>
      <x v="32"/>
    </i>
    <i t="grand">
      <x/>
    </i>
  </rowItems>
  <colItems count="1">
    <i/>
  </colItems>
  <dataFields count="1">
    <dataField name="Contagem de negocio" fld="10" subtotal="count" baseField="0" baseItem="0"/>
  </dataFields>
  <chartFormats count="1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258AA-6436-4D3A-8D46-BD4602DBB2C5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4">
  <location ref="A3:B8" firstHeaderRow="1" firstDataRow="1" firstDataCol="1"/>
  <pivotFields count="13">
    <pivotField showAll="0"/>
    <pivotField showAll="0"/>
    <pivotField axis="axisRow" showAll="0" sortType="ascending">
      <items count="23">
        <item m="1" x="20"/>
        <item m="1" x="13"/>
        <item m="1" x="17"/>
        <item m="1" x="12"/>
        <item m="1" x="14"/>
        <item m="1" x="21"/>
        <item x="3"/>
        <item m="1" x="11"/>
        <item m="1" x="19"/>
        <item m="1" x="18"/>
        <item m="1" x="16"/>
        <item m="1" x="15"/>
        <item m="1" x="4"/>
        <item m="1" x="5"/>
        <item m="1" x="8"/>
        <item m="1" x="6"/>
        <item x="1"/>
        <item x="0"/>
        <item m="1" x="9"/>
        <item x="2"/>
        <item m="1" x="7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5">
    <i>
      <x v="17"/>
    </i>
    <i>
      <x v="6"/>
    </i>
    <i>
      <x v="19"/>
    </i>
    <i>
      <x v="16"/>
    </i>
    <i t="grand">
      <x/>
    </i>
  </rowItems>
  <colItems count="1">
    <i/>
  </colItems>
  <dataFields count="1">
    <dataField name="Contagem de negocio" fld="10" subtotal="count" baseField="0" baseItem="0"/>
  </dataFields>
  <chartFormats count="1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A5556-D88B-4182-8AF2-BFB66F205BEA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3">
  <location ref="A19:B30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m="1" x="14"/>
        <item x="0"/>
        <item x="3"/>
        <item x="6"/>
        <item m="1" x="18"/>
        <item m="1" x="11"/>
        <item m="1" x="17"/>
        <item x="1"/>
        <item m="1" x="12"/>
        <item x="8"/>
        <item m="1" x="13"/>
        <item x="2"/>
        <item x="7"/>
        <item x="5"/>
        <item x="4"/>
        <item x="9"/>
        <item m="1" x="15"/>
        <item m="1" x="16"/>
        <item m="1"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9"/>
  </rowFields>
  <rowItems count="11">
    <i>
      <x v="3"/>
    </i>
    <i>
      <x v="9"/>
    </i>
    <i>
      <x v="11"/>
    </i>
    <i>
      <x v="7"/>
    </i>
    <i>
      <x v="2"/>
    </i>
    <i>
      <x v="13"/>
    </i>
    <i>
      <x v="14"/>
    </i>
    <i>
      <x v="1"/>
    </i>
    <i>
      <x v="15"/>
    </i>
    <i>
      <x v="12"/>
    </i>
    <i t="grand">
      <x/>
    </i>
  </rowItems>
  <colItems count="1">
    <i/>
  </colItems>
  <dataFields count="1">
    <dataField name="Contagem de negocio" fld="10" subtotal="count" baseField="0" baseItem="0"/>
  </dataFields>
  <chartFormats count="1">
    <chartFormat chart="1" format="2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4BBAEC-F76E-4B87-808D-DE65D8C6A931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A3:B14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0">
        <item m="1" x="14"/>
        <item x="3"/>
        <item x="6"/>
        <item m="1" x="18"/>
        <item m="1" x="11"/>
        <item m="1" x="17"/>
        <item m="1" x="12"/>
        <item x="8"/>
        <item m="1" x="13"/>
        <item x="7"/>
        <item m="1" x="15"/>
        <item m="1" x="10"/>
        <item x="1"/>
        <item m="1" x="16"/>
        <item x="0"/>
        <item x="2"/>
        <item x="4"/>
        <item x="5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9"/>
  </rowFields>
  <rowItems count="11">
    <i>
      <x v="2"/>
    </i>
    <i>
      <x v="7"/>
    </i>
    <i>
      <x v="17"/>
    </i>
    <i>
      <x v="12"/>
    </i>
    <i>
      <x v="15"/>
    </i>
    <i>
      <x v="18"/>
    </i>
    <i>
      <x v="16"/>
    </i>
    <i>
      <x v="9"/>
    </i>
    <i>
      <x v="1"/>
    </i>
    <i>
      <x v="14"/>
    </i>
    <i t="grand">
      <x/>
    </i>
  </rowItems>
  <colItems count="1">
    <i/>
  </colItems>
  <dataFields count="1">
    <dataField name="Contagem de protocolo" fld="0" subtotal="count" baseField="0" baseItem="0"/>
  </dataFields>
  <chartFormats count="1">
    <chartFormat chart="2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5C671-A4FB-441A-9834-6253DAF97D78}" name="Tabela dinâmica6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A25:B28" firstHeaderRow="1" firstDataRow="1" firstDataCol="1"/>
  <pivotFields count="13">
    <pivotField showAll="0"/>
    <pivotField axis="axisRow" showAll="0">
      <items count="7">
        <item m="1" x="5"/>
        <item m="1" x="4"/>
        <item m="1" x="2"/>
        <item x="0"/>
        <item x="1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"/>
  </rowFields>
  <rowItems count="3">
    <i>
      <x v="3"/>
    </i>
    <i>
      <x v="4"/>
    </i>
    <i t="grand">
      <x/>
    </i>
  </rowItems>
  <colItems count="1">
    <i/>
  </colItems>
  <dataFields count="1">
    <dataField name="Contagem de negocio" fld="10" subtotal="count" baseField="0" baseItem="0"/>
  </dataFields>
  <chartFormats count="3">
    <chartFormat chart="2" format="9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9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35FD8E-2FA7-4EE5-809F-BD21FF0E3A5C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 chartFormat="5">
  <location ref="A3:C16" firstHeaderRow="0" firstDataRow="1" firstDataCol="1"/>
  <pivotFields count="13">
    <pivotField dataField="1" showAll="0"/>
    <pivotField showAll="0"/>
    <pivotField showAll="0"/>
    <pivotField axis="axisRow" showAll="0">
      <items count="43">
        <item m="1" x="26"/>
        <item m="1" x="21"/>
        <item m="1" x="24"/>
        <item m="1" x="29"/>
        <item m="1" x="25"/>
        <item m="1" x="19"/>
        <item m="1" x="36"/>
        <item m="1" x="40"/>
        <item m="1" x="33"/>
        <item m="1" x="41"/>
        <item m="1" x="13"/>
        <item m="1" x="17"/>
        <item m="1" x="38"/>
        <item m="1" x="23"/>
        <item m="1" x="20"/>
        <item m="1" x="39"/>
        <item m="1" x="16"/>
        <item m="1" x="32"/>
        <item m="1" x="37"/>
        <item m="1" x="35"/>
        <item m="1" x="30"/>
        <item m="1" x="27"/>
        <item m="1" x="31"/>
        <item m="1" x="15"/>
        <item m="1" x="28"/>
        <item m="1" x="22"/>
        <item m="1" x="34"/>
        <item m="1" x="14"/>
        <item m="1" x="18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13"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 t="grand">
      <x/>
    </i>
  </rowItems>
  <colFields count="1">
    <field x="-2"/>
  </colFields>
  <colItems count="2">
    <i>
      <x/>
    </i>
    <i i="1">
      <x v="1"/>
    </i>
  </colItems>
  <dataFields count="2">
    <dataField name="Leads" fld="0" subtotal="count" baseField="3" baseItem="10"/>
    <dataField name="Negocios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EC353C-4B59-4E68-8FD5-25A8AEB96737}" name="Tabela dinâmica7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1:B34" firstHeaderRow="1" firstDataRow="1" firstDataCol="1"/>
  <pivotFields count="13">
    <pivotField dataField="1" showAll="0"/>
    <pivotField axis="axisRow" showAll="0">
      <items count="7">
        <item m="1" x="5"/>
        <item x="1"/>
        <item x="0"/>
        <item m="1" x="4"/>
        <item m="1" x="3"/>
        <item m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</pivotFields>
  <rowFields count="1">
    <field x="1"/>
  </rowFields>
  <rowItems count="3">
    <i>
      <x v="1"/>
    </i>
    <i>
      <x v="2"/>
    </i>
    <i t="grand">
      <x/>
    </i>
  </rowItems>
  <colItems count="1">
    <i/>
  </colItems>
  <dataFields count="1">
    <dataField name="Contagem de protocolo" fld="0" subtotal="count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ACA2D9-BB43-4378-A325-17C161984DF7}" name="Tabela dinâmica8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B53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79">
        <item m="1" x="177"/>
        <item m="1" x="176"/>
        <item m="1" x="175"/>
        <item m="1" x="174"/>
        <item m="1" x="173"/>
        <item m="1" x="172"/>
        <item m="1" x="171"/>
        <item m="1" x="170"/>
        <item m="1" x="169"/>
        <item m="1" x="168"/>
        <item m="1" x="167"/>
        <item m="1" x="166"/>
        <item m="1" x="165"/>
        <item m="1" x="164"/>
        <item m="1" x="163"/>
        <item m="1" x="162"/>
        <item m="1" x="161"/>
        <item m="1" x="160"/>
        <item m="1" x="159"/>
        <item m="1" x="158"/>
        <item m="1" x="157"/>
        <item m="1" x="156"/>
        <item m="1" x="155"/>
        <item m="1" x="154"/>
        <item m="1" x="153"/>
        <item m="1" x="152"/>
        <item m="1" x="151"/>
        <item m="1" x="150"/>
        <item m="1" x="149"/>
        <item m="1" x="148"/>
        <item m="1" x="147"/>
        <item m="1" x="146"/>
        <item m="1" x="145"/>
        <item m="1" x="144"/>
        <item m="1" x="143"/>
        <item m="1" x="142"/>
        <item m="1" x="141"/>
        <item m="1" x="140"/>
        <item m="1" x="139"/>
        <item m="1" x="138"/>
        <item m="1" x="137"/>
        <item m="1" x="136"/>
        <item m="1" x="135"/>
        <item m="1" x="134"/>
        <item m="1" x="133"/>
        <item m="1" x="132"/>
        <item m="1" x="131"/>
        <item m="1" x="130"/>
        <item m="1" x="129"/>
        <item m="1" x="128"/>
        <item m="1" x="127"/>
        <item m="1" x="126"/>
        <item m="1" x="125"/>
        <item m="1" x="124"/>
        <item m="1" x="123"/>
        <item m="1" x="122"/>
        <item m="1" x="121"/>
        <item m="1" x="120"/>
        <item m="1" x="119"/>
        <item m="1" x="118"/>
        <item m="1" x="117"/>
        <item m="1" x="116"/>
        <item m="1" x="115"/>
        <item m="1" x="114"/>
        <item m="1" x="113"/>
        <item m="1" x="112"/>
        <item m="1" x="111"/>
        <item m="1" x="110"/>
        <item m="1" x="109"/>
        <item m="1" x="108"/>
        <item m="1" x="107"/>
        <item m="1" x="106"/>
        <item m="1" x="105"/>
        <item m="1" x="104"/>
        <item m="1" x="103"/>
        <item m="1" x="102"/>
        <item m="1" x="101"/>
        <item m="1" x="100"/>
        <item m="1" x="99"/>
        <item m="1" x="98"/>
        <item m="1" x="97"/>
        <item m="1" x="96"/>
        <item m="1" x="95"/>
        <item m="1" x="94"/>
        <item m="1" x="93"/>
        <item m="1" x="92"/>
        <item m="1" x="91"/>
        <item m="1" x="90"/>
        <item m="1" x="89"/>
        <item m="1" x="88"/>
        <item m="1" x="87"/>
        <item m="1" x="86"/>
        <item m="1" x="85"/>
        <item m="1" x="84"/>
        <item m="1" x="83"/>
        <item m="1" x="82"/>
        <item m="1" x="81"/>
        <item m="1" x="80"/>
        <item m="1" x="79"/>
        <item m="1" x="78"/>
        <item m="1" x="77"/>
        <item m="1" x="76"/>
        <item m="1" x="75"/>
        <item m="1" x="74"/>
        <item m="1" x="73"/>
        <item m="1" x="72"/>
        <item m="1" x="71"/>
        <item m="1" x="70"/>
        <item m="1" x="49"/>
        <item m="1" x="53"/>
        <item m="1" x="50"/>
        <item m="1" x="54"/>
        <item m="1" x="55"/>
        <item m="1" x="51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52"/>
        <item m="1" x="65"/>
        <item m="1" x="66"/>
        <item m="1" x="67"/>
        <item m="1" x="68"/>
        <item m="1" x="6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50">
    <i>
      <x v="134"/>
    </i>
    <i>
      <x v="137"/>
    </i>
    <i>
      <x v="153"/>
    </i>
    <i>
      <x v="155"/>
    </i>
    <i>
      <x v="142"/>
    </i>
    <i>
      <x v="146"/>
    </i>
    <i>
      <x v="136"/>
    </i>
    <i>
      <x v="133"/>
    </i>
    <i>
      <x v="151"/>
    </i>
    <i>
      <x v="132"/>
    </i>
    <i>
      <x v="139"/>
    </i>
    <i>
      <x v="152"/>
    </i>
    <i>
      <x v="161"/>
    </i>
    <i>
      <x v="138"/>
    </i>
    <i>
      <x v="150"/>
    </i>
    <i>
      <x v="157"/>
    </i>
    <i>
      <x v="145"/>
    </i>
    <i>
      <x v="171"/>
    </i>
    <i>
      <x v="163"/>
    </i>
    <i>
      <x v="156"/>
    </i>
    <i>
      <x v="140"/>
    </i>
    <i>
      <x v="141"/>
    </i>
    <i>
      <x v="135"/>
    </i>
    <i>
      <x v="169"/>
    </i>
    <i>
      <x v="166"/>
    </i>
    <i>
      <x v="148"/>
    </i>
    <i>
      <x v="164"/>
    </i>
    <i>
      <x v="158"/>
    </i>
    <i>
      <x v="172"/>
    </i>
    <i>
      <x v="175"/>
    </i>
    <i>
      <x v="160"/>
    </i>
    <i>
      <x v="129"/>
    </i>
    <i>
      <x v="131"/>
    </i>
    <i>
      <x v="168"/>
    </i>
    <i>
      <x v="149"/>
    </i>
    <i>
      <x v="143"/>
    </i>
    <i>
      <x v="176"/>
    </i>
    <i>
      <x v="174"/>
    </i>
    <i>
      <x v="144"/>
    </i>
    <i>
      <x v="130"/>
    </i>
    <i>
      <x v="177"/>
    </i>
    <i>
      <x v="173"/>
    </i>
    <i>
      <x v="165"/>
    </i>
    <i>
      <x v="147"/>
    </i>
    <i>
      <x v="167"/>
    </i>
    <i>
      <x v="154"/>
    </i>
    <i>
      <x v="162"/>
    </i>
    <i>
      <x v="170"/>
    </i>
    <i>
      <x v="159"/>
    </i>
    <i t="grand">
      <x/>
    </i>
  </rowItems>
  <colItems count="1">
    <i/>
  </colItems>
  <dataFields count="1">
    <dataField name="Contagem de desembolso" fld="1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7873E08-CD8F-4210-B558-89E35E9049A0}" autoFormatId="16" applyNumberFormats="0" applyBorderFormats="0" applyFontFormats="0" applyPatternFormats="0" applyAlignmentFormats="0" applyWidthHeightFormats="0">
  <queryTableRefresh nextId="14">
    <queryTableFields count="13">
      <queryTableField id="1" name="protocolo" tableColumnId="1"/>
      <queryTableField id="2" name="origem" tableColumnId="2"/>
      <queryTableField id="3" name="midia" tableColumnId="3"/>
      <queryTableField id="4" name="escritorio" tableColumnId="4"/>
      <queryTableField id="5" name="cod_esc" tableColumnId="5"/>
      <queryTableField id="6" name="cliente" tableColumnId="6"/>
      <queryTableField id="7" name="cpf" tableColumnId="7"/>
      <queryTableField id="8" name="cpf_tratado" tableColumnId="8"/>
      <queryTableField id="9" name="cidade" tableColumnId="9"/>
      <queryTableField id="10" name="uf" tableColumnId="10"/>
      <queryTableField id="11" name="negocio" tableColumnId="11"/>
      <queryTableField id="12" name="desembolso" tableColumnId="12"/>
      <queryTableField id="13" name="unidade_crediamigo" tableColumnId="1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scritorio" xr10:uid="{6F57F3BE-A65B-4D33-9CD7-4A7C5B9B09DE}" sourceName="escritorio">
  <pivotTables>
    <pivotTable tabId="3" name="Tabela dinâmica1"/>
  </pivotTables>
  <data>
    <tabular pivotCacheId="1225033449">
      <items count="42">
        <i x="0" s="1"/>
        <i x="3" s="1"/>
        <i x="9" s="1"/>
        <i x="6" s="1"/>
        <i x="1" s="1"/>
        <i x="10" s="1"/>
        <i x="8" s="1"/>
        <i x="2" s="1"/>
        <i x="7" s="1"/>
        <i x="5" s="1"/>
        <i x="4" s="1"/>
        <i x="11" s="1"/>
        <i x="26" s="1" nd="1"/>
        <i x="21" s="1" nd="1"/>
        <i x="24" s="1" nd="1"/>
        <i x="29" s="1" nd="1"/>
        <i x="25" s="1" nd="1"/>
        <i x="19" s="1" nd="1"/>
        <i x="36" s="1" nd="1"/>
        <i x="40" s="1" nd="1"/>
        <i x="33" s="1" nd="1"/>
        <i x="41" s="1" nd="1"/>
        <i x="13" s="1" nd="1"/>
        <i x="17" s="1" nd="1"/>
        <i x="38" s="1" nd="1"/>
        <i x="23" s="1" nd="1"/>
        <i x="20" s="1" nd="1"/>
        <i x="39" s="1" nd="1"/>
        <i x="16" s="1" nd="1"/>
        <i x="32" s="1" nd="1"/>
        <i x="37" s="1" nd="1"/>
        <i x="35" s="1" nd="1"/>
        <i x="30" s="1" nd="1"/>
        <i x="27" s="1" nd="1"/>
        <i x="31" s="1" nd="1"/>
        <i x="15" s="1" nd="1"/>
        <i x="28" s="1" nd="1"/>
        <i x="22" s="1" nd="1"/>
        <i x="34" s="1" nd="1"/>
        <i x="14" s="1" nd="1"/>
        <i x="18" s="1" nd="1"/>
        <i x="1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rigem" xr10:uid="{6CEDA989-C710-47C6-8983-8272496ED0BA}" sourceName="origem">
  <pivotTables>
    <pivotTable tabId="3" name="Tabela dinâmica1"/>
  </pivotTables>
  <data>
    <tabular pivotCacheId="1225033449">
      <items count="6">
        <i x="1" s="1"/>
        <i x="0" s="1"/>
        <i x="5" s="1" nd="1"/>
        <i x="4" s="1" nd="1"/>
        <i x="3" s="1" nd="1"/>
        <i x="2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uf" xr10:uid="{264FFD97-420F-47E3-944F-65800493EEE8}" sourceName="uf">
  <pivotTables>
    <pivotTable tabId="5" name="Tabela dinâmica4"/>
  </pivotTables>
  <data>
    <tabular pivotCacheId="1225033449">
      <items count="19">
        <i x="0" s="1"/>
        <i x="3" s="1"/>
        <i x="6" s="1"/>
        <i x="1" s="1"/>
        <i x="8" s="1"/>
        <i x="2" s="1"/>
        <i x="7" s="1"/>
        <i x="5" s="1"/>
        <i x="4" s="1"/>
        <i x="9" s="1"/>
        <i x="14" s="1" nd="1"/>
        <i x="18" s="1" nd="1"/>
        <i x="11" s="1" nd="1"/>
        <i x="17" s="1" nd="1"/>
        <i x="12" s="1" nd="1"/>
        <i x="13" s="1" nd="1"/>
        <i x="15" s="1" nd="1"/>
        <i x="16" s="1" nd="1"/>
        <i x="10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scritorio" xr10:uid="{7806B64F-2A47-4066-BE4D-38D7D225325A}" cache="SegmentaçãodeDados_escritorio" caption="escritorio" columnCount="2" rowHeight="247650"/>
  <slicer name="origem" xr10:uid="{1E97EE49-FCC5-4CD9-93AB-9FB3A97C2DC7}" cache="SegmentaçãodeDados_origem" caption="origem" style="SlicerStyleOther1" rowHeight="247650"/>
  <slicer name="uf" xr10:uid="{E0A49F9E-F0D6-4AFA-BBB1-0168A2AC5C38}" cache="SegmentaçãodeDados_uf" caption="uf" columnCount="2" rowHeight="2476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85CA9-5105-4D1E-B4E0-1DA21589D742}" name="base" displayName="base" ref="A1:M2001" tableType="queryTable" totalsRowShown="0">
  <autoFilter ref="A1:M2001" xr:uid="{6BD85CA9-5105-4D1E-B4E0-1DA21589D742}"/>
  <tableColumns count="13">
    <tableColumn id="1" xr3:uid="{1A615027-7036-47CF-9AEC-B8063656F4D7}" uniqueName="1" name="protocolo" queryTableFieldId="1" dataDxfId="9"/>
    <tableColumn id="2" xr3:uid="{A8706ECA-875E-49DD-A08D-3593DE9E34B6}" uniqueName="2" name="origem" queryTableFieldId="2" dataDxfId="8"/>
    <tableColumn id="3" xr3:uid="{B86025C0-69D4-4BB1-A5E9-FE76BC7DFFA5}" uniqueName="3" name="midia" queryTableFieldId="3" dataDxfId="7"/>
    <tableColumn id="4" xr3:uid="{40C451C6-5F42-4199-9EAC-49543549FCA6}" uniqueName="4" name="escritorio" queryTableFieldId="4" dataDxfId="6"/>
    <tableColumn id="5" xr3:uid="{330586D6-921F-4673-8D8C-50249B37E202}" uniqueName="5" name="cod_esc" queryTableFieldId="5"/>
    <tableColumn id="6" xr3:uid="{571FAA10-7826-47E6-9F3F-089AE4A75269}" uniqueName="6" name="cliente" queryTableFieldId="6" dataDxfId="5"/>
    <tableColumn id="7" xr3:uid="{BEFCB5B2-AFD3-43E8-BD05-D18873B5DFE9}" uniqueName="7" name="cpf" queryTableFieldId="7" dataDxfId="4"/>
    <tableColumn id="8" xr3:uid="{AE13AFB6-8936-49BE-93BB-4E8710E7615C}" uniqueName="8" name="cpf_tratado" queryTableFieldId="8"/>
    <tableColumn id="9" xr3:uid="{B59E358B-C577-4995-93D9-FBE78F07BE53}" uniqueName="9" name="cidade" queryTableFieldId="9" dataDxfId="3"/>
    <tableColumn id="10" xr3:uid="{096E46D7-4598-44C3-8053-E3A64A2733FE}" uniqueName="10" name="uf" queryTableFieldId="10" dataDxfId="2"/>
    <tableColumn id="11" xr3:uid="{5F99DD63-5848-40F8-A8F4-F2EF21CAF062}" uniqueName="11" name="negocio" queryTableFieldId="11" dataDxfId="1"/>
    <tableColumn id="12" xr3:uid="{61713E3C-E079-410B-ADE1-E7ED0F135C1B}" uniqueName="12" name="desembolso" queryTableFieldId="12"/>
    <tableColumn id="13" xr3:uid="{9C51741C-5C3C-4AF4-A282-E0A2A51A1B9F}" uniqueName="13" name="unidade_crediamigo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FD52-7389-479B-9904-3FA25C33839E}">
  <sheetPr codeName="Planilha2"/>
  <dimension ref="A1:M2001"/>
  <sheetViews>
    <sheetView workbookViewId="0">
      <selection sqref="A1:M2001"/>
    </sheetView>
  </sheetViews>
  <sheetFormatPr defaultRowHeight="14.4" x14ac:dyDescent="0.3"/>
  <cols>
    <col min="1" max="1" width="10.88671875" bestFit="1" customWidth="1"/>
    <col min="2" max="2" width="8.77734375" bestFit="1" customWidth="1"/>
    <col min="3" max="3" width="9" bestFit="1" customWidth="1"/>
    <col min="4" max="4" width="10.88671875" bestFit="1" customWidth="1"/>
    <col min="5" max="5" width="9.88671875" bestFit="1" customWidth="1"/>
    <col min="6" max="6" width="25" bestFit="1" customWidth="1"/>
    <col min="7" max="8" width="13.88671875" bestFit="1" customWidth="1"/>
    <col min="9" max="9" width="12.77734375" bestFit="1" customWidth="1"/>
    <col min="10" max="10" width="4.77734375" bestFit="1" customWidth="1"/>
    <col min="11" max="11" width="9.5546875" bestFit="1" customWidth="1"/>
    <col min="12" max="12" width="13" bestFit="1" customWidth="1"/>
    <col min="13" max="13" width="19.6640625" bestFit="1" customWidth="1"/>
    <col min="14" max="14" width="13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36</v>
      </c>
      <c r="B2" t="s">
        <v>37</v>
      </c>
      <c r="C2" t="s">
        <v>25</v>
      </c>
      <c r="D2" t="s">
        <v>38</v>
      </c>
      <c r="E2">
        <v>3031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L2">
        <v>45661</v>
      </c>
      <c r="M2" t="s">
        <v>44</v>
      </c>
    </row>
    <row r="3" spans="1:13" x14ac:dyDescent="0.3">
      <c r="A3" t="s">
        <v>45</v>
      </c>
      <c r="B3" t="s">
        <v>46</v>
      </c>
      <c r="C3" t="s">
        <v>24</v>
      </c>
      <c r="D3" t="s">
        <v>47</v>
      </c>
      <c r="E3">
        <v>3032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21</v>
      </c>
      <c r="L3">
        <v>45715</v>
      </c>
      <c r="M3" t="s">
        <v>53</v>
      </c>
    </row>
    <row r="4" spans="1:13" x14ac:dyDescent="0.3">
      <c r="A4" t="s">
        <v>54</v>
      </c>
      <c r="B4" t="s">
        <v>37</v>
      </c>
      <c r="C4" t="s">
        <v>24</v>
      </c>
      <c r="D4" t="s">
        <v>55</v>
      </c>
      <c r="E4">
        <v>3033</v>
      </c>
      <c r="F4" t="s">
        <v>56</v>
      </c>
      <c r="G4" t="s">
        <v>57</v>
      </c>
      <c r="H4" t="s">
        <v>57</v>
      </c>
      <c r="I4" t="s">
        <v>58</v>
      </c>
      <c r="J4" t="s">
        <v>59</v>
      </c>
      <c r="L4">
        <v>45667</v>
      </c>
      <c r="M4" t="s">
        <v>60</v>
      </c>
    </row>
    <row r="5" spans="1:13" x14ac:dyDescent="0.3">
      <c r="A5" t="s">
        <v>61</v>
      </c>
      <c r="B5" t="s">
        <v>46</v>
      </c>
      <c r="C5" t="s">
        <v>26</v>
      </c>
      <c r="D5" t="s">
        <v>38</v>
      </c>
      <c r="E5">
        <v>3031</v>
      </c>
      <c r="F5" t="s">
        <v>62</v>
      </c>
      <c r="G5" t="s">
        <v>63</v>
      </c>
      <c r="H5" t="s">
        <v>64</v>
      </c>
      <c r="I5" t="s">
        <v>42</v>
      </c>
      <c r="J5" t="s">
        <v>43</v>
      </c>
      <c r="L5">
        <v>45714</v>
      </c>
      <c r="M5" t="s">
        <v>65</v>
      </c>
    </row>
    <row r="6" spans="1:13" x14ac:dyDescent="0.3">
      <c r="A6" t="s">
        <v>66</v>
      </c>
      <c r="B6" t="s">
        <v>37</v>
      </c>
      <c r="C6" t="s">
        <v>26</v>
      </c>
      <c r="D6" t="s">
        <v>55</v>
      </c>
      <c r="E6">
        <v>3033</v>
      </c>
      <c r="F6" t="s">
        <v>67</v>
      </c>
      <c r="G6" t="s">
        <v>68</v>
      </c>
      <c r="H6" t="s">
        <v>68</v>
      </c>
      <c r="I6" t="s">
        <v>58</v>
      </c>
      <c r="J6" t="s">
        <v>59</v>
      </c>
      <c r="L6">
        <v>45719</v>
      </c>
      <c r="M6" t="s">
        <v>69</v>
      </c>
    </row>
    <row r="7" spans="1:13" x14ac:dyDescent="0.3">
      <c r="A7" t="s">
        <v>70</v>
      </c>
      <c r="B7" t="s">
        <v>46</v>
      </c>
      <c r="C7" t="s">
        <v>22</v>
      </c>
      <c r="D7" t="s">
        <v>71</v>
      </c>
      <c r="E7">
        <v>3034</v>
      </c>
      <c r="F7" t="s">
        <v>72</v>
      </c>
      <c r="G7" t="s">
        <v>73</v>
      </c>
      <c r="H7" t="s">
        <v>73</v>
      </c>
      <c r="I7" t="s">
        <v>74</v>
      </c>
      <c r="J7" t="s">
        <v>75</v>
      </c>
      <c r="L7">
        <v>45694</v>
      </c>
      <c r="M7" t="s">
        <v>76</v>
      </c>
    </row>
    <row r="8" spans="1:13" x14ac:dyDescent="0.3">
      <c r="A8" t="s">
        <v>77</v>
      </c>
      <c r="B8" t="s">
        <v>46</v>
      </c>
      <c r="C8" t="s">
        <v>22</v>
      </c>
      <c r="D8" t="s">
        <v>78</v>
      </c>
      <c r="E8">
        <v>3035</v>
      </c>
      <c r="F8" t="s">
        <v>79</v>
      </c>
      <c r="G8" t="s">
        <v>80</v>
      </c>
      <c r="H8" t="s">
        <v>80</v>
      </c>
      <c r="I8" t="s">
        <v>81</v>
      </c>
      <c r="J8" t="s">
        <v>82</v>
      </c>
      <c r="L8">
        <v>45678</v>
      </c>
      <c r="M8" t="s">
        <v>69</v>
      </c>
    </row>
    <row r="9" spans="1:13" x14ac:dyDescent="0.3">
      <c r="A9" t="s">
        <v>83</v>
      </c>
      <c r="B9" t="s">
        <v>37</v>
      </c>
      <c r="C9" t="s">
        <v>22</v>
      </c>
      <c r="D9" t="s">
        <v>55</v>
      </c>
      <c r="E9">
        <v>3033</v>
      </c>
      <c r="F9" t="s">
        <v>84</v>
      </c>
      <c r="G9" t="s">
        <v>85</v>
      </c>
      <c r="H9" t="s">
        <v>85</v>
      </c>
      <c r="I9" t="s">
        <v>58</v>
      </c>
      <c r="J9" t="s">
        <v>59</v>
      </c>
      <c r="L9">
        <v>45730</v>
      </c>
      <c r="M9" t="s">
        <v>86</v>
      </c>
    </row>
    <row r="10" spans="1:13" x14ac:dyDescent="0.3">
      <c r="A10" t="s">
        <v>87</v>
      </c>
      <c r="B10" t="s">
        <v>46</v>
      </c>
      <c r="C10" t="s">
        <v>22</v>
      </c>
      <c r="D10" t="s">
        <v>55</v>
      </c>
      <c r="E10">
        <v>3033</v>
      </c>
      <c r="F10" t="s">
        <v>88</v>
      </c>
      <c r="G10" t="s">
        <v>89</v>
      </c>
      <c r="H10" t="s">
        <v>89</v>
      </c>
      <c r="I10" t="s">
        <v>58</v>
      </c>
      <c r="J10" t="s">
        <v>59</v>
      </c>
      <c r="K10" t="s">
        <v>21</v>
      </c>
      <c r="L10">
        <v>45741</v>
      </c>
      <c r="M10" t="s">
        <v>90</v>
      </c>
    </row>
    <row r="11" spans="1:13" x14ac:dyDescent="0.3">
      <c r="A11" t="s">
        <v>91</v>
      </c>
      <c r="B11" t="s">
        <v>37</v>
      </c>
      <c r="C11" t="s">
        <v>22</v>
      </c>
      <c r="D11" t="s">
        <v>78</v>
      </c>
      <c r="E11">
        <v>3035</v>
      </c>
      <c r="F11" t="s">
        <v>92</v>
      </c>
      <c r="G11" t="s">
        <v>93</v>
      </c>
      <c r="H11" t="s">
        <v>94</v>
      </c>
      <c r="I11" t="s">
        <v>81</v>
      </c>
      <c r="J11" t="s">
        <v>82</v>
      </c>
      <c r="L11">
        <v>45724</v>
      </c>
      <c r="M11" t="s">
        <v>95</v>
      </c>
    </row>
    <row r="12" spans="1:13" x14ac:dyDescent="0.3">
      <c r="A12" t="s">
        <v>96</v>
      </c>
      <c r="B12" t="s">
        <v>46</v>
      </c>
      <c r="C12" t="s">
        <v>25</v>
      </c>
      <c r="D12" t="s">
        <v>97</v>
      </c>
      <c r="E12">
        <v>3036</v>
      </c>
      <c r="F12" t="s">
        <v>98</v>
      </c>
      <c r="G12" t="s">
        <v>99</v>
      </c>
      <c r="H12" t="s">
        <v>99</v>
      </c>
      <c r="I12" t="s">
        <v>100</v>
      </c>
      <c r="J12" t="s">
        <v>101</v>
      </c>
      <c r="L12">
        <v>45706</v>
      </c>
      <c r="M12" t="s">
        <v>102</v>
      </c>
    </row>
    <row r="13" spans="1:13" x14ac:dyDescent="0.3">
      <c r="A13" t="s">
        <v>103</v>
      </c>
      <c r="B13" t="s">
        <v>37</v>
      </c>
      <c r="C13" t="s">
        <v>22</v>
      </c>
      <c r="D13" t="s">
        <v>104</v>
      </c>
      <c r="E13">
        <v>3037</v>
      </c>
      <c r="F13" t="s">
        <v>105</v>
      </c>
      <c r="G13" t="s">
        <v>106</v>
      </c>
      <c r="H13" t="s">
        <v>106</v>
      </c>
      <c r="I13" t="s">
        <v>12</v>
      </c>
      <c r="J13" t="s">
        <v>13</v>
      </c>
      <c r="L13">
        <v>45705</v>
      </c>
      <c r="M13" t="s">
        <v>107</v>
      </c>
    </row>
    <row r="14" spans="1:13" x14ac:dyDescent="0.3">
      <c r="A14" t="s">
        <v>108</v>
      </c>
      <c r="B14" t="s">
        <v>46</v>
      </c>
      <c r="C14" t="s">
        <v>26</v>
      </c>
      <c r="D14" t="s">
        <v>71</v>
      </c>
      <c r="E14">
        <v>3034</v>
      </c>
      <c r="F14" t="s">
        <v>109</v>
      </c>
      <c r="G14" t="s">
        <v>110</v>
      </c>
      <c r="H14" t="s">
        <v>111</v>
      </c>
      <c r="I14" t="s">
        <v>74</v>
      </c>
      <c r="J14" t="s">
        <v>75</v>
      </c>
      <c r="L14">
        <v>45737</v>
      </c>
      <c r="M14" t="s">
        <v>112</v>
      </c>
    </row>
    <row r="15" spans="1:13" x14ac:dyDescent="0.3">
      <c r="A15" t="s">
        <v>113</v>
      </c>
      <c r="B15" t="s">
        <v>37</v>
      </c>
      <c r="C15" t="s">
        <v>25</v>
      </c>
      <c r="D15" t="s">
        <v>55</v>
      </c>
      <c r="E15">
        <v>3033</v>
      </c>
      <c r="F15" t="s">
        <v>114</v>
      </c>
      <c r="G15" t="s">
        <v>115</v>
      </c>
      <c r="H15" t="s">
        <v>116</v>
      </c>
      <c r="I15" t="s">
        <v>58</v>
      </c>
      <c r="J15" t="s">
        <v>59</v>
      </c>
      <c r="K15" t="s">
        <v>21</v>
      </c>
      <c r="L15">
        <v>45727</v>
      </c>
      <c r="M15" t="s">
        <v>86</v>
      </c>
    </row>
    <row r="16" spans="1:13" x14ac:dyDescent="0.3">
      <c r="A16" t="s">
        <v>117</v>
      </c>
      <c r="B16" t="s">
        <v>37</v>
      </c>
      <c r="C16" t="s">
        <v>25</v>
      </c>
      <c r="D16" t="s">
        <v>118</v>
      </c>
      <c r="E16">
        <v>3038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21</v>
      </c>
      <c r="L16">
        <v>45715</v>
      </c>
      <c r="M16" t="s">
        <v>124</v>
      </c>
    </row>
    <row r="17" spans="1:13" x14ac:dyDescent="0.3">
      <c r="A17" t="s">
        <v>125</v>
      </c>
      <c r="B17" t="s">
        <v>37</v>
      </c>
      <c r="C17" t="s">
        <v>26</v>
      </c>
      <c r="D17" t="s">
        <v>38</v>
      </c>
      <c r="E17">
        <v>3031</v>
      </c>
      <c r="F17" t="s">
        <v>126</v>
      </c>
      <c r="G17" t="s">
        <v>127</v>
      </c>
      <c r="H17" t="s">
        <v>127</v>
      </c>
      <c r="I17" t="s">
        <v>42</v>
      </c>
      <c r="J17" t="s">
        <v>43</v>
      </c>
      <c r="L17">
        <v>45685</v>
      </c>
      <c r="M17" t="s">
        <v>128</v>
      </c>
    </row>
    <row r="18" spans="1:13" x14ac:dyDescent="0.3">
      <c r="A18" t="s">
        <v>129</v>
      </c>
      <c r="B18" t="s">
        <v>37</v>
      </c>
      <c r="C18" t="s">
        <v>25</v>
      </c>
      <c r="D18" t="s">
        <v>55</v>
      </c>
      <c r="E18">
        <v>3033</v>
      </c>
      <c r="F18" t="s">
        <v>130</v>
      </c>
      <c r="G18" t="s">
        <v>131</v>
      </c>
      <c r="H18" t="s">
        <v>131</v>
      </c>
      <c r="I18" t="s">
        <v>58</v>
      </c>
      <c r="J18" t="s">
        <v>59</v>
      </c>
      <c r="L18">
        <v>45721</v>
      </c>
      <c r="M18" t="s">
        <v>95</v>
      </c>
    </row>
    <row r="19" spans="1:13" x14ac:dyDescent="0.3">
      <c r="A19" t="s">
        <v>132</v>
      </c>
      <c r="B19" t="s">
        <v>37</v>
      </c>
      <c r="C19" t="s">
        <v>22</v>
      </c>
      <c r="D19" t="s">
        <v>71</v>
      </c>
      <c r="E19">
        <v>3034</v>
      </c>
      <c r="F19" t="s">
        <v>133</v>
      </c>
      <c r="G19" t="s">
        <v>134</v>
      </c>
      <c r="H19" t="s">
        <v>134</v>
      </c>
      <c r="I19" t="s">
        <v>74</v>
      </c>
      <c r="J19" t="s">
        <v>75</v>
      </c>
      <c r="L19">
        <v>45735</v>
      </c>
      <c r="M19" t="s">
        <v>112</v>
      </c>
    </row>
    <row r="20" spans="1:13" x14ac:dyDescent="0.3">
      <c r="A20" t="s">
        <v>135</v>
      </c>
      <c r="B20" t="s">
        <v>46</v>
      </c>
      <c r="C20" t="s">
        <v>22</v>
      </c>
      <c r="D20" t="s">
        <v>136</v>
      </c>
      <c r="E20">
        <v>3039</v>
      </c>
      <c r="F20" t="s">
        <v>137</v>
      </c>
      <c r="G20" t="s">
        <v>138</v>
      </c>
      <c r="H20" t="s">
        <v>139</v>
      </c>
      <c r="I20" t="s">
        <v>15</v>
      </c>
      <c r="J20" t="s">
        <v>14</v>
      </c>
      <c r="L20">
        <v>45742</v>
      </c>
      <c r="M20" t="s">
        <v>140</v>
      </c>
    </row>
    <row r="21" spans="1:13" x14ac:dyDescent="0.3">
      <c r="A21" t="s">
        <v>141</v>
      </c>
      <c r="B21" t="s">
        <v>37</v>
      </c>
      <c r="C21" t="s">
        <v>26</v>
      </c>
      <c r="D21" t="s">
        <v>47</v>
      </c>
      <c r="E21">
        <v>3032</v>
      </c>
      <c r="F21" t="s">
        <v>142</v>
      </c>
      <c r="G21" t="s">
        <v>143</v>
      </c>
      <c r="H21" t="s">
        <v>143</v>
      </c>
      <c r="I21" t="s">
        <v>51</v>
      </c>
      <c r="J21" t="s">
        <v>52</v>
      </c>
      <c r="L21">
        <v>45678</v>
      </c>
      <c r="M21" t="s">
        <v>144</v>
      </c>
    </row>
    <row r="22" spans="1:13" x14ac:dyDescent="0.3">
      <c r="A22" t="s">
        <v>145</v>
      </c>
      <c r="B22" t="s">
        <v>37</v>
      </c>
      <c r="C22" t="s">
        <v>26</v>
      </c>
      <c r="D22" t="s">
        <v>136</v>
      </c>
      <c r="E22">
        <v>3039</v>
      </c>
      <c r="F22" t="s">
        <v>146</v>
      </c>
      <c r="G22" t="s">
        <v>147</v>
      </c>
      <c r="H22" t="s">
        <v>148</v>
      </c>
      <c r="I22" t="s">
        <v>15</v>
      </c>
      <c r="J22" t="s">
        <v>14</v>
      </c>
      <c r="L22">
        <v>45673</v>
      </c>
      <c r="M22" t="s">
        <v>140</v>
      </c>
    </row>
    <row r="23" spans="1:13" x14ac:dyDescent="0.3">
      <c r="A23" t="s">
        <v>149</v>
      </c>
      <c r="B23" t="s">
        <v>37</v>
      </c>
      <c r="C23" t="s">
        <v>26</v>
      </c>
      <c r="D23" t="s">
        <v>136</v>
      </c>
      <c r="E23">
        <v>3039</v>
      </c>
      <c r="F23" t="s">
        <v>150</v>
      </c>
      <c r="G23" t="s">
        <v>151</v>
      </c>
      <c r="H23" t="s">
        <v>152</v>
      </c>
      <c r="I23" t="s">
        <v>15</v>
      </c>
      <c r="J23" t="s">
        <v>14</v>
      </c>
      <c r="L23">
        <v>45706</v>
      </c>
      <c r="M23" t="s">
        <v>140</v>
      </c>
    </row>
    <row r="24" spans="1:13" x14ac:dyDescent="0.3">
      <c r="A24" t="s">
        <v>153</v>
      </c>
      <c r="B24" t="s">
        <v>37</v>
      </c>
      <c r="C24" t="s">
        <v>22</v>
      </c>
      <c r="D24" t="s">
        <v>136</v>
      </c>
      <c r="E24">
        <v>3039</v>
      </c>
      <c r="F24" t="s">
        <v>154</v>
      </c>
      <c r="G24" t="s">
        <v>155</v>
      </c>
      <c r="H24" t="s">
        <v>155</v>
      </c>
      <c r="I24" t="s">
        <v>15</v>
      </c>
      <c r="J24" t="s">
        <v>14</v>
      </c>
      <c r="K24" t="s">
        <v>21</v>
      </c>
      <c r="L24">
        <v>45744</v>
      </c>
      <c r="M24" t="s">
        <v>95</v>
      </c>
    </row>
    <row r="25" spans="1:13" x14ac:dyDescent="0.3">
      <c r="A25" t="s">
        <v>156</v>
      </c>
      <c r="B25" t="s">
        <v>46</v>
      </c>
      <c r="C25" t="s">
        <v>24</v>
      </c>
      <c r="D25" t="s">
        <v>136</v>
      </c>
      <c r="E25">
        <v>3039</v>
      </c>
      <c r="F25" t="s">
        <v>157</v>
      </c>
      <c r="G25" t="s">
        <v>158</v>
      </c>
      <c r="H25" t="s">
        <v>159</v>
      </c>
      <c r="I25" t="s">
        <v>15</v>
      </c>
      <c r="J25" t="s">
        <v>14</v>
      </c>
      <c r="L25">
        <v>45723</v>
      </c>
      <c r="M25" t="s">
        <v>160</v>
      </c>
    </row>
    <row r="26" spans="1:13" x14ac:dyDescent="0.3">
      <c r="A26" t="s">
        <v>161</v>
      </c>
      <c r="B26" t="s">
        <v>46</v>
      </c>
      <c r="C26" t="s">
        <v>24</v>
      </c>
      <c r="D26" t="s">
        <v>97</v>
      </c>
      <c r="E26">
        <v>3036</v>
      </c>
      <c r="F26" t="s">
        <v>162</v>
      </c>
      <c r="G26" t="s">
        <v>163</v>
      </c>
      <c r="H26" t="s">
        <v>164</v>
      </c>
      <c r="I26" t="s">
        <v>100</v>
      </c>
      <c r="J26" t="s">
        <v>101</v>
      </c>
      <c r="L26">
        <v>45665</v>
      </c>
      <c r="M26" t="s">
        <v>165</v>
      </c>
    </row>
    <row r="27" spans="1:13" x14ac:dyDescent="0.3">
      <c r="A27" t="s">
        <v>166</v>
      </c>
      <c r="B27" t="s">
        <v>46</v>
      </c>
      <c r="C27" t="s">
        <v>22</v>
      </c>
      <c r="D27" t="s">
        <v>78</v>
      </c>
      <c r="E27">
        <v>3035</v>
      </c>
      <c r="F27" t="s">
        <v>167</v>
      </c>
      <c r="G27" t="s">
        <v>168</v>
      </c>
      <c r="H27" t="s">
        <v>169</v>
      </c>
      <c r="I27" t="s">
        <v>81</v>
      </c>
      <c r="J27" t="s">
        <v>82</v>
      </c>
      <c r="L27">
        <v>45738</v>
      </c>
      <c r="M27" t="s">
        <v>95</v>
      </c>
    </row>
    <row r="28" spans="1:13" x14ac:dyDescent="0.3">
      <c r="A28" t="s">
        <v>170</v>
      </c>
      <c r="B28" t="s">
        <v>37</v>
      </c>
      <c r="C28" t="s">
        <v>26</v>
      </c>
      <c r="D28" t="s">
        <v>78</v>
      </c>
      <c r="E28">
        <v>3035</v>
      </c>
      <c r="F28" t="s">
        <v>171</v>
      </c>
      <c r="G28" t="s">
        <v>172</v>
      </c>
      <c r="H28" t="s">
        <v>172</v>
      </c>
      <c r="I28" t="s">
        <v>81</v>
      </c>
      <c r="J28" t="s">
        <v>82</v>
      </c>
      <c r="K28" t="s">
        <v>21</v>
      </c>
      <c r="L28">
        <v>45669</v>
      </c>
      <c r="M28" t="s">
        <v>69</v>
      </c>
    </row>
    <row r="29" spans="1:13" x14ac:dyDescent="0.3">
      <c r="A29" t="s">
        <v>173</v>
      </c>
      <c r="B29" t="s">
        <v>37</v>
      </c>
      <c r="C29" t="s">
        <v>22</v>
      </c>
      <c r="D29" t="s">
        <v>47</v>
      </c>
      <c r="E29">
        <v>3032</v>
      </c>
      <c r="F29" t="s">
        <v>174</v>
      </c>
      <c r="G29" t="s">
        <v>175</v>
      </c>
      <c r="H29" t="s">
        <v>176</v>
      </c>
      <c r="I29" t="s">
        <v>51</v>
      </c>
      <c r="J29" t="s">
        <v>52</v>
      </c>
      <c r="K29" t="s">
        <v>21</v>
      </c>
      <c r="L29">
        <v>45707</v>
      </c>
      <c r="M29" t="s">
        <v>177</v>
      </c>
    </row>
    <row r="30" spans="1:13" x14ac:dyDescent="0.3">
      <c r="A30" t="s">
        <v>178</v>
      </c>
      <c r="B30" t="s">
        <v>46</v>
      </c>
      <c r="C30" t="s">
        <v>22</v>
      </c>
      <c r="D30" t="s">
        <v>104</v>
      </c>
      <c r="E30">
        <v>3037</v>
      </c>
      <c r="F30" t="s">
        <v>179</v>
      </c>
      <c r="G30" t="s">
        <v>180</v>
      </c>
      <c r="H30" t="s">
        <v>181</v>
      </c>
      <c r="I30" t="s">
        <v>12</v>
      </c>
      <c r="J30" t="s">
        <v>13</v>
      </c>
      <c r="L30">
        <v>45673</v>
      </c>
      <c r="M30" t="s">
        <v>76</v>
      </c>
    </row>
    <row r="31" spans="1:13" x14ac:dyDescent="0.3">
      <c r="A31" t="s">
        <v>182</v>
      </c>
      <c r="B31" t="s">
        <v>37</v>
      </c>
      <c r="C31" t="s">
        <v>22</v>
      </c>
      <c r="D31" t="s">
        <v>78</v>
      </c>
      <c r="E31">
        <v>3035</v>
      </c>
      <c r="F31" t="s">
        <v>183</v>
      </c>
      <c r="G31" t="s">
        <v>184</v>
      </c>
      <c r="H31" t="s">
        <v>185</v>
      </c>
      <c r="I31" t="s">
        <v>81</v>
      </c>
      <c r="J31" t="s">
        <v>82</v>
      </c>
      <c r="L31">
        <v>45699</v>
      </c>
      <c r="M31" t="s">
        <v>95</v>
      </c>
    </row>
    <row r="32" spans="1:13" x14ac:dyDescent="0.3">
      <c r="A32" t="s">
        <v>186</v>
      </c>
      <c r="B32" t="s">
        <v>37</v>
      </c>
      <c r="C32" t="s">
        <v>25</v>
      </c>
      <c r="D32" t="s">
        <v>104</v>
      </c>
      <c r="E32">
        <v>3037</v>
      </c>
      <c r="F32" t="s">
        <v>187</v>
      </c>
      <c r="G32" t="s">
        <v>188</v>
      </c>
      <c r="H32" t="s">
        <v>188</v>
      </c>
      <c r="I32" t="s">
        <v>12</v>
      </c>
      <c r="J32" t="s">
        <v>13</v>
      </c>
      <c r="L32">
        <v>45718</v>
      </c>
      <c r="M32" t="s">
        <v>189</v>
      </c>
    </row>
    <row r="33" spans="1:13" x14ac:dyDescent="0.3">
      <c r="A33" t="s">
        <v>190</v>
      </c>
      <c r="B33" t="s">
        <v>37</v>
      </c>
      <c r="C33" t="s">
        <v>25</v>
      </c>
      <c r="D33" t="s">
        <v>191</v>
      </c>
      <c r="E33">
        <v>3040</v>
      </c>
      <c r="F33" t="s">
        <v>192</v>
      </c>
      <c r="G33" t="s">
        <v>193</v>
      </c>
      <c r="H33" t="s">
        <v>193</v>
      </c>
      <c r="I33" t="s">
        <v>194</v>
      </c>
      <c r="J33" t="s">
        <v>13</v>
      </c>
      <c r="L33">
        <v>45683</v>
      </c>
      <c r="M33" t="s">
        <v>195</v>
      </c>
    </row>
    <row r="34" spans="1:13" x14ac:dyDescent="0.3">
      <c r="A34" t="s">
        <v>196</v>
      </c>
      <c r="B34" t="s">
        <v>37</v>
      </c>
      <c r="C34" t="s">
        <v>22</v>
      </c>
      <c r="D34" t="s">
        <v>136</v>
      </c>
      <c r="E34">
        <v>3039</v>
      </c>
      <c r="F34" t="s">
        <v>197</v>
      </c>
      <c r="G34" t="s">
        <v>198</v>
      </c>
      <c r="H34" t="s">
        <v>199</v>
      </c>
      <c r="I34" t="s">
        <v>15</v>
      </c>
      <c r="J34" t="s">
        <v>14</v>
      </c>
      <c r="K34" t="s">
        <v>21</v>
      </c>
      <c r="L34">
        <v>45679</v>
      </c>
      <c r="M34" t="s">
        <v>200</v>
      </c>
    </row>
    <row r="35" spans="1:13" x14ac:dyDescent="0.3">
      <c r="A35" t="s">
        <v>201</v>
      </c>
      <c r="B35" t="s">
        <v>37</v>
      </c>
      <c r="C35" t="s">
        <v>22</v>
      </c>
      <c r="D35" t="s">
        <v>78</v>
      </c>
      <c r="E35">
        <v>3035</v>
      </c>
      <c r="F35" t="s">
        <v>202</v>
      </c>
      <c r="G35" t="s">
        <v>203</v>
      </c>
      <c r="H35" t="s">
        <v>204</v>
      </c>
      <c r="I35" t="s">
        <v>81</v>
      </c>
      <c r="J35" t="s">
        <v>82</v>
      </c>
      <c r="L35">
        <v>45723</v>
      </c>
      <c r="M35" t="s">
        <v>205</v>
      </c>
    </row>
    <row r="36" spans="1:13" x14ac:dyDescent="0.3">
      <c r="A36" t="s">
        <v>206</v>
      </c>
      <c r="B36" t="s">
        <v>37</v>
      </c>
      <c r="C36" t="s">
        <v>26</v>
      </c>
      <c r="D36" t="s">
        <v>207</v>
      </c>
      <c r="E36">
        <v>3041</v>
      </c>
      <c r="F36" t="s">
        <v>208</v>
      </c>
      <c r="G36" t="s">
        <v>209</v>
      </c>
      <c r="H36" t="s">
        <v>210</v>
      </c>
      <c r="I36" t="s">
        <v>211</v>
      </c>
      <c r="J36" t="s">
        <v>14</v>
      </c>
      <c r="L36">
        <v>45691</v>
      </c>
      <c r="M36" t="s">
        <v>212</v>
      </c>
    </row>
    <row r="37" spans="1:13" x14ac:dyDescent="0.3">
      <c r="A37" t="s">
        <v>213</v>
      </c>
      <c r="B37" t="s">
        <v>37</v>
      </c>
      <c r="C37" t="s">
        <v>26</v>
      </c>
      <c r="D37" t="s">
        <v>55</v>
      </c>
      <c r="E37">
        <v>3033</v>
      </c>
      <c r="F37" t="s">
        <v>214</v>
      </c>
      <c r="G37" t="s">
        <v>215</v>
      </c>
      <c r="H37" t="s">
        <v>216</v>
      </c>
      <c r="I37" t="s">
        <v>58</v>
      </c>
      <c r="J37" t="s">
        <v>59</v>
      </c>
      <c r="K37" t="s">
        <v>21</v>
      </c>
      <c r="L37">
        <v>45693</v>
      </c>
      <c r="M37" t="s">
        <v>69</v>
      </c>
    </row>
    <row r="38" spans="1:13" x14ac:dyDescent="0.3">
      <c r="A38" t="s">
        <v>217</v>
      </c>
      <c r="B38" t="s">
        <v>37</v>
      </c>
      <c r="C38" t="s">
        <v>22</v>
      </c>
      <c r="D38" t="s">
        <v>191</v>
      </c>
      <c r="E38">
        <v>3040</v>
      </c>
      <c r="F38" t="s">
        <v>218</v>
      </c>
      <c r="G38" t="s">
        <v>219</v>
      </c>
      <c r="H38" t="s">
        <v>219</v>
      </c>
      <c r="I38" t="s">
        <v>194</v>
      </c>
      <c r="J38" t="s">
        <v>13</v>
      </c>
      <c r="L38">
        <v>45689</v>
      </c>
      <c r="M38" t="s">
        <v>160</v>
      </c>
    </row>
    <row r="39" spans="1:13" x14ac:dyDescent="0.3">
      <c r="A39" t="s">
        <v>220</v>
      </c>
      <c r="B39" t="s">
        <v>46</v>
      </c>
      <c r="C39" t="s">
        <v>25</v>
      </c>
      <c r="D39" t="s">
        <v>191</v>
      </c>
      <c r="E39">
        <v>3040</v>
      </c>
      <c r="F39" t="s">
        <v>221</v>
      </c>
      <c r="G39" t="s">
        <v>222</v>
      </c>
      <c r="H39" t="s">
        <v>223</v>
      </c>
      <c r="I39" t="s">
        <v>194</v>
      </c>
      <c r="J39" t="s">
        <v>13</v>
      </c>
      <c r="L39">
        <v>45697</v>
      </c>
      <c r="M39" t="s">
        <v>224</v>
      </c>
    </row>
    <row r="40" spans="1:13" x14ac:dyDescent="0.3">
      <c r="A40" t="s">
        <v>225</v>
      </c>
      <c r="B40" t="s">
        <v>37</v>
      </c>
      <c r="C40" t="s">
        <v>24</v>
      </c>
      <c r="D40" t="s">
        <v>55</v>
      </c>
      <c r="E40">
        <v>3033</v>
      </c>
      <c r="F40" t="s">
        <v>226</v>
      </c>
      <c r="G40" t="s">
        <v>227</v>
      </c>
      <c r="H40" t="s">
        <v>227</v>
      </c>
      <c r="I40" t="s">
        <v>58</v>
      </c>
      <c r="J40" t="s">
        <v>59</v>
      </c>
      <c r="K40" t="s">
        <v>21</v>
      </c>
      <c r="L40">
        <v>45700</v>
      </c>
      <c r="M40" t="s">
        <v>95</v>
      </c>
    </row>
    <row r="41" spans="1:13" x14ac:dyDescent="0.3">
      <c r="A41" t="s">
        <v>228</v>
      </c>
      <c r="B41" t="s">
        <v>37</v>
      </c>
      <c r="C41" t="s">
        <v>25</v>
      </c>
      <c r="D41" t="s">
        <v>71</v>
      </c>
      <c r="E41">
        <v>3034</v>
      </c>
      <c r="F41" t="s">
        <v>229</v>
      </c>
      <c r="G41" t="s">
        <v>230</v>
      </c>
      <c r="H41" t="s">
        <v>231</v>
      </c>
      <c r="I41" t="s">
        <v>74</v>
      </c>
      <c r="J41" t="s">
        <v>75</v>
      </c>
      <c r="L41">
        <v>45723</v>
      </c>
      <c r="M41" t="s">
        <v>205</v>
      </c>
    </row>
    <row r="42" spans="1:13" x14ac:dyDescent="0.3">
      <c r="A42" t="s">
        <v>232</v>
      </c>
      <c r="B42" t="s">
        <v>46</v>
      </c>
      <c r="C42" t="s">
        <v>26</v>
      </c>
      <c r="D42" t="s">
        <v>78</v>
      </c>
      <c r="E42">
        <v>3035</v>
      </c>
      <c r="F42" t="s">
        <v>233</v>
      </c>
      <c r="G42" t="s">
        <v>234</v>
      </c>
      <c r="H42" t="s">
        <v>235</v>
      </c>
      <c r="I42" t="s">
        <v>81</v>
      </c>
      <c r="J42" t="s">
        <v>82</v>
      </c>
      <c r="L42">
        <v>45744</v>
      </c>
      <c r="M42" t="s">
        <v>205</v>
      </c>
    </row>
    <row r="43" spans="1:13" x14ac:dyDescent="0.3">
      <c r="A43" t="s">
        <v>236</v>
      </c>
      <c r="B43" t="s">
        <v>46</v>
      </c>
      <c r="C43" t="s">
        <v>24</v>
      </c>
      <c r="D43" t="s">
        <v>38</v>
      </c>
      <c r="E43">
        <v>3031</v>
      </c>
      <c r="F43" t="s">
        <v>237</v>
      </c>
      <c r="G43" t="s">
        <v>238</v>
      </c>
      <c r="H43" t="s">
        <v>238</v>
      </c>
      <c r="I43" t="s">
        <v>42</v>
      </c>
      <c r="J43" t="s">
        <v>43</v>
      </c>
      <c r="L43">
        <v>45675</v>
      </c>
      <c r="M43" t="s">
        <v>128</v>
      </c>
    </row>
    <row r="44" spans="1:13" x14ac:dyDescent="0.3">
      <c r="A44" t="s">
        <v>239</v>
      </c>
      <c r="B44" t="s">
        <v>46</v>
      </c>
      <c r="C44" t="s">
        <v>24</v>
      </c>
      <c r="D44" t="s">
        <v>118</v>
      </c>
      <c r="E44">
        <v>3038</v>
      </c>
      <c r="F44" t="s">
        <v>240</v>
      </c>
      <c r="G44" t="s">
        <v>241</v>
      </c>
      <c r="H44" t="s">
        <v>241</v>
      </c>
      <c r="I44" t="s">
        <v>122</v>
      </c>
      <c r="J44" t="s">
        <v>123</v>
      </c>
      <c r="K44" t="s">
        <v>21</v>
      </c>
      <c r="L44">
        <v>45738</v>
      </c>
      <c r="M44" t="s">
        <v>200</v>
      </c>
    </row>
    <row r="45" spans="1:13" x14ac:dyDescent="0.3">
      <c r="A45" t="s">
        <v>242</v>
      </c>
      <c r="B45" t="s">
        <v>37</v>
      </c>
      <c r="C45" t="s">
        <v>22</v>
      </c>
      <c r="D45" t="s">
        <v>207</v>
      </c>
      <c r="E45">
        <v>3041</v>
      </c>
      <c r="F45" t="s">
        <v>243</v>
      </c>
      <c r="G45" t="s">
        <v>244</v>
      </c>
      <c r="H45" t="s">
        <v>244</v>
      </c>
      <c r="I45" t="s">
        <v>211</v>
      </c>
      <c r="J45" t="s">
        <v>14</v>
      </c>
      <c r="K45" t="s">
        <v>21</v>
      </c>
      <c r="L45">
        <v>45684</v>
      </c>
      <c r="M45" t="s">
        <v>212</v>
      </c>
    </row>
    <row r="46" spans="1:13" x14ac:dyDescent="0.3">
      <c r="A46" t="s">
        <v>245</v>
      </c>
      <c r="B46" t="s">
        <v>46</v>
      </c>
      <c r="C46" t="s">
        <v>22</v>
      </c>
      <c r="D46" t="s">
        <v>118</v>
      </c>
      <c r="E46">
        <v>3038</v>
      </c>
      <c r="F46" t="s">
        <v>246</v>
      </c>
      <c r="G46" t="s">
        <v>247</v>
      </c>
      <c r="H46" t="s">
        <v>248</v>
      </c>
      <c r="I46" t="s">
        <v>122</v>
      </c>
      <c r="J46" t="s">
        <v>123</v>
      </c>
      <c r="L46">
        <v>45695</v>
      </c>
      <c r="M46" t="s">
        <v>124</v>
      </c>
    </row>
    <row r="47" spans="1:13" x14ac:dyDescent="0.3">
      <c r="A47" t="s">
        <v>249</v>
      </c>
      <c r="B47" t="s">
        <v>37</v>
      </c>
      <c r="C47" t="s">
        <v>22</v>
      </c>
      <c r="D47" t="s">
        <v>38</v>
      </c>
      <c r="E47">
        <v>3031</v>
      </c>
      <c r="F47" t="s">
        <v>250</v>
      </c>
      <c r="G47" t="s">
        <v>251</v>
      </c>
      <c r="H47" t="s">
        <v>251</v>
      </c>
      <c r="I47" t="s">
        <v>42</v>
      </c>
      <c r="J47" t="s">
        <v>43</v>
      </c>
      <c r="L47">
        <v>45738</v>
      </c>
      <c r="M47" t="s">
        <v>128</v>
      </c>
    </row>
    <row r="48" spans="1:13" x14ac:dyDescent="0.3">
      <c r="A48" t="s">
        <v>252</v>
      </c>
      <c r="B48" t="s">
        <v>46</v>
      </c>
      <c r="C48" t="s">
        <v>22</v>
      </c>
      <c r="D48" t="s">
        <v>71</v>
      </c>
      <c r="E48">
        <v>3034</v>
      </c>
      <c r="F48" t="s">
        <v>253</v>
      </c>
      <c r="G48" t="s">
        <v>254</v>
      </c>
      <c r="H48" t="s">
        <v>254</v>
      </c>
      <c r="I48" t="s">
        <v>74</v>
      </c>
      <c r="J48" t="s">
        <v>75</v>
      </c>
      <c r="K48" t="s">
        <v>21</v>
      </c>
      <c r="L48">
        <v>45705</v>
      </c>
      <c r="M48" t="s">
        <v>112</v>
      </c>
    </row>
    <row r="49" spans="1:13" x14ac:dyDescent="0.3">
      <c r="A49" t="s">
        <v>255</v>
      </c>
      <c r="B49" t="s">
        <v>37</v>
      </c>
      <c r="C49" t="s">
        <v>24</v>
      </c>
      <c r="D49" t="s">
        <v>71</v>
      </c>
      <c r="E49">
        <v>3034</v>
      </c>
      <c r="F49" t="s">
        <v>256</v>
      </c>
      <c r="G49" t="s">
        <v>257</v>
      </c>
      <c r="H49" t="s">
        <v>257</v>
      </c>
      <c r="I49" t="s">
        <v>74</v>
      </c>
      <c r="J49" t="s">
        <v>75</v>
      </c>
      <c r="K49" t="s">
        <v>21</v>
      </c>
      <c r="L49">
        <v>45718</v>
      </c>
      <c r="M49" t="s">
        <v>212</v>
      </c>
    </row>
    <row r="50" spans="1:13" x14ac:dyDescent="0.3">
      <c r="A50" t="s">
        <v>258</v>
      </c>
      <c r="B50" t="s">
        <v>46</v>
      </c>
      <c r="C50" t="s">
        <v>22</v>
      </c>
      <c r="D50" t="s">
        <v>47</v>
      </c>
      <c r="E50">
        <v>3032</v>
      </c>
      <c r="F50" t="s">
        <v>259</v>
      </c>
      <c r="G50" t="s">
        <v>260</v>
      </c>
      <c r="H50" t="s">
        <v>260</v>
      </c>
      <c r="I50" t="s">
        <v>51</v>
      </c>
      <c r="J50" t="s">
        <v>52</v>
      </c>
      <c r="L50">
        <v>45683</v>
      </c>
      <c r="M50" t="s">
        <v>261</v>
      </c>
    </row>
    <row r="51" spans="1:13" x14ac:dyDescent="0.3">
      <c r="A51" t="s">
        <v>262</v>
      </c>
      <c r="B51" t="s">
        <v>46</v>
      </c>
      <c r="C51" t="s">
        <v>25</v>
      </c>
      <c r="D51" t="s">
        <v>47</v>
      </c>
      <c r="E51">
        <v>3032</v>
      </c>
      <c r="F51" t="s">
        <v>263</v>
      </c>
      <c r="G51" t="s">
        <v>264</v>
      </c>
      <c r="H51" t="s">
        <v>265</v>
      </c>
      <c r="I51" t="s">
        <v>51</v>
      </c>
      <c r="J51" t="s">
        <v>52</v>
      </c>
      <c r="L51">
        <v>45703</v>
      </c>
      <c r="M51" t="s">
        <v>177</v>
      </c>
    </row>
    <row r="52" spans="1:13" x14ac:dyDescent="0.3">
      <c r="A52" t="s">
        <v>266</v>
      </c>
      <c r="B52" t="s">
        <v>37</v>
      </c>
      <c r="C52" t="s">
        <v>22</v>
      </c>
      <c r="D52" t="s">
        <v>97</v>
      </c>
      <c r="E52">
        <v>3036</v>
      </c>
      <c r="F52" t="s">
        <v>267</v>
      </c>
      <c r="G52" t="s">
        <v>268</v>
      </c>
      <c r="H52" t="s">
        <v>269</v>
      </c>
      <c r="I52" t="s">
        <v>100</v>
      </c>
      <c r="J52" t="s">
        <v>101</v>
      </c>
      <c r="L52">
        <v>45739</v>
      </c>
      <c r="M52" t="s">
        <v>165</v>
      </c>
    </row>
    <row r="53" spans="1:13" x14ac:dyDescent="0.3">
      <c r="A53" t="s">
        <v>270</v>
      </c>
      <c r="B53" t="s">
        <v>37</v>
      </c>
      <c r="C53" t="s">
        <v>26</v>
      </c>
      <c r="D53" t="s">
        <v>97</v>
      </c>
      <c r="E53">
        <v>3036</v>
      </c>
      <c r="F53" t="s">
        <v>271</v>
      </c>
      <c r="G53" t="s">
        <v>272</v>
      </c>
      <c r="H53" t="s">
        <v>272</v>
      </c>
      <c r="I53" t="s">
        <v>100</v>
      </c>
      <c r="J53" t="s">
        <v>101</v>
      </c>
      <c r="L53">
        <v>45732</v>
      </c>
      <c r="M53" t="s">
        <v>102</v>
      </c>
    </row>
    <row r="54" spans="1:13" x14ac:dyDescent="0.3">
      <c r="A54" t="s">
        <v>273</v>
      </c>
      <c r="B54" t="s">
        <v>37</v>
      </c>
      <c r="C54" t="s">
        <v>26</v>
      </c>
      <c r="D54" t="s">
        <v>55</v>
      </c>
      <c r="E54">
        <v>3033</v>
      </c>
      <c r="F54" t="s">
        <v>274</v>
      </c>
      <c r="G54" t="s">
        <v>275</v>
      </c>
      <c r="H54" t="s">
        <v>275</v>
      </c>
      <c r="I54" t="s">
        <v>58</v>
      </c>
      <c r="J54" t="s">
        <v>59</v>
      </c>
      <c r="L54">
        <v>45665</v>
      </c>
      <c r="M54" t="s">
        <v>69</v>
      </c>
    </row>
    <row r="55" spans="1:13" x14ac:dyDescent="0.3">
      <c r="A55" t="s">
        <v>276</v>
      </c>
      <c r="B55" t="s">
        <v>46</v>
      </c>
      <c r="C55" t="s">
        <v>22</v>
      </c>
      <c r="D55" t="s">
        <v>104</v>
      </c>
      <c r="E55">
        <v>3037</v>
      </c>
      <c r="F55" t="s">
        <v>277</v>
      </c>
      <c r="G55" t="s">
        <v>278</v>
      </c>
      <c r="H55" t="s">
        <v>279</v>
      </c>
      <c r="I55" t="s">
        <v>12</v>
      </c>
      <c r="J55" t="s">
        <v>13</v>
      </c>
      <c r="K55" t="s">
        <v>21</v>
      </c>
      <c r="L55">
        <v>45722</v>
      </c>
      <c r="M55" t="s">
        <v>189</v>
      </c>
    </row>
    <row r="56" spans="1:13" x14ac:dyDescent="0.3">
      <c r="A56" t="s">
        <v>280</v>
      </c>
      <c r="B56" t="s">
        <v>46</v>
      </c>
      <c r="C56" t="s">
        <v>26</v>
      </c>
      <c r="D56" t="s">
        <v>71</v>
      </c>
      <c r="E56">
        <v>3034</v>
      </c>
      <c r="F56" t="s">
        <v>281</v>
      </c>
      <c r="G56" t="s">
        <v>282</v>
      </c>
      <c r="H56" t="s">
        <v>282</v>
      </c>
      <c r="I56" t="s">
        <v>74</v>
      </c>
      <c r="J56" t="s">
        <v>75</v>
      </c>
      <c r="L56">
        <v>45700</v>
      </c>
      <c r="M56" t="s">
        <v>112</v>
      </c>
    </row>
    <row r="57" spans="1:13" x14ac:dyDescent="0.3">
      <c r="A57" t="s">
        <v>283</v>
      </c>
      <c r="B57" t="s">
        <v>46</v>
      </c>
      <c r="C57" t="s">
        <v>22</v>
      </c>
      <c r="D57" t="s">
        <v>78</v>
      </c>
      <c r="E57">
        <v>3035</v>
      </c>
      <c r="F57" t="s">
        <v>284</v>
      </c>
      <c r="G57" t="s">
        <v>285</v>
      </c>
      <c r="H57" t="s">
        <v>286</v>
      </c>
      <c r="I57" t="s">
        <v>81</v>
      </c>
      <c r="J57" t="s">
        <v>82</v>
      </c>
      <c r="L57">
        <v>45738</v>
      </c>
      <c r="M57" t="s">
        <v>287</v>
      </c>
    </row>
    <row r="58" spans="1:13" x14ac:dyDescent="0.3">
      <c r="A58" t="s">
        <v>288</v>
      </c>
      <c r="B58" t="s">
        <v>37</v>
      </c>
      <c r="C58" t="s">
        <v>26</v>
      </c>
      <c r="D58" t="s">
        <v>97</v>
      </c>
      <c r="E58">
        <v>3036</v>
      </c>
      <c r="F58" t="s">
        <v>289</v>
      </c>
      <c r="G58" t="s">
        <v>290</v>
      </c>
      <c r="H58" t="s">
        <v>291</v>
      </c>
      <c r="I58" t="s">
        <v>100</v>
      </c>
      <c r="J58" t="s">
        <v>101</v>
      </c>
      <c r="K58" t="s">
        <v>21</v>
      </c>
      <c r="L58">
        <v>45678</v>
      </c>
      <c r="M58" t="s">
        <v>292</v>
      </c>
    </row>
    <row r="59" spans="1:13" x14ac:dyDescent="0.3">
      <c r="A59" t="s">
        <v>293</v>
      </c>
      <c r="B59" t="s">
        <v>37</v>
      </c>
      <c r="C59" t="s">
        <v>22</v>
      </c>
      <c r="D59" t="s">
        <v>55</v>
      </c>
      <c r="E59">
        <v>3033</v>
      </c>
      <c r="F59" t="s">
        <v>294</v>
      </c>
      <c r="G59" t="s">
        <v>295</v>
      </c>
      <c r="H59" t="s">
        <v>296</v>
      </c>
      <c r="I59" t="s">
        <v>58</v>
      </c>
      <c r="J59" t="s">
        <v>59</v>
      </c>
      <c r="K59" t="s">
        <v>21</v>
      </c>
      <c r="L59">
        <v>45705</v>
      </c>
      <c r="M59" t="s">
        <v>95</v>
      </c>
    </row>
    <row r="60" spans="1:13" x14ac:dyDescent="0.3">
      <c r="A60" t="s">
        <v>297</v>
      </c>
      <c r="B60" t="s">
        <v>46</v>
      </c>
      <c r="C60" t="s">
        <v>25</v>
      </c>
      <c r="D60" t="s">
        <v>191</v>
      </c>
      <c r="E60">
        <v>3040</v>
      </c>
      <c r="F60" t="s">
        <v>298</v>
      </c>
      <c r="G60" t="s">
        <v>299</v>
      </c>
      <c r="H60" t="s">
        <v>299</v>
      </c>
      <c r="I60" t="s">
        <v>194</v>
      </c>
      <c r="J60" t="s">
        <v>13</v>
      </c>
      <c r="L60">
        <v>45725</v>
      </c>
      <c r="M60" t="s">
        <v>300</v>
      </c>
    </row>
    <row r="61" spans="1:13" x14ac:dyDescent="0.3">
      <c r="A61" t="s">
        <v>301</v>
      </c>
      <c r="B61" t="s">
        <v>46</v>
      </c>
      <c r="C61" t="s">
        <v>25</v>
      </c>
      <c r="D61" t="s">
        <v>118</v>
      </c>
      <c r="E61">
        <v>3038</v>
      </c>
      <c r="F61" t="s">
        <v>302</v>
      </c>
      <c r="G61" t="s">
        <v>303</v>
      </c>
      <c r="H61" t="s">
        <v>303</v>
      </c>
      <c r="I61" t="s">
        <v>122</v>
      </c>
      <c r="J61" t="s">
        <v>123</v>
      </c>
      <c r="L61">
        <v>45684</v>
      </c>
      <c r="M61" t="s">
        <v>124</v>
      </c>
    </row>
    <row r="62" spans="1:13" x14ac:dyDescent="0.3">
      <c r="A62" t="s">
        <v>304</v>
      </c>
      <c r="B62" t="s">
        <v>46</v>
      </c>
      <c r="C62" t="s">
        <v>26</v>
      </c>
      <c r="D62" t="s">
        <v>38</v>
      </c>
      <c r="E62">
        <v>3031</v>
      </c>
      <c r="F62" t="s">
        <v>305</v>
      </c>
      <c r="G62" t="s">
        <v>306</v>
      </c>
      <c r="H62" t="s">
        <v>306</v>
      </c>
      <c r="I62" t="s">
        <v>42</v>
      </c>
      <c r="J62" t="s">
        <v>43</v>
      </c>
      <c r="K62" t="s">
        <v>21</v>
      </c>
      <c r="L62">
        <v>45729</v>
      </c>
      <c r="M62" t="s">
        <v>44</v>
      </c>
    </row>
    <row r="63" spans="1:13" x14ac:dyDescent="0.3">
      <c r="A63" t="s">
        <v>307</v>
      </c>
      <c r="B63" t="s">
        <v>37</v>
      </c>
      <c r="C63" t="s">
        <v>26</v>
      </c>
      <c r="D63" t="s">
        <v>71</v>
      </c>
      <c r="E63">
        <v>3034</v>
      </c>
      <c r="F63" t="s">
        <v>308</v>
      </c>
      <c r="G63" t="s">
        <v>309</v>
      </c>
      <c r="H63" t="s">
        <v>310</v>
      </c>
      <c r="I63" t="s">
        <v>74</v>
      </c>
      <c r="J63" t="s">
        <v>75</v>
      </c>
      <c r="L63">
        <v>45687</v>
      </c>
      <c r="M63" t="s">
        <v>76</v>
      </c>
    </row>
    <row r="64" spans="1:13" x14ac:dyDescent="0.3">
      <c r="A64" t="s">
        <v>311</v>
      </c>
      <c r="B64" t="s">
        <v>46</v>
      </c>
      <c r="C64" t="s">
        <v>24</v>
      </c>
      <c r="D64" t="s">
        <v>118</v>
      </c>
      <c r="E64">
        <v>3038</v>
      </c>
      <c r="F64" t="s">
        <v>312</v>
      </c>
      <c r="G64" t="s">
        <v>313</v>
      </c>
      <c r="H64" t="s">
        <v>313</v>
      </c>
      <c r="I64" t="s">
        <v>122</v>
      </c>
      <c r="J64" t="s">
        <v>123</v>
      </c>
      <c r="L64">
        <v>45667</v>
      </c>
      <c r="M64" t="s">
        <v>124</v>
      </c>
    </row>
    <row r="65" spans="1:13" x14ac:dyDescent="0.3">
      <c r="A65" t="s">
        <v>314</v>
      </c>
      <c r="B65" t="s">
        <v>37</v>
      </c>
      <c r="C65" t="s">
        <v>25</v>
      </c>
      <c r="D65" t="s">
        <v>136</v>
      </c>
      <c r="E65">
        <v>3039</v>
      </c>
      <c r="F65" t="s">
        <v>315</v>
      </c>
      <c r="G65" t="s">
        <v>316</v>
      </c>
      <c r="H65" t="s">
        <v>316</v>
      </c>
      <c r="I65" t="s">
        <v>15</v>
      </c>
      <c r="J65" t="s">
        <v>14</v>
      </c>
      <c r="K65" t="s">
        <v>21</v>
      </c>
      <c r="L65">
        <v>45737</v>
      </c>
      <c r="M65" t="s">
        <v>160</v>
      </c>
    </row>
    <row r="66" spans="1:13" x14ac:dyDescent="0.3">
      <c r="A66" t="s">
        <v>317</v>
      </c>
      <c r="B66" t="s">
        <v>46</v>
      </c>
      <c r="C66" t="s">
        <v>24</v>
      </c>
      <c r="D66" t="s">
        <v>191</v>
      </c>
      <c r="E66">
        <v>3040</v>
      </c>
      <c r="F66" t="s">
        <v>318</v>
      </c>
      <c r="G66" t="s">
        <v>319</v>
      </c>
      <c r="H66" t="s">
        <v>320</v>
      </c>
      <c r="I66" t="s">
        <v>194</v>
      </c>
      <c r="J66" t="s">
        <v>13</v>
      </c>
      <c r="L66">
        <v>45712</v>
      </c>
      <c r="M66" t="s">
        <v>321</v>
      </c>
    </row>
    <row r="67" spans="1:13" x14ac:dyDescent="0.3">
      <c r="A67" t="s">
        <v>322</v>
      </c>
      <c r="B67" t="s">
        <v>46</v>
      </c>
      <c r="C67" t="s">
        <v>22</v>
      </c>
      <c r="D67" t="s">
        <v>118</v>
      </c>
      <c r="E67">
        <v>3038</v>
      </c>
      <c r="F67" t="s">
        <v>323</v>
      </c>
      <c r="G67" t="s">
        <v>324</v>
      </c>
      <c r="H67" t="s">
        <v>324</v>
      </c>
      <c r="I67" t="s">
        <v>122</v>
      </c>
      <c r="J67" t="s">
        <v>123</v>
      </c>
      <c r="K67" t="s">
        <v>21</v>
      </c>
      <c r="L67">
        <v>45717</v>
      </c>
      <c r="M67" t="s">
        <v>200</v>
      </c>
    </row>
    <row r="68" spans="1:13" x14ac:dyDescent="0.3">
      <c r="A68" t="s">
        <v>325</v>
      </c>
      <c r="B68" t="s">
        <v>46</v>
      </c>
      <c r="C68" t="s">
        <v>24</v>
      </c>
      <c r="D68" t="s">
        <v>191</v>
      </c>
      <c r="E68">
        <v>3040</v>
      </c>
      <c r="F68" t="s">
        <v>326</v>
      </c>
      <c r="G68" t="s">
        <v>327</v>
      </c>
      <c r="H68" t="s">
        <v>328</v>
      </c>
      <c r="I68" t="s">
        <v>194</v>
      </c>
      <c r="J68" t="s">
        <v>13</v>
      </c>
      <c r="K68" t="s">
        <v>21</v>
      </c>
      <c r="L68">
        <v>45697</v>
      </c>
      <c r="M68" t="s">
        <v>195</v>
      </c>
    </row>
    <row r="69" spans="1:13" x14ac:dyDescent="0.3">
      <c r="A69" t="s">
        <v>329</v>
      </c>
      <c r="B69" t="s">
        <v>37</v>
      </c>
      <c r="C69" t="s">
        <v>24</v>
      </c>
      <c r="D69" t="s">
        <v>104</v>
      </c>
      <c r="E69">
        <v>3037</v>
      </c>
      <c r="F69" t="s">
        <v>330</v>
      </c>
      <c r="G69" t="s">
        <v>331</v>
      </c>
      <c r="H69" t="s">
        <v>331</v>
      </c>
      <c r="I69" t="s">
        <v>12</v>
      </c>
      <c r="J69" t="s">
        <v>13</v>
      </c>
      <c r="L69">
        <v>45683</v>
      </c>
      <c r="M69" t="s">
        <v>107</v>
      </c>
    </row>
    <row r="70" spans="1:13" x14ac:dyDescent="0.3">
      <c r="A70" t="s">
        <v>332</v>
      </c>
      <c r="B70" t="s">
        <v>46</v>
      </c>
      <c r="C70" t="s">
        <v>24</v>
      </c>
      <c r="D70" t="s">
        <v>55</v>
      </c>
      <c r="E70">
        <v>3033</v>
      </c>
      <c r="F70" t="s">
        <v>333</v>
      </c>
      <c r="G70" t="s">
        <v>334</v>
      </c>
      <c r="H70" t="s">
        <v>335</v>
      </c>
      <c r="I70" t="s">
        <v>58</v>
      </c>
      <c r="J70" t="s">
        <v>59</v>
      </c>
      <c r="L70">
        <v>45674</v>
      </c>
      <c r="M70" t="s">
        <v>90</v>
      </c>
    </row>
    <row r="71" spans="1:13" x14ac:dyDescent="0.3">
      <c r="A71" t="s">
        <v>336</v>
      </c>
      <c r="B71" t="s">
        <v>46</v>
      </c>
      <c r="C71" t="s">
        <v>26</v>
      </c>
      <c r="D71" t="s">
        <v>71</v>
      </c>
      <c r="E71">
        <v>3034</v>
      </c>
      <c r="F71" t="s">
        <v>337</v>
      </c>
      <c r="G71" t="s">
        <v>338</v>
      </c>
      <c r="H71" t="s">
        <v>339</v>
      </c>
      <c r="I71" t="s">
        <v>74</v>
      </c>
      <c r="J71" t="s">
        <v>75</v>
      </c>
      <c r="L71">
        <v>45700</v>
      </c>
      <c r="M71" t="s">
        <v>165</v>
      </c>
    </row>
    <row r="72" spans="1:13" x14ac:dyDescent="0.3">
      <c r="A72" t="s">
        <v>340</v>
      </c>
      <c r="B72" t="s">
        <v>46</v>
      </c>
      <c r="C72" t="s">
        <v>25</v>
      </c>
      <c r="D72" t="s">
        <v>118</v>
      </c>
      <c r="E72">
        <v>3038</v>
      </c>
      <c r="F72" t="s">
        <v>341</v>
      </c>
      <c r="G72" t="s">
        <v>342</v>
      </c>
      <c r="H72" t="s">
        <v>343</v>
      </c>
      <c r="I72" t="s">
        <v>122</v>
      </c>
      <c r="J72" t="s">
        <v>123</v>
      </c>
      <c r="L72">
        <v>45713</v>
      </c>
      <c r="M72" t="s">
        <v>344</v>
      </c>
    </row>
    <row r="73" spans="1:13" x14ac:dyDescent="0.3">
      <c r="A73" t="s">
        <v>345</v>
      </c>
      <c r="B73" t="s">
        <v>46</v>
      </c>
      <c r="C73" t="s">
        <v>26</v>
      </c>
      <c r="D73" t="s">
        <v>55</v>
      </c>
      <c r="E73">
        <v>3033</v>
      </c>
      <c r="F73" t="s">
        <v>346</v>
      </c>
      <c r="G73" t="s">
        <v>347</v>
      </c>
      <c r="H73" t="s">
        <v>347</v>
      </c>
      <c r="I73" t="s">
        <v>58</v>
      </c>
      <c r="J73" t="s">
        <v>59</v>
      </c>
      <c r="K73" t="s">
        <v>21</v>
      </c>
      <c r="L73">
        <v>45666</v>
      </c>
      <c r="M73" t="s">
        <v>86</v>
      </c>
    </row>
    <row r="74" spans="1:13" x14ac:dyDescent="0.3">
      <c r="A74" t="s">
        <v>348</v>
      </c>
      <c r="B74" t="s">
        <v>46</v>
      </c>
      <c r="C74" t="s">
        <v>24</v>
      </c>
      <c r="D74" t="s">
        <v>191</v>
      </c>
      <c r="E74">
        <v>3040</v>
      </c>
      <c r="F74" t="s">
        <v>349</v>
      </c>
      <c r="G74" t="s">
        <v>350</v>
      </c>
      <c r="H74" t="s">
        <v>351</v>
      </c>
      <c r="I74" t="s">
        <v>194</v>
      </c>
      <c r="J74" t="s">
        <v>13</v>
      </c>
      <c r="L74">
        <v>45685</v>
      </c>
      <c r="M74" t="s">
        <v>195</v>
      </c>
    </row>
    <row r="75" spans="1:13" x14ac:dyDescent="0.3">
      <c r="A75" t="s">
        <v>352</v>
      </c>
      <c r="B75" t="s">
        <v>46</v>
      </c>
      <c r="C75" t="s">
        <v>22</v>
      </c>
      <c r="D75" t="s">
        <v>55</v>
      </c>
      <c r="E75">
        <v>3033</v>
      </c>
      <c r="F75" t="s">
        <v>353</v>
      </c>
      <c r="G75" t="s">
        <v>354</v>
      </c>
      <c r="H75" t="s">
        <v>355</v>
      </c>
      <c r="I75" t="s">
        <v>58</v>
      </c>
      <c r="J75" t="s">
        <v>59</v>
      </c>
      <c r="L75">
        <v>45721</v>
      </c>
      <c r="M75" t="s">
        <v>95</v>
      </c>
    </row>
    <row r="76" spans="1:13" x14ac:dyDescent="0.3">
      <c r="A76" t="s">
        <v>356</v>
      </c>
      <c r="B76" t="s">
        <v>37</v>
      </c>
      <c r="C76" t="s">
        <v>26</v>
      </c>
      <c r="D76" t="s">
        <v>118</v>
      </c>
      <c r="E76">
        <v>3038</v>
      </c>
      <c r="F76" t="s">
        <v>357</v>
      </c>
      <c r="G76" t="s">
        <v>358</v>
      </c>
      <c r="H76" t="s">
        <v>358</v>
      </c>
      <c r="I76" t="s">
        <v>122</v>
      </c>
      <c r="J76" t="s">
        <v>123</v>
      </c>
      <c r="K76" t="s">
        <v>21</v>
      </c>
      <c r="L76">
        <v>45711</v>
      </c>
      <c r="M76" t="s">
        <v>359</v>
      </c>
    </row>
    <row r="77" spans="1:13" x14ac:dyDescent="0.3">
      <c r="A77" t="s">
        <v>360</v>
      </c>
      <c r="B77" t="s">
        <v>37</v>
      </c>
      <c r="C77" t="s">
        <v>25</v>
      </c>
      <c r="D77" t="s">
        <v>207</v>
      </c>
      <c r="E77">
        <v>3041</v>
      </c>
      <c r="F77" t="s">
        <v>361</v>
      </c>
      <c r="G77" t="s">
        <v>362</v>
      </c>
      <c r="H77" t="s">
        <v>362</v>
      </c>
      <c r="I77" t="s">
        <v>211</v>
      </c>
      <c r="J77" t="s">
        <v>14</v>
      </c>
      <c r="K77" t="s">
        <v>21</v>
      </c>
      <c r="L77">
        <v>45711</v>
      </c>
      <c r="M77" t="s">
        <v>363</v>
      </c>
    </row>
    <row r="78" spans="1:13" x14ac:dyDescent="0.3">
      <c r="A78" t="s">
        <v>364</v>
      </c>
      <c r="B78" t="s">
        <v>46</v>
      </c>
      <c r="C78" t="s">
        <v>22</v>
      </c>
      <c r="D78" t="s">
        <v>97</v>
      </c>
      <c r="E78">
        <v>3036</v>
      </c>
      <c r="F78" t="s">
        <v>365</v>
      </c>
      <c r="G78" t="s">
        <v>366</v>
      </c>
      <c r="H78" t="s">
        <v>367</v>
      </c>
      <c r="I78" t="s">
        <v>100</v>
      </c>
      <c r="J78" t="s">
        <v>101</v>
      </c>
      <c r="L78">
        <v>45698</v>
      </c>
      <c r="M78" t="s">
        <v>102</v>
      </c>
    </row>
    <row r="79" spans="1:13" x14ac:dyDescent="0.3">
      <c r="A79" t="s">
        <v>368</v>
      </c>
      <c r="B79" t="s">
        <v>37</v>
      </c>
      <c r="C79" t="s">
        <v>26</v>
      </c>
      <c r="D79" t="s">
        <v>78</v>
      </c>
      <c r="E79">
        <v>3035</v>
      </c>
      <c r="F79" t="s">
        <v>369</v>
      </c>
      <c r="G79" t="s">
        <v>370</v>
      </c>
      <c r="H79" t="s">
        <v>370</v>
      </c>
      <c r="I79" t="s">
        <v>81</v>
      </c>
      <c r="J79" t="s">
        <v>82</v>
      </c>
      <c r="L79">
        <v>45733</v>
      </c>
      <c r="M79" t="s">
        <v>95</v>
      </c>
    </row>
    <row r="80" spans="1:13" x14ac:dyDescent="0.3">
      <c r="A80" t="s">
        <v>371</v>
      </c>
      <c r="B80" t="s">
        <v>46</v>
      </c>
      <c r="C80" t="s">
        <v>26</v>
      </c>
      <c r="D80" t="s">
        <v>191</v>
      </c>
      <c r="E80">
        <v>3040</v>
      </c>
      <c r="F80" t="s">
        <v>372</v>
      </c>
      <c r="G80" t="s">
        <v>373</v>
      </c>
      <c r="H80" t="s">
        <v>374</v>
      </c>
      <c r="I80" t="s">
        <v>194</v>
      </c>
      <c r="J80" t="s">
        <v>13</v>
      </c>
      <c r="L80">
        <v>45710</v>
      </c>
      <c r="M80" t="s">
        <v>300</v>
      </c>
    </row>
    <row r="81" spans="1:13" x14ac:dyDescent="0.3">
      <c r="A81" t="s">
        <v>375</v>
      </c>
      <c r="B81" t="s">
        <v>37</v>
      </c>
      <c r="C81" t="s">
        <v>22</v>
      </c>
      <c r="D81" t="s">
        <v>38</v>
      </c>
      <c r="E81">
        <v>3031</v>
      </c>
      <c r="F81" t="s">
        <v>376</v>
      </c>
      <c r="G81" t="s">
        <v>377</v>
      </c>
      <c r="H81" t="s">
        <v>378</v>
      </c>
      <c r="I81" t="s">
        <v>42</v>
      </c>
      <c r="J81" t="s">
        <v>43</v>
      </c>
      <c r="L81">
        <v>45680</v>
      </c>
      <c r="M81" t="s">
        <v>44</v>
      </c>
    </row>
    <row r="82" spans="1:13" x14ac:dyDescent="0.3">
      <c r="A82" t="s">
        <v>379</v>
      </c>
      <c r="B82" t="s">
        <v>46</v>
      </c>
      <c r="C82" t="s">
        <v>25</v>
      </c>
      <c r="D82" t="s">
        <v>136</v>
      </c>
      <c r="E82">
        <v>3039</v>
      </c>
      <c r="F82" t="s">
        <v>380</v>
      </c>
      <c r="G82" t="s">
        <v>381</v>
      </c>
      <c r="H82" t="s">
        <v>381</v>
      </c>
      <c r="I82" t="s">
        <v>15</v>
      </c>
      <c r="J82" t="s">
        <v>14</v>
      </c>
      <c r="L82">
        <v>45706</v>
      </c>
      <c r="M82" t="s">
        <v>382</v>
      </c>
    </row>
    <row r="83" spans="1:13" x14ac:dyDescent="0.3">
      <c r="A83" t="s">
        <v>383</v>
      </c>
      <c r="B83" t="s">
        <v>46</v>
      </c>
      <c r="C83" t="s">
        <v>24</v>
      </c>
      <c r="D83" t="s">
        <v>71</v>
      </c>
      <c r="E83">
        <v>3034</v>
      </c>
      <c r="F83" t="s">
        <v>384</v>
      </c>
      <c r="G83" t="s">
        <v>385</v>
      </c>
      <c r="H83" t="s">
        <v>385</v>
      </c>
      <c r="I83" t="s">
        <v>74</v>
      </c>
      <c r="J83" t="s">
        <v>75</v>
      </c>
      <c r="L83">
        <v>45665</v>
      </c>
      <c r="M83" t="s">
        <v>205</v>
      </c>
    </row>
    <row r="84" spans="1:13" x14ac:dyDescent="0.3">
      <c r="A84" t="s">
        <v>386</v>
      </c>
      <c r="B84" t="s">
        <v>46</v>
      </c>
      <c r="C84" t="s">
        <v>26</v>
      </c>
      <c r="D84" t="s">
        <v>118</v>
      </c>
      <c r="E84">
        <v>3038</v>
      </c>
      <c r="F84" t="s">
        <v>387</v>
      </c>
      <c r="G84" t="s">
        <v>388</v>
      </c>
      <c r="H84" t="s">
        <v>388</v>
      </c>
      <c r="I84" t="s">
        <v>122</v>
      </c>
      <c r="J84" t="s">
        <v>123</v>
      </c>
      <c r="K84" t="s">
        <v>21</v>
      </c>
      <c r="L84">
        <v>45742</v>
      </c>
      <c r="M84" t="s">
        <v>389</v>
      </c>
    </row>
    <row r="85" spans="1:13" x14ac:dyDescent="0.3">
      <c r="A85" t="s">
        <v>390</v>
      </c>
      <c r="B85" t="s">
        <v>37</v>
      </c>
      <c r="C85" t="s">
        <v>22</v>
      </c>
      <c r="D85" t="s">
        <v>207</v>
      </c>
      <c r="E85">
        <v>3041</v>
      </c>
      <c r="F85" t="s">
        <v>391</v>
      </c>
      <c r="G85" t="s">
        <v>392</v>
      </c>
      <c r="H85" t="s">
        <v>393</v>
      </c>
      <c r="I85" t="s">
        <v>211</v>
      </c>
      <c r="J85" t="s">
        <v>14</v>
      </c>
      <c r="K85" t="s">
        <v>21</v>
      </c>
      <c r="L85">
        <v>45701</v>
      </c>
      <c r="M85" t="s">
        <v>394</v>
      </c>
    </row>
    <row r="86" spans="1:13" x14ac:dyDescent="0.3">
      <c r="A86" t="s">
        <v>395</v>
      </c>
      <c r="B86" t="s">
        <v>46</v>
      </c>
      <c r="C86" t="s">
        <v>26</v>
      </c>
      <c r="D86" t="s">
        <v>136</v>
      </c>
      <c r="E86">
        <v>3039</v>
      </c>
      <c r="F86" t="s">
        <v>396</v>
      </c>
      <c r="G86" t="s">
        <v>397</v>
      </c>
      <c r="H86" t="s">
        <v>397</v>
      </c>
      <c r="I86" t="s">
        <v>15</v>
      </c>
      <c r="J86" t="s">
        <v>14</v>
      </c>
      <c r="K86" t="s">
        <v>21</v>
      </c>
      <c r="L86">
        <v>45672</v>
      </c>
      <c r="M86" t="s">
        <v>382</v>
      </c>
    </row>
    <row r="87" spans="1:13" x14ac:dyDescent="0.3">
      <c r="A87" t="s">
        <v>398</v>
      </c>
      <c r="B87" t="s">
        <v>46</v>
      </c>
      <c r="C87" t="s">
        <v>22</v>
      </c>
      <c r="D87" t="s">
        <v>78</v>
      </c>
      <c r="E87">
        <v>3035</v>
      </c>
      <c r="F87" t="s">
        <v>399</v>
      </c>
      <c r="G87" t="s">
        <v>400</v>
      </c>
      <c r="H87" t="s">
        <v>400</v>
      </c>
      <c r="I87" t="s">
        <v>81</v>
      </c>
      <c r="J87" t="s">
        <v>82</v>
      </c>
      <c r="L87">
        <v>45706</v>
      </c>
      <c r="M87" t="s">
        <v>287</v>
      </c>
    </row>
    <row r="88" spans="1:13" x14ac:dyDescent="0.3">
      <c r="A88" t="s">
        <v>401</v>
      </c>
      <c r="B88" t="s">
        <v>37</v>
      </c>
      <c r="C88" t="s">
        <v>24</v>
      </c>
      <c r="D88" t="s">
        <v>78</v>
      </c>
      <c r="E88">
        <v>3035</v>
      </c>
      <c r="F88" t="s">
        <v>402</v>
      </c>
      <c r="G88" t="s">
        <v>403</v>
      </c>
      <c r="H88" t="s">
        <v>403</v>
      </c>
      <c r="I88" t="s">
        <v>81</v>
      </c>
      <c r="J88" t="s">
        <v>82</v>
      </c>
      <c r="K88" t="s">
        <v>21</v>
      </c>
      <c r="L88">
        <v>45665</v>
      </c>
      <c r="M88" t="s">
        <v>95</v>
      </c>
    </row>
    <row r="89" spans="1:13" x14ac:dyDescent="0.3">
      <c r="A89" t="s">
        <v>404</v>
      </c>
      <c r="B89" t="s">
        <v>37</v>
      </c>
      <c r="C89" t="s">
        <v>25</v>
      </c>
      <c r="D89" t="s">
        <v>104</v>
      </c>
      <c r="E89">
        <v>3037</v>
      </c>
      <c r="F89" t="s">
        <v>405</v>
      </c>
      <c r="G89" t="s">
        <v>406</v>
      </c>
      <c r="H89" t="s">
        <v>407</v>
      </c>
      <c r="I89" t="s">
        <v>12</v>
      </c>
      <c r="J89" t="s">
        <v>13</v>
      </c>
      <c r="L89">
        <v>45681</v>
      </c>
      <c r="M89" t="s">
        <v>189</v>
      </c>
    </row>
    <row r="90" spans="1:13" x14ac:dyDescent="0.3">
      <c r="A90" t="s">
        <v>408</v>
      </c>
      <c r="B90" t="s">
        <v>37</v>
      </c>
      <c r="C90" t="s">
        <v>25</v>
      </c>
      <c r="D90" t="s">
        <v>55</v>
      </c>
      <c r="E90">
        <v>3033</v>
      </c>
      <c r="F90" t="s">
        <v>409</v>
      </c>
      <c r="G90" t="s">
        <v>410</v>
      </c>
      <c r="H90" t="s">
        <v>410</v>
      </c>
      <c r="I90" t="s">
        <v>58</v>
      </c>
      <c r="J90" t="s">
        <v>59</v>
      </c>
      <c r="L90">
        <v>45746</v>
      </c>
      <c r="M90" t="s">
        <v>69</v>
      </c>
    </row>
    <row r="91" spans="1:13" x14ac:dyDescent="0.3">
      <c r="A91" t="s">
        <v>411</v>
      </c>
      <c r="B91" t="s">
        <v>46</v>
      </c>
      <c r="C91" t="s">
        <v>26</v>
      </c>
      <c r="D91" t="s">
        <v>104</v>
      </c>
      <c r="E91">
        <v>3037</v>
      </c>
      <c r="F91" t="s">
        <v>412</v>
      </c>
      <c r="G91" t="s">
        <v>413</v>
      </c>
      <c r="H91" t="s">
        <v>413</v>
      </c>
      <c r="I91" t="s">
        <v>12</v>
      </c>
      <c r="J91" t="s">
        <v>13</v>
      </c>
      <c r="L91">
        <v>45718</v>
      </c>
      <c r="M91" t="s">
        <v>189</v>
      </c>
    </row>
    <row r="92" spans="1:13" x14ac:dyDescent="0.3">
      <c r="A92" t="s">
        <v>414</v>
      </c>
      <c r="B92" t="s">
        <v>37</v>
      </c>
      <c r="C92" t="s">
        <v>25</v>
      </c>
      <c r="D92" t="s">
        <v>55</v>
      </c>
      <c r="E92">
        <v>3033</v>
      </c>
      <c r="F92" t="s">
        <v>415</v>
      </c>
      <c r="G92" t="s">
        <v>416</v>
      </c>
      <c r="H92" t="s">
        <v>416</v>
      </c>
      <c r="I92" t="s">
        <v>58</v>
      </c>
      <c r="J92" t="s">
        <v>59</v>
      </c>
      <c r="L92">
        <v>45730</v>
      </c>
      <c r="M92" t="s">
        <v>60</v>
      </c>
    </row>
    <row r="93" spans="1:13" x14ac:dyDescent="0.3">
      <c r="A93" t="s">
        <v>417</v>
      </c>
      <c r="B93" t="s">
        <v>37</v>
      </c>
      <c r="C93" t="s">
        <v>24</v>
      </c>
      <c r="D93" t="s">
        <v>38</v>
      </c>
      <c r="E93">
        <v>3031</v>
      </c>
      <c r="F93" t="s">
        <v>418</v>
      </c>
      <c r="G93" t="s">
        <v>419</v>
      </c>
      <c r="H93" t="s">
        <v>419</v>
      </c>
      <c r="I93" t="s">
        <v>42</v>
      </c>
      <c r="J93" t="s">
        <v>43</v>
      </c>
      <c r="L93">
        <v>45736</v>
      </c>
      <c r="M93" t="s">
        <v>420</v>
      </c>
    </row>
    <row r="94" spans="1:13" x14ac:dyDescent="0.3">
      <c r="A94" t="s">
        <v>421</v>
      </c>
      <c r="B94" t="s">
        <v>46</v>
      </c>
      <c r="C94" t="s">
        <v>22</v>
      </c>
      <c r="D94" t="s">
        <v>55</v>
      </c>
      <c r="E94">
        <v>3033</v>
      </c>
      <c r="F94" t="s">
        <v>422</v>
      </c>
      <c r="G94" t="s">
        <v>423</v>
      </c>
      <c r="H94" t="s">
        <v>423</v>
      </c>
      <c r="I94" t="s">
        <v>58</v>
      </c>
      <c r="J94" t="s">
        <v>59</v>
      </c>
      <c r="L94">
        <v>45659</v>
      </c>
      <c r="M94" t="s">
        <v>69</v>
      </c>
    </row>
    <row r="95" spans="1:13" x14ac:dyDescent="0.3">
      <c r="A95" t="s">
        <v>424</v>
      </c>
      <c r="B95" t="s">
        <v>37</v>
      </c>
      <c r="C95" t="s">
        <v>24</v>
      </c>
      <c r="D95" t="s">
        <v>207</v>
      </c>
      <c r="E95">
        <v>3041</v>
      </c>
      <c r="F95" t="s">
        <v>425</v>
      </c>
      <c r="G95" t="s">
        <v>426</v>
      </c>
      <c r="H95" t="s">
        <v>426</v>
      </c>
      <c r="I95" t="s">
        <v>211</v>
      </c>
      <c r="J95" t="s">
        <v>14</v>
      </c>
      <c r="L95">
        <v>45703</v>
      </c>
      <c r="M95" t="s">
        <v>394</v>
      </c>
    </row>
    <row r="96" spans="1:13" x14ac:dyDescent="0.3">
      <c r="A96" t="s">
        <v>427</v>
      </c>
      <c r="B96" t="s">
        <v>46</v>
      </c>
      <c r="C96" t="s">
        <v>26</v>
      </c>
      <c r="D96" t="s">
        <v>55</v>
      </c>
      <c r="E96">
        <v>3033</v>
      </c>
      <c r="F96" t="s">
        <v>428</v>
      </c>
      <c r="G96" t="s">
        <v>429</v>
      </c>
      <c r="H96" t="s">
        <v>430</v>
      </c>
      <c r="I96" t="s">
        <v>58</v>
      </c>
      <c r="J96" t="s">
        <v>59</v>
      </c>
      <c r="L96">
        <v>45662</v>
      </c>
      <c r="M96" t="s">
        <v>69</v>
      </c>
    </row>
    <row r="97" spans="1:13" x14ac:dyDescent="0.3">
      <c r="A97" t="s">
        <v>431</v>
      </c>
      <c r="B97" t="s">
        <v>46</v>
      </c>
      <c r="C97" t="s">
        <v>26</v>
      </c>
      <c r="D97" t="s">
        <v>97</v>
      </c>
      <c r="E97">
        <v>3036</v>
      </c>
      <c r="F97" t="s">
        <v>432</v>
      </c>
      <c r="G97" t="s">
        <v>433</v>
      </c>
      <c r="H97" t="s">
        <v>434</v>
      </c>
      <c r="I97" t="s">
        <v>100</v>
      </c>
      <c r="J97" t="s">
        <v>101</v>
      </c>
      <c r="K97" t="s">
        <v>21</v>
      </c>
      <c r="L97">
        <v>45715</v>
      </c>
      <c r="M97" t="s">
        <v>102</v>
      </c>
    </row>
    <row r="98" spans="1:13" x14ac:dyDescent="0.3">
      <c r="A98" t="s">
        <v>435</v>
      </c>
      <c r="B98" t="s">
        <v>37</v>
      </c>
      <c r="C98" t="s">
        <v>24</v>
      </c>
      <c r="D98" t="s">
        <v>55</v>
      </c>
      <c r="E98">
        <v>3033</v>
      </c>
      <c r="F98" t="s">
        <v>436</v>
      </c>
      <c r="G98" t="s">
        <v>437</v>
      </c>
      <c r="H98" t="s">
        <v>438</v>
      </c>
      <c r="I98" t="s">
        <v>58</v>
      </c>
      <c r="J98" t="s">
        <v>59</v>
      </c>
      <c r="L98">
        <v>45680</v>
      </c>
      <c r="M98" t="s">
        <v>86</v>
      </c>
    </row>
    <row r="99" spans="1:13" x14ac:dyDescent="0.3">
      <c r="A99" t="s">
        <v>439</v>
      </c>
      <c r="B99" t="s">
        <v>37</v>
      </c>
      <c r="C99" t="s">
        <v>22</v>
      </c>
      <c r="D99" t="s">
        <v>71</v>
      </c>
      <c r="E99">
        <v>3034</v>
      </c>
      <c r="F99" t="s">
        <v>440</v>
      </c>
      <c r="G99" t="s">
        <v>441</v>
      </c>
      <c r="H99" t="s">
        <v>442</v>
      </c>
      <c r="I99" t="s">
        <v>74</v>
      </c>
      <c r="J99" t="s">
        <v>75</v>
      </c>
      <c r="K99" t="s">
        <v>21</v>
      </c>
      <c r="L99">
        <v>45722</v>
      </c>
      <c r="M99" t="s">
        <v>76</v>
      </c>
    </row>
    <row r="100" spans="1:13" x14ac:dyDescent="0.3">
      <c r="A100" t="s">
        <v>443</v>
      </c>
      <c r="B100" t="s">
        <v>46</v>
      </c>
      <c r="C100" t="s">
        <v>22</v>
      </c>
      <c r="D100" t="s">
        <v>444</v>
      </c>
      <c r="E100">
        <v>3042</v>
      </c>
      <c r="F100" t="s">
        <v>445</v>
      </c>
      <c r="G100" t="s">
        <v>446</v>
      </c>
      <c r="H100" t="s">
        <v>447</v>
      </c>
      <c r="I100" t="s">
        <v>448</v>
      </c>
      <c r="J100" t="s">
        <v>449</v>
      </c>
      <c r="L100">
        <v>45714</v>
      </c>
      <c r="M100" t="s">
        <v>450</v>
      </c>
    </row>
    <row r="101" spans="1:13" x14ac:dyDescent="0.3">
      <c r="A101" t="s">
        <v>451</v>
      </c>
      <c r="B101" t="s">
        <v>37</v>
      </c>
      <c r="C101" t="s">
        <v>26</v>
      </c>
      <c r="D101" t="s">
        <v>38</v>
      </c>
      <c r="E101">
        <v>3031</v>
      </c>
      <c r="F101" t="s">
        <v>452</v>
      </c>
      <c r="G101" t="s">
        <v>453</v>
      </c>
      <c r="H101" t="s">
        <v>453</v>
      </c>
      <c r="I101" t="s">
        <v>42</v>
      </c>
      <c r="J101" t="s">
        <v>43</v>
      </c>
      <c r="L101">
        <v>45722</v>
      </c>
      <c r="M101" t="s">
        <v>44</v>
      </c>
    </row>
    <row r="102" spans="1:13" x14ac:dyDescent="0.3">
      <c r="A102" t="s">
        <v>454</v>
      </c>
      <c r="B102" t="s">
        <v>37</v>
      </c>
      <c r="C102" t="s">
        <v>25</v>
      </c>
      <c r="D102" t="s">
        <v>78</v>
      </c>
      <c r="E102">
        <v>3035</v>
      </c>
      <c r="F102" t="s">
        <v>455</v>
      </c>
      <c r="G102" t="s">
        <v>456</v>
      </c>
      <c r="H102" t="s">
        <v>456</v>
      </c>
      <c r="I102" t="s">
        <v>81</v>
      </c>
      <c r="J102" t="s">
        <v>82</v>
      </c>
      <c r="K102" t="s">
        <v>21</v>
      </c>
      <c r="L102">
        <v>45709</v>
      </c>
      <c r="M102" t="s">
        <v>69</v>
      </c>
    </row>
    <row r="103" spans="1:13" x14ac:dyDescent="0.3">
      <c r="A103" t="s">
        <v>457</v>
      </c>
      <c r="B103" t="s">
        <v>37</v>
      </c>
      <c r="C103" t="s">
        <v>22</v>
      </c>
      <c r="D103" t="s">
        <v>78</v>
      </c>
      <c r="E103">
        <v>3035</v>
      </c>
      <c r="F103" t="s">
        <v>458</v>
      </c>
      <c r="G103" t="s">
        <v>459</v>
      </c>
      <c r="H103" t="s">
        <v>459</v>
      </c>
      <c r="I103" t="s">
        <v>81</v>
      </c>
      <c r="J103" t="s">
        <v>82</v>
      </c>
      <c r="L103">
        <v>45717</v>
      </c>
      <c r="M103" t="s">
        <v>69</v>
      </c>
    </row>
    <row r="104" spans="1:13" x14ac:dyDescent="0.3">
      <c r="A104" t="s">
        <v>460</v>
      </c>
      <c r="B104" t="s">
        <v>37</v>
      </c>
      <c r="C104" t="s">
        <v>24</v>
      </c>
      <c r="D104" t="s">
        <v>38</v>
      </c>
      <c r="E104">
        <v>3031</v>
      </c>
      <c r="F104" t="s">
        <v>284</v>
      </c>
      <c r="G104" t="s">
        <v>461</v>
      </c>
      <c r="H104" t="s">
        <v>462</v>
      </c>
      <c r="I104" t="s">
        <v>42</v>
      </c>
      <c r="J104" t="s">
        <v>43</v>
      </c>
      <c r="L104">
        <v>45705</v>
      </c>
      <c r="M104" t="s">
        <v>76</v>
      </c>
    </row>
    <row r="105" spans="1:13" x14ac:dyDescent="0.3">
      <c r="A105" t="s">
        <v>463</v>
      </c>
      <c r="B105" t="s">
        <v>46</v>
      </c>
      <c r="C105" t="s">
        <v>26</v>
      </c>
      <c r="D105" t="s">
        <v>191</v>
      </c>
      <c r="E105">
        <v>3040</v>
      </c>
      <c r="F105" t="s">
        <v>464</v>
      </c>
      <c r="G105" t="s">
        <v>465</v>
      </c>
      <c r="H105" t="s">
        <v>465</v>
      </c>
      <c r="I105" t="s">
        <v>194</v>
      </c>
      <c r="J105" t="s">
        <v>13</v>
      </c>
      <c r="L105">
        <v>45702</v>
      </c>
      <c r="M105" t="s">
        <v>321</v>
      </c>
    </row>
    <row r="106" spans="1:13" x14ac:dyDescent="0.3">
      <c r="A106" t="s">
        <v>466</v>
      </c>
      <c r="B106" t="s">
        <v>46</v>
      </c>
      <c r="C106" t="s">
        <v>25</v>
      </c>
      <c r="D106" t="s">
        <v>97</v>
      </c>
      <c r="E106">
        <v>3036</v>
      </c>
      <c r="F106" t="s">
        <v>467</v>
      </c>
      <c r="G106" t="s">
        <v>468</v>
      </c>
      <c r="H106" t="s">
        <v>469</v>
      </c>
      <c r="I106" t="s">
        <v>100</v>
      </c>
      <c r="J106" t="s">
        <v>101</v>
      </c>
      <c r="K106" t="s">
        <v>21</v>
      </c>
      <c r="L106">
        <v>45696</v>
      </c>
      <c r="M106" t="s">
        <v>292</v>
      </c>
    </row>
    <row r="107" spans="1:13" x14ac:dyDescent="0.3">
      <c r="A107" t="s">
        <v>470</v>
      </c>
      <c r="B107" t="s">
        <v>46</v>
      </c>
      <c r="C107" t="s">
        <v>24</v>
      </c>
      <c r="D107" t="s">
        <v>38</v>
      </c>
      <c r="E107">
        <v>3031</v>
      </c>
      <c r="F107" t="s">
        <v>471</v>
      </c>
      <c r="G107" t="s">
        <v>472</v>
      </c>
      <c r="H107" t="s">
        <v>472</v>
      </c>
      <c r="I107" t="s">
        <v>42</v>
      </c>
      <c r="J107" t="s">
        <v>43</v>
      </c>
      <c r="L107">
        <v>45664</v>
      </c>
      <c r="M107" t="s">
        <v>287</v>
      </c>
    </row>
    <row r="108" spans="1:13" x14ac:dyDescent="0.3">
      <c r="A108" t="s">
        <v>473</v>
      </c>
      <c r="B108" t="s">
        <v>37</v>
      </c>
      <c r="C108" t="s">
        <v>25</v>
      </c>
      <c r="D108" t="s">
        <v>47</v>
      </c>
      <c r="E108">
        <v>3032</v>
      </c>
      <c r="F108" t="s">
        <v>474</v>
      </c>
      <c r="G108" t="s">
        <v>475</v>
      </c>
      <c r="H108" t="s">
        <v>475</v>
      </c>
      <c r="I108" t="s">
        <v>51</v>
      </c>
      <c r="J108" t="s">
        <v>52</v>
      </c>
      <c r="K108" t="s">
        <v>21</v>
      </c>
      <c r="L108">
        <v>45723</v>
      </c>
      <c r="M108" t="s">
        <v>476</v>
      </c>
    </row>
    <row r="109" spans="1:13" x14ac:dyDescent="0.3">
      <c r="A109" t="s">
        <v>477</v>
      </c>
      <c r="B109" t="s">
        <v>37</v>
      </c>
      <c r="C109" t="s">
        <v>24</v>
      </c>
      <c r="D109" t="s">
        <v>444</v>
      </c>
      <c r="E109">
        <v>3042</v>
      </c>
      <c r="F109" t="s">
        <v>478</v>
      </c>
      <c r="G109" t="s">
        <v>479</v>
      </c>
      <c r="H109" t="s">
        <v>480</v>
      </c>
      <c r="I109" t="s">
        <v>448</v>
      </c>
      <c r="J109" t="s">
        <v>449</v>
      </c>
      <c r="K109" t="s">
        <v>21</v>
      </c>
      <c r="L109">
        <v>45673</v>
      </c>
      <c r="M109" t="s">
        <v>481</v>
      </c>
    </row>
    <row r="110" spans="1:13" x14ac:dyDescent="0.3">
      <c r="A110" t="s">
        <v>482</v>
      </c>
      <c r="B110" t="s">
        <v>46</v>
      </c>
      <c r="C110" t="s">
        <v>26</v>
      </c>
      <c r="D110" t="s">
        <v>444</v>
      </c>
      <c r="E110">
        <v>3042</v>
      </c>
      <c r="F110" t="s">
        <v>483</v>
      </c>
      <c r="G110" t="s">
        <v>484</v>
      </c>
      <c r="H110" t="s">
        <v>484</v>
      </c>
      <c r="I110" t="s">
        <v>448</v>
      </c>
      <c r="J110" t="s">
        <v>449</v>
      </c>
      <c r="K110" t="s">
        <v>21</v>
      </c>
      <c r="L110">
        <v>45717</v>
      </c>
      <c r="M110" t="s">
        <v>107</v>
      </c>
    </row>
    <row r="111" spans="1:13" x14ac:dyDescent="0.3">
      <c r="A111" t="s">
        <v>485</v>
      </c>
      <c r="B111" t="s">
        <v>46</v>
      </c>
      <c r="C111" t="s">
        <v>24</v>
      </c>
      <c r="D111" t="s">
        <v>78</v>
      </c>
      <c r="E111">
        <v>3035</v>
      </c>
      <c r="F111" t="s">
        <v>486</v>
      </c>
      <c r="G111" t="s">
        <v>487</v>
      </c>
      <c r="H111" t="s">
        <v>488</v>
      </c>
      <c r="I111" t="s">
        <v>81</v>
      </c>
      <c r="J111" t="s">
        <v>82</v>
      </c>
      <c r="K111" t="s">
        <v>21</v>
      </c>
      <c r="L111">
        <v>45742</v>
      </c>
      <c r="M111" t="s">
        <v>489</v>
      </c>
    </row>
    <row r="112" spans="1:13" x14ac:dyDescent="0.3">
      <c r="A112" t="s">
        <v>490</v>
      </c>
      <c r="B112" t="s">
        <v>37</v>
      </c>
      <c r="C112" t="s">
        <v>26</v>
      </c>
      <c r="D112" t="s">
        <v>55</v>
      </c>
      <c r="E112">
        <v>3033</v>
      </c>
      <c r="F112" t="s">
        <v>491</v>
      </c>
      <c r="G112" t="s">
        <v>492</v>
      </c>
      <c r="H112" t="s">
        <v>493</v>
      </c>
      <c r="I112" t="s">
        <v>58</v>
      </c>
      <c r="J112" t="s">
        <v>59</v>
      </c>
      <c r="K112" t="s">
        <v>21</v>
      </c>
      <c r="L112">
        <v>45702</v>
      </c>
      <c r="M112" t="s">
        <v>86</v>
      </c>
    </row>
    <row r="113" spans="1:13" x14ac:dyDescent="0.3">
      <c r="A113" t="s">
        <v>494</v>
      </c>
      <c r="B113" t="s">
        <v>46</v>
      </c>
      <c r="C113" t="s">
        <v>22</v>
      </c>
      <c r="D113" t="s">
        <v>47</v>
      </c>
      <c r="E113">
        <v>3032</v>
      </c>
      <c r="F113" t="s">
        <v>495</v>
      </c>
      <c r="G113" t="s">
        <v>496</v>
      </c>
      <c r="H113" t="s">
        <v>497</v>
      </c>
      <c r="I113" t="s">
        <v>51</v>
      </c>
      <c r="J113" t="s">
        <v>52</v>
      </c>
      <c r="K113" t="s">
        <v>21</v>
      </c>
      <c r="L113">
        <v>45684</v>
      </c>
      <c r="M113" t="s">
        <v>476</v>
      </c>
    </row>
    <row r="114" spans="1:13" x14ac:dyDescent="0.3">
      <c r="A114" t="s">
        <v>498</v>
      </c>
      <c r="B114" t="s">
        <v>37</v>
      </c>
      <c r="C114" t="s">
        <v>26</v>
      </c>
      <c r="D114" t="s">
        <v>191</v>
      </c>
      <c r="E114">
        <v>3040</v>
      </c>
      <c r="F114" t="s">
        <v>499</v>
      </c>
      <c r="G114" t="s">
        <v>500</v>
      </c>
      <c r="H114" t="s">
        <v>501</v>
      </c>
      <c r="I114" t="s">
        <v>194</v>
      </c>
      <c r="J114" t="s">
        <v>13</v>
      </c>
      <c r="L114">
        <v>45668</v>
      </c>
      <c r="M114" t="s">
        <v>160</v>
      </c>
    </row>
    <row r="115" spans="1:13" x14ac:dyDescent="0.3">
      <c r="A115" t="s">
        <v>502</v>
      </c>
      <c r="B115" t="s">
        <v>37</v>
      </c>
      <c r="C115" t="s">
        <v>26</v>
      </c>
      <c r="D115" t="s">
        <v>104</v>
      </c>
      <c r="E115">
        <v>3037</v>
      </c>
      <c r="F115" t="s">
        <v>503</v>
      </c>
      <c r="G115" t="s">
        <v>504</v>
      </c>
      <c r="H115" t="s">
        <v>505</v>
      </c>
      <c r="I115" t="s">
        <v>12</v>
      </c>
      <c r="J115" t="s">
        <v>13</v>
      </c>
      <c r="K115" t="s">
        <v>21</v>
      </c>
      <c r="L115">
        <v>45687</v>
      </c>
      <c r="M115" t="s">
        <v>287</v>
      </c>
    </row>
    <row r="116" spans="1:13" x14ac:dyDescent="0.3">
      <c r="A116" t="s">
        <v>506</v>
      </c>
      <c r="B116" t="s">
        <v>46</v>
      </c>
      <c r="C116" t="s">
        <v>25</v>
      </c>
      <c r="D116" t="s">
        <v>118</v>
      </c>
      <c r="E116">
        <v>3038</v>
      </c>
      <c r="F116" t="s">
        <v>507</v>
      </c>
      <c r="G116" t="s">
        <v>508</v>
      </c>
      <c r="H116" t="s">
        <v>508</v>
      </c>
      <c r="I116" t="s">
        <v>122</v>
      </c>
      <c r="J116" t="s">
        <v>123</v>
      </c>
      <c r="L116">
        <v>45694</v>
      </c>
      <c r="M116" t="s">
        <v>95</v>
      </c>
    </row>
    <row r="117" spans="1:13" x14ac:dyDescent="0.3">
      <c r="A117" t="s">
        <v>509</v>
      </c>
      <c r="B117" t="s">
        <v>37</v>
      </c>
      <c r="C117" t="s">
        <v>26</v>
      </c>
      <c r="D117" t="s">
        <v>104</v>
      </c>
      <c r="E117">
        <v>3037</v>
      </c>
      <c r="F117" t="s">
        <v>510</v>
      </c>
      <c r="G117" t="s">
        <v>511</v>
      </c>
      <c r="H117" t="s">
        <v>512</v>
      </c>
      <c r="I117" t="s">
        <v>12</v>
      </c>
      <c r="J117" t="s">
        <v>13</v>
      </c>
      <c r="K117" t="s">
        <v>21</v>
      </c>
      <c r="L117">
        <v>45665</v>
      </c>
      <c r="M117" t="s">
        <v>76</v>
      </c>
    </row>
    <row r="118" spans="1:13" x14ac:dyDescent="0.3">
      <c r="A118" t="s">
        <v>513</v>
      </c>
      <c r="B118" t="s">
        <v>37</v>
      </c>
      <c r="C118" t="s">
        <v>26</v>
      </c>
      <c r="D118" t="s">
        <v>207</v>
      </c>
      <c r="E118">
        <v>3041</v>
      </c>
      <c r="F118" t="s">
        <v>514</v>
      </c>
      <c r="G118" t="s">
        <v>515</v>
      </c>
      <c r="H118" t="s">
        <v>515</v>
      </c>
      <c r="I118" t="s">
        <v>211</v>
      </c>
      <c r="J118" t="s">
        <v>14</v>
      </c>
      <c r="K118" t="s">
        <v>21</v>
      </c>
      <c r="L118">
        <v>45738</v>
      </c>
      <c r="M118" t="s">
        <v>363</v>
      </c>
    </row>
    <row r="119" spans="1:13" x14ac:dyDescent="0.3">
      <c r="A119" t="s">
        <v>516</v>
      </c>
      <c r="B119" t="s">
        <v>37</v>
      </c>
      <c r="C119" t="s">
        <v>25</v>
      </c>
      <c r="D119" t="s">
        <v>97</v>
      </c>
      <c r="E119">
        <v>3036</v>
      </c>
      <c r="F119" t="s">
        <v>517</v>
      </c>
      <c r="G119" t="s">
        <v>518</v>
      </c>
      <c r="H119" t="s">
        <v>518</v>
      </c>
      <c r="I119" t="s">
        <v>100</v>
      </c>
      <c r="J119" t="s">
        <v>101</v>
      </c>
      <c r="L119">
        <v>45730</v>
      </c>
      <c r="M119" t="s">
        <v>292</v>
      </c>
    </row>
    <row r="120" spans="1:13" x14ac:dyDescent="0.3">
      <c r="A120" t="s">
        <v>519</v>
      </c>
      <c r="B120" t="s">
        <v>46</v>
      </c>
      <c r="C120" t="s">
        <v>24</v>
      </c>
      <c r="D120" t="s">
        <v>136</v>
      </c>
      <c r="E120">
        <v>3039</v>
      </c>
      <c r="F120" t="s">
        <v>520</v>
      </c>
      <c r="G120" t="s">
        <v>521</v>
      </c>
      <c r="H120" t="s">
        <v>521</v>
      </c>
      <c r="I120" t="s">
        <v>15</v>
      </c>
      <c r="J120" t="s">
        <v>14</v>
      </c>
      <c r="L120">
        <v>45680</v>
      </c>
      <c r="M120" t="s">
        <v>95</v>
      </c>
    </row>
    <row r="121" spans="1:13" x14ac:dyDescent="0.3">
      <c r="A121" t="s">
        <v>522</v>
      </c>
      <c r="B121" t="s">
        <v>46</v>
      </c>
      <c r="C121" t="s">
        <v>25</v>
      </c>
      <c r="D121" t="s">
        <v>38</v>
      </c>
      <c r="E121">
        <v>3031</v>
      </c>
      <c r="F121" t="s">
        <v>523</v>
      </c>
      <c r="G121" t="s">
        <v>524</v>
      </c>
      <c r="H121" t="s">
        <v>524</v>
      </c>
      <c r="I121" t="s">
        <v>42</v>
      </c>
      <c r="J121" t="s">
        <v>43</v>
      </c>
      <c r="L121">
        <v>45703</v>
      </c>
      <c r="M121" t="s">
        <v>420</v>
      </c>
    </row>
    <row r="122" spans="1:13" x14ac:dyDescent="0.3">
      <c r="A122" t="s">
        <v>525</v>
      </c>
      <c r="B122" t="s">
        <v>37</v>
      </c>
      <c r="C122" t="s">
        <v>26</v>
      </c>
      <c r="D122" t="s">
        <v>191</v>
      </c>
      <c r="E122">
        <v>3040</v>
      </c>
      <c r="F122" t="s">
        <v>526</v>
      </c>
      <c r="G122" t="s">
        <v>527</v>
      </c>
      <c r="H122" t="s">
        <v>528</v>
      </c>
      <c r="I122" t="s">
        <v>194</v>
      </c>
      <c r="J122" t="s">
        <v>13</v>
      </c>
      <c r="K122" t="s">
        <v>21</v>
      </c>
      <c r="L122">
        <v>45735</v>
      </c>
      <c r="M122" t="s">
        <v>300</v>
      </c>
    </row>
    <row r="123" spans="1:13" x14ac:dyDescent="0.3">
      <c r="A123" t="s">
        <v>529</v>
      </c>
      <c r="B123" t="s">
        <v>46</v>
      </c>
      <c r="C123" t="s">
        <v>22</v>
      </c>
      <c r="D123" t="s">
        <v>55</v>
      </c>
      <c r="E123">
        <v>3033</v>
      </c>
      <c r="F123" t="s">
        <v>530</v>
      </c>
      <c r="G123" t="s">
        <v>531</v>
      </c>
      <c r="H123" t="s">
        <v>531</v>
      </c>
      <c r="I123" t="s">
        <v>58</v>
      </c>
      <c r="J123" t="s">
        <v>59</v>
      </c>
      <c r="L123">
        <v>45738</v>
      </c>
      <c r="M123" t="s">
        <v>90</v>
      </c>
    </row>
    <row r="124" spans="1:13" x14ac:dyDescent="0.3">
      <c r="A124" t="s">
        <v>532</v>
      </c>
      <c r="B124" t="s">
        <v>46</v>
      </c>
      <c r="C124" t="s">
        <v>24</v>
      </c>
      <c r="D124" t="s">
        <v>104</v>
      </c>
      <c r="E124">
        <v>3037</v>
      </c>
      <c r="F124" t="s">
        <v>533</v>
      </c>
      <c r="G124" t="s">
        <v>534</v>
      </c>
      <c r="H124" t="s">
        <v>534</v>
      </c>
      <c r="I124" t="s">
        <v>12</v>
      </c>
      <c r="J124" t="s">
        <v>13</v>
      </c>
      <c r="L124">
        <v>45689</v>
      </c>
      <c r="M124" t="s">
        <v>189</v>
      </c>
    </row>
    <row r="125" spans="1:13" x14ac:dyDescent="0.3">
      <c r="A125" t="s">
        <v>535</v>
      </c>
      <c r="B125" t="s">
        <v>46</v>
      </c>
      <c r="C125" t="s">
        <v>26</v>
      </c>
      <c r="D125" t="s">
        <v>97</v>
      </c>
      <c r="E125">
        <v>3036</v>
      </c>
      <c r="F125" t="s">
        <v>536</v>
      </c>
      <c r="G125" t="s">
        <v>537</v>
      </c>
      <c r="H125" t="s">
        <v>538</v>
      </c>
      <c r="I125" t="s">
        <v>100</v>
      </c>
      <c r="J125" t="s">
        <v>101</v>
      </c>
      <c r="L125">
        <v>45726</v>
      </c>
      <c r="M125" t="s">
        <v>292</v>
      </c>
    </row>
    <row r="126" spans="1:13" x14ac:dyDescent="0.3">
      <c r="A126" t="s">
        <v>539</v>
      </c>
      <c r="B126" t="s">
        <v>37</v>
      </c>
      <c r="C126" t="s">
        <v>24</v>
      </c>
      <c r="D126" t="s">
        <v>47</v>
      </c>
      <c r="E126">
        <v>3032</v>
      </c>
      <c r="F126" t="s">
        <v>540</v>
      </c>
      <c r="G126" t="s">
        <v>541</v>
      </c>
      <c r="H126" t="s">
        <v>541</v>
      </c>
      <c r="I126" t="s">
        <v>51</v>
      </c>
      <c r="J126" t="s">
        <v>52</v>
      </c>
      <c r="L126">
        <v>45734</v>
      </c>
      <c r="M126" t="s">
        <v>542</v>
      </c>
    </row>
    <row r="127" spans="1:13" x14ac:dyDescent="0.3">
      <c r="A127" t="s">
        <v>543</v>
      </c>
      <c r="B127" t="s">
        <v>46</v>
      </c>
      <c r="C127" t="s">
        <v>24</v>
      </c>
      <c r="D127" t="s">
        <v>444</v>
      </c>
      <c r="E127">
        <v>3042</v>
      </c>
      <c r="F127" t="s">
        <v>544</v>
      </c>
      <c r="G127" t="s">
        <v>545</v>
      </c>
      <c r="H127" t="s">
        <v>545</v>
      </c>
      <c r="I127" t="s">
        <v>448</v>
      </c>
      <c r="J127" t="s">
        <v>449</v>
      </c>
      <c r="L127">
        <v>45690</v>
      </c>
      <c r="M127" t="s">
        <v>450</v>
      </c>
    </row>
    <row r="128" spans="1:13" x14ac:dyDescent="0.3">
      <c r="A128" t="s">
        <v>546</v>
      </c>
      <c r="B128" t="s">
        <v>46</v>
      </c>
      <c r="C128" t="s">
        <v>26</v>
      </c>
      <c r="D128" t="s">
        <v>118</v>
      </c>
      <c r="E128">
        <v>3038</v>
      </c>
      <c r="F128" t="s">
        <v>547</v>
      </c>
      <c r="G128" t="s">
        <v>548</v>
      </c>
      <c r="H128" t="s">
        <v>548</v>
      </c>
      <c r="I128" t="s">
        <v>122</v>
      </c>
      <c r="J128" t="s">
        <v>123</v>
      </c>
      <c r="K128" t="s">
        <v>21</v>
      </c>
      <c r="L128">
        <v>45720</v>
      </c>
      <c r="M128" t="s">
        <v>124</v>
      </c>
    </row>
    <row r="129" spans="1:13" x14ac:dyDescent="0.3">
      <c r="A129" t="s">
        <v>549</v>
      </c>
      <c r="B129" t="s">
        <v>46</v>
      </c>
      <c r="C129" t="s">
        <v>22</v>
      </c>
      <c r="D129" t="s">
        <v>444</v>
      </c>
      <c r="E129">
        <v>3042</v>
      </c>
      <c r="F129" t="s">
        <v>550</v>
      </c>
      <c r="G129" t="s">
        <v>551</v>
      </c>
      <c r="H129" t="s">
        <v>552</v>
      </c>
      <c r="I129" t="s">
        <v>448</v>
      </c>
      <c r="J129" t="s">
        <v>449</v>
      </c>
      <c r="L129">
        <v>45732</v>
      </c>
      <c r="M129" t="s">
        <v>481</v>
      </c>
    </row>
    <row r="130" spans="1:13" x14ac:dyDescent="0.3">
      <c r="A130" t="s">
        <v>553</v>
      </c>
      <c r="B130" t="s">
        <v>37</v>
      </c>
      <c r="C130" t="s">
        <v>26</v>
      </c>
      <c r="D130" t="s">
        <v>78</v>
      </c>
      <c r="E130">
        <v>3035</v>
      </c>
      <c r="F130" t="s">
        <v>554</v>
      </c>
      <c r="G130" t="s">
        <v>555</v>
      </c>
      <c r="H130" t="s">
        <v>556</v>
      </c>
      <c r="I130" t="s">
        <v>81</v>
      </c>
      <c r="J130" t="s">
        <v>82</v>
      </c>
      <c r="K130" t="s">
        <v>21</v>
      </c>
      <c r="L130">
        <v>45743</v>
      </c>
      <c r="M130" t="s">
        <v>489</v>
      </c>
    </row>
    <row r="131" spans="1:13" x14ac:dyDescent="0.3">
      <c r="A131" t="s">
        <v>557</v>
      </c>
      <c r="B131" t="s">
        <v>46</v>
      </c>
      <c r="C131" t="s">
        <v>24</v>
      </c>
      <c r="D131" t="s">
        <v>444</v>
      </c>
      <c r="E131">
        <v>3042</v>
      </c>
      <c r="F131" t="s">
        <v>558</v>
      </c>
      <c r="G131" t="s">
        <v>559</v>
      </c>
      <c r="H131" t="s">
        <v>559</v>
      </c>
      <c r="I131" t="s">
        <v>448</v>
      </c>
      <c r="J131" t="s">
        <v>449</v>
      </c>
      <c r="K131" t="s">
        <v>21</v>
      </c>
      <c r="L131">
        <v>45662</v>
      </c>
      <c r="M131" t="s">
        <v>481</v>
      </c>
    </row>
    <row r="132" spans="1:13" x14ac:dyDescent="0.3">
      <c r="A132" t="s">
        <v>560</v>
      </c>
      <c r="B132" t="s">
        <v>46</v>
      </c>
      <c r="C132" t="s">
        <v>25</v>
      </c>
      <c r="D132" t="s">
        <v>38</v>
      </c>
      <c r="E132">
        <v>3031</v>
      </c>
      <c r="F132" t="s">
        <v>561</v>
      </c>
      <c r="G132" t="s">
        <v>562</v>
      </c>
      <c r="H132" t="s">
        <v>562</v>
      </c>
      <c r="I132" t="s">
        <v>42</v>
      </c>
      <c r="J132" t="s">
        <v>43</v>
      </c>
      <c r="L132">
        <v>45693</v>
      </c>
      <c r="M132" t="s">
        <v>44</v>
      </c>
    </row>
    <row r="133" spans="1:13" x14ac:dyDescent="0.3">
      <c r="A133" t="s">
        <v>563</v>
      </c>
      <c r="B133" t="s">
        <v>46</v>
      </c>
      <c r="C133" t="s">
        <v>24</v>
      </c>
      <c r="D133" t="s">
        <v>136</v>
      </c>
      <c r="E133">
        <v>3039</v>
      </c>
      <c r="F133" t="s">
        <v>564</v>
      </c>
      <c r="G133" t="s">
        <v>565</v>
      </c>
      <c r="H133" t="s">
        <v>565</v>
      </c>
      <c r="I133" t="s">
        <v>15</v>
      </c>
      <c r="J133" t="s">
        <v>14</v>
      </c>
      <c r="L133">
        <v>45742</v>
      </c>
      <c r="M133" t="s">
        <v>95</v>
      </c>
    </row>
    <row r="134" spans="1:13" x14ac:dyDescent="0.3">
      <c r="A134" t="s">
        <v>566</v>
      </c>
      <c r="B134" t="s">
        <v>37</v>
      </c>
      <c r="C134" t="s">
        <v>22</v>
      </c>
      <c r="D134" t="s">
        <v>136</v>
      </c>
      <c r="E134">
        <v>3039</v>
      </c>
      <c r="F134" t="s">
        <v>567</v>
      </c>
      <c r="G134" t="s">
        <v>568</v>
      </c>
      <c r="H134" t="s">
        <v>568</v>
      </c>
      <c r="I134" t="s">
        <v>15</v>
      </c>
      <c r="J134" t="s">
        <v>14</v>
      </c>
      <c r="L134">
        <v>45684</v>
      </c>
      <c r="M134" t="s">
        <v>382</v>
      </c>
    </row>
    <row r="135" spans="1:13" x14ac:dyDescent="0.3">
      <c r="A135" t="s">
        <v>569</v>
      </c>
      <c r="B135" t="s">
        <v>37</v>
      </c>
      <c r="C135" t="s">
        <v>24</v>
      </c>
      <c r="D135" t="s">
        <v>191</v>
      </c>
      <c r="E135">
        <v>3040</v>
      </c>
      <c r="F135" t="s">
        <v>570</v>
      </c>
      <c r="G135" t="s">
        <v>571</v>
      </c>
      <c r="H135" t="s">
        <v>572</v>
      </c>
      <c r="I135" t="s">
        <v>194</v>
      </c>
      <c r="J135" t="s">
        <v>13</v>
      </c>
      <c r="L135">
        <v>45696</v>
      </c>
      <c r="M135" t="s">
        <v>224</v>
      </c>
    </row>
    <row r="136" spans="1:13" x14ac:dyDescent="0.3">
      <c r="A136" t="s">
        <v>573</v>
      </c>
      <c r="B136" t="s">
        <v>46</v>
      </c>
      <c r="C136" t="s">
        <v>25</v>
      </c>
      <c r="D136" t="s">
        <v>207</v>
      </c>
      <c r="E136">
        <v>3041</v>
      </c>
      <c r="F136" t="s">
        <v>574</v>
      </c>
      <c r="G136" t="s">
        <v>575</v>
      </c>
      <c r="H136" t="s">
        <v>576</v>
      </c>
      <c r="I136" t="s">
        <v>211</v>
      </c>
      <c r="J136" t="s">
        <v>14</v>
      </c>
      <c r="L136">
        <v>45734</v>
      </c>
      <c r="M136" t="s">
        <v>577</v>
      </c>
    </row>
    <row r="137" spans="1:13" x14ac:dyDescent="0.3">
      <c r="A137" t="s">
        <v>578</v>
      </c>
      <c r="B137" t="s">
        <v>37</v>
      </c>
      <c r="C137" t="s">
        <v>24</v>
      </c>
      <c r="D137" t="s">
        <v>118</v>
      </c>
      <c r="E137">
        <v>3038</v>
      </c>
      <c r="F137" t="s">
        <v>579</v>
      </c>
      <c r="G137" t="s">
        <v>580</v>
      </c>
      <c r="H137" t="s">
        <v>580</v>
      </c>
      <c r="I137" t="s">
        <v>122</v>
      </c>
      <c r="J137" t="s">
        <v>123</v>
      </c>
      <c r="K137" t="s">
        <v>21</v>
      </c>
      <c r="L137">
        <v>45745</v>
      </c>
      <c r="M137" t="s">
        <v>581</v>
      </c>
    </row>
    <row r="138" spans="1:13" x14ac:dyDescent="0.3">
      <c r="A138" t="s">
        <v>582</v>
      </c>
      <c r="B138" t="s">
        <v>37</v>
      </c>
      <c r="C138" t="s">
        <v>22</v>
      </c>
      <c r="D138" t="s">
        <v>444</v>
      </c>
      <c r="E138">
        <v>3042</v>
      </c>
      <c r="F138" t="s">
        <v>583</v>
      </c>
      <c r="G138" t="s">
        <v>584</v>
      </c>
      <c r="H138" t="s">
        <v>585</v>
      </c>
      <c r="I138" t="s">
        <v>448</v>
      </c>
      <c r="J138" t="s">
        <v>449</v>
      </c>
      <c r="K138" t="s">
        <v>21</v>
      </c>
      <c r="L138">
        <v>45681</v>
      </c>
      <c r="M138" t="s">
        <v>107</v>
      </c>
    </row>
    <row r="139" spans="1:13" x14ac:dyDescent="0.3">
      <c r="A139" t="s">
        <v>586</v>
      </c>
      <c r="B139" t="s">
        <v>46</v>
      </c>
      <c r="C139" t="s">
        <v>24</v>
      </c>
      <c r="D139" t="s">
        <v>136</v>
      </c>
      <c r="E139">
        <v>3039</v>
      </c>
      <c r="F139" t="s">
        <v>587</v>
      </c>
      <c r="G139" t="s">
        <v>588</v>
      </c>
      <c r="H139" t="s">
        <v>588</v>
      </c>
      <c r="I139" t="s">
        <v>15</v>
      </c>
      <c r="J139" t="s">
        <v>14</v>
      </c>
      <c r="L139">
        <v>45686</v>
      </c>
      <c r="M139" t="s">
        <v>577</v>
      </c>
    </row>
    <row r="140" spans="1:13" x14ac:dyDescent="0.3">
      <c r="A140" t="s">
        <v>589</v>
      </c>
      <c r="B140" t="s">
        <v>46</v>
      </c>
      <c r="C140" t="s">
        <v>26</v>
      </c>
      <c r="D140" t="s">
        <v>97</v>
      </c>
      <c r="E140">
        <v>3036</v>
      </c>
      <c r="F140" t="s">
        <v>590</v>
      </c>
      <c r="G140" t="s">
        <v>591</v>
      </c>
      <c r="H140" t="s">
        <v>592</v>
      </c>
      <c r="I140" t="s">
        <v>100</v>
      </c>
      <c r="J140" t="s">
        <v>101</v>
      </c>
      <c r="L140">
        <v>45695</v>
      </c>
      <c r="M140" t="s">
        <v>292</v>
      </c>
    </row>
    <row r="141" spans="1:13" x14ac:dyDescent="0.3">
      <c r="A141" t="s">
        <v>593</v>
      </c>
      <c r="B141" t="s">
        <v>37</v>
      </c>
      <c r="C141" t="s">
        <v>26</v>
      </c>
      <c r="D141" t="s">
        <v>97</v>
      </c>
      <c r="E141">
        <v>3036</v>
      </c>
      <c r="F141" t="s">
        <v>594</v>
      </c>
      <c r="G141" t="s">
        <v>595</v>
      </c>
      <c r="H141" t="s">
        <v>595</v>
      </c>
      <c r="I141" t="s">
        <v>100</v>
      </c>
      <c r="J141" t="s">
        <v>101</v>
      </c>
      <c r="K141" t="s">
        <v>21</v>
      </c>
      <c r="L141">
        <v>45732</v>
      </c>
      <c r="M141" t="s">
        <v>165</v>
      </c>
    </row>
    <row r="142" spans="1:13" x14ac:dyDescent="0.3">
      <c r="A142" t="s">
        <v>596</v>
      </c>
      <c r="B142" t="s">
        <v>37</v>
      </c>
      <c r="C142" t="s">
        <v>22</v>
      </c>
      <c r="D142" t="s">
        <v>104</v>
      </c>
      <c r="E142">
        <v>3037</v>
      </c>
      <c r="F142" t="s">
        <v>597</v>
      </c>
      <c r="G142" t="s">
        <v>598</v>
      </c>
      <c r="H142" t="s">
        <v>599</v>
      </c>
      <c r="I142" t="s">
        <v>12</v>
      </c>
      <c r="J142" t="s">
        <v>13</v>
      </c>
      <c r="K142" t="s">
        <v>21</v>
      </c>
      <c r="L142">
        <v>45719</v>
      </c>
      <c r="M142" t="s">
        <v>76</v>
      </c>
    </row>
    <row r="143" spans="1:13" x14ac:dyDescent="0.3">
      <c r="A143" t="s">
        <v>600</v>
      </c>
      <c r="B143" t="s">
        <v>37</v>
      </c>
      <c r="C143" t="s">
        <v>26</v>
      </c>
      <c r="D143" t="s">
        <v>191</v>
      </c>
      <c r="E143">
        <v>3040</v>
      </c>
      <c r="F143" t="s">
        <v>601</v>
      </c>
      <c r="G143" t="s">
        <v>602</v>
      </c>
      <c r="H143" t="s">
        <v>603</v>
      </c>
      <c r="I143" t="s">
        <v>194</v>
      </c>
      <c r="J143" t="s">
        <v>13</v>
      </c>
      <c r="K143" t="s">
        <v>21</v>
      </c>
      <c r="L143">
        <v>45708</v>
      </c>
      <c r="M143" t="s">
        <v>195</v>
      </c>
    </row>
    <row r="144" spans="1:13" x14ac:dyDescent="0.3">
      <c r="A144" t="s">
        <v>604</v>
      </c>
      <c r="B144" t="s">
        <v>46</v>
      </c>
      <c r="C144" t="s">
        <v>26</v>
      </c>
      <c r="D144" t="s">
        <v>191</v>
      </c>
      <c r="E144">
        <v>3040</v>
      </c>
      <c r="F144" t="s">
        <v>605</v>
      </c>
      <c r="G144" t="s">
        <v>606</v>
      </c>
      <c r="H144" t="s">
        <v>606</v>
      </c>
      <c r="I144" t="s">
        <v>194</v>
      </c>
      <c r="J144" t="s">
        <v>13</v>
      </c>
      <c r="K144" t="s">
        <v>21</v>
      </c>
      <c r="L144">
        <v>45735</v>
      </c>
      <c r="M144" t="s">
        <v>160</v>
      </c>
    </row>
    <row r="145" spans="1:13" x14ac:dyDescent="0.3">
      <c r="A145" t="s">
        <v>607</v>
      </c>
      <c r="B145" t="s">
        <v>37</v>
      </c>
      <c r="C145" t="s">
        <v>22</v>
      </c>
      <c r="D145" t="s">
        <v>444</v>
      </c>
      <c r="E145">
        <v>3042</v>
      </c>
      <c r="F145" t="s">
        <v>608</v>
      </c>
      <c r="G145" t="s">
        <v>609</v>
      </c>
      <c r="H145" t="s">
        <v>609</v>
      </c>
      <c r="I145" t="s">
        <v>448</v>
      </c>
      <c r="J145" t="s">
        <v>449</v>
      </c>
      <c r="L145">
        <v>45735</v>
      </c>
      <c r="M145" t="s">
        <v>224</v>
      </c>
    </row>
    <row r="146" spans="1:13" x14ac:dyDescent="0.3">
      <c r="A146" t="s">
        <v>610</v>
      </c>
      <c r="B146" t="s">
        <v>37</v>
      </c>
      <c r="C146" t="s">
        <v>22</v>
      </c>
      <c r="D146" t="s">
        <v>444</v>
      </c>
      <c r="E146">
        <v>3042</v>
      </c>
      <c r="F146" t="s">
        <v>611</v>
      </c>
      <c r="G146" t="s">
        <v>612</v>
      </c>
      <c r="H146" t="s">
        <v>612</v>
      </c>
      <c r="I146" t="s">
        <v>448</v>
      </c>
      <c r="J146" t="s">
        <v>449</v>
      </c>
      <c r="K146" t="s">
        <v>21</v>
      </c>
      <c r="L146">
        <v>45722</v>
      </c>
      <c r="M146" t="s">
        <v>107</v>
      </c>
    </row>
    <row r="147" spans="1:13" x14ac:dyDescent="0.3">
      <c r="A147" t="s">
        <v>613</v>
      </c>
      <c r="B147" t="s">
        <v>37</v>
      </c>
      <c r="C147" t="s">
        <v>25</v>
      </c>
      <c r="D147" t="s">
        <v>444</v>
      </c>
      <c r="E147">
        <v>3042</v>
      </c>
      <c r="F147" t="s">
        <v>614</v>
      </c>
      <c r="G147" t="s">
        <v>615</v>
      </c>
      <c r="H147" t="s">
        <v>616</v>
      </c>
      <c r="I147" t="s">
        <v>448</v>
      </c>
      <c r="J147" t="s">
        <v>449</v>
      </c>
      <c r="L147">
        <v>45717</v>
      </c>
      <c r="M147" t="s">
        <v>224</v>
      </c>
    </row>
    <row r="148" spans="1:13" x14ac:dyDescent="0.3">
      <c r="A148" t="s">
        <v>617</v>
      </c>
      <c r="B148" t="s">
        <v>46</v>
      </c>
      <c r="C148" t="s">
        <v>24</v>
      </c>
      <c r="D148" t="s">
        <v>38</v>
      </c>
      <c r="E148">
        <v>3031</v>
      </c>
      <c r="F148" t="s">
        <v>618</v>
      </c>
      <c r="G148" t="s">
        <v>619</v>
      </c>
      <c r="H148" t="s">
        <v>620</v>
      </c>
      <c r="I148" t="s">
        <v>42</v>
      </c>
      <c r="J148" t="s">
        <v>43</v>
      </c>
      <c r="K148" t="s">
        <v>21</v>
      </c>
      <c r="L148">
        <v>45661</v>
      </c>
      <c r="M148" t="s">
        <v>44</v>
      </c>
    </row>
    <row r="149" spans="1:13" x14ac:dyDescent="0.3">
      <c r="A149" t="s">
        <v>621</v>
      </c>
      <c r="B149" t="s">
        <v>46</v>
      </c>
      <c r="C149" t="s">
        <v>26</v>
      </c>
      <c r="D149" t="s">
        <v>38</v>
      </c>
      <c r="E149">
        <v>3031</v>
      </c>
      <c r="F149" t="s">
        <v>622</v>
      </c>
      <c r="G149" t="s">
        <v>623</v>
      </c>
      <c r="H149" t="s">
        <v>623</v>
      </c>
      <c r="I149" t="s">
        <v>42</v>
      </c>
      <c r="J149" t="s">
        <v>43</v>
      </c>
      <c r="K149" t="s">
        <v>21</v>
      </c>
      <c r="L149">
        <v>45694</v>
      </c>
      <c r="M149" t="s">
        <v>102</v>
      </c>
    </row>
    <row r="150" spans="1:13" x14ac:dyDescent="0.3">
      <c r="A150" t="s">
        <v>624</v>
      </c>
      <c r="B150" t="s">
        <v>46</v>
      </c>
      <c r="C150" t="s">
        <v>24</v>
      </c>
      <c r="D150" t="s">
        <v>78</v>
      </c>
      <c r="E150">
        <v>3035</v>
      </c>
      <c r="F150" t="s">
        <v>625</v>
      </c>
      <c r="G150" t="s">
        <v>626</v>
      </c>
      <c r="H150" t="s">
        <v>626</v>
      </c>
      <c r="I150" t="s">
        <v>81</v>
      </c>
      <c r="J150" t="s">
        <v>82</v>
      </c>
      <c r="K150" t="s">
        <v>21</v>
      </c>
      <c r="L150">
        <v>45729</v>
      </c>
      <c r="M150" t="s">
        <v>287</v>
      </c>
    </row>
    <row r="151" spans="1:13" x14ac:dyDescent="0.3">
      <c r="A151" t="s">
        <v>627</v>
      </c>
      <c r="B151" t="s">
        <v>46</v>
      </c>
      <c r="C151" t="s">
        <v>22</v>
      </c>
      <c r="D151" t="s">
        <v>55</v>
      </c>
      <c r="E151">
        <v>3033</v>
      </c>
      <c r="F151" t="s">
        <v>628</v>
      </c>
      <c r="G151" t="s">
        <v>629</v>
      </c>
      <c r="H151" t="s">
        <v>629</v>
      </c>
      <c r="I151" t="s">
        <v>58</v>
      </c>
      <c r="J151" t="s">
        <v>59</v>
      </c>
      <c r="K151" t="s">
        <v>21</v>
      </c>
      <c r="L151">
        <v>45725</v>
      </c>
      <c r="M151" t="s">
        <v>69</v>
      </c>
    </row>
    <row r="152" spans="1:13" x14ac:dyDescent="0.3">
      <c r="A152" t="s">
        <v>630</v>
      </c>
      <c r="B152" t="s">
        <v>37</v>
      </c>
      <c r="C152" t="s">
        <v>26</v>
      </c>
      <c r="D152" t="s">
        <v>38</v>
      </c>
      <c r="E152">
        <v>3031</v>
      </c>
      <c r="F152" t="s">
        <v>631</v>
      </c>
      <c r="G152" t="s">
        <v>632</v>
      </c>
      <c r="H152" t="s">
        <v>632</v>
      </c>
      <c r="I152" t="s">
        <v>42</v>
      </c>
      <c r="J152" t="s">
        <v>43</v>
      </c>
      <c r="K152" t="s">
        <v>21</v>
      </c>
      <c r="L152">
        <v>45722</v>
      </c>
      <c r="M152" t="s">
        <v>65</v>
      </c>
    </row>
    <row r="153" spans="1:13" x14ac:dyDescent="0.3">
      <c r="A153" t="s">
        <v>633</v>
      </c>
      <c r="B153" t="s">
        <v>46</v>
      </c>
      <c r="C153" t="s">
        <v>22</v>
      </c>
      <c r="D153" t="s">
        <v>97</v>
      </c>
      <c r="E153">
        <v>3036</v>
      </c>
      <c r="F153" t="s">
        <v>634</v>
      </c>
      <c r="G153" t="s">
        <v>635</v>
      </c>
      <c r="H153" t="s">
        <v>636</v>
      </c>
      <c r="I153" t="s">
        <v>100</v>
      </c>
      <c r="J153" t="s">
        <v>101</v>
      </c>
      <c r="K153" t="s">
        <v>21</v>
      </c>
      <c r="L153">
        <v>45669</v>
      </c>
      <c r="M153" t="s">
        <v>128</v>
      </c>
    </row>
    <row r="154" spans="1:13" x14ac:dyDescent="0.3">
      <c r="A154" t="s">
        <v>637</v>
      </c>
      <c r="B154" t="s">
        <v>37</v>
      </c>
      <c r="C154" t="s">
        <v>26</v>
      </c>
      <c r="D154" t="s">
        <v>47</v>
      </c>
      <c r="E154">
        <v>3032</v>
      </c>
      <c r="F154" t="s">
        <v>638</v>
      </c>
      <c r="G154" t="s">
        <v>639</v>
      </c>
      <c r="H154" t="s">
        <v>640</v>
      </c>
      <c r="I154" t="s">
        <v>51</v>
      </c>
      <c r="J154" t="s">
        <v>52</v>
      </c>
      <c r="L154">
        <v>45717</v>
      </c>
      <c r="M154" t="s">
        <v>177</v>
      </c>
    </row>
    <row r="155" spans="1:13" x14ac:dyDescent="0.3">
      <c r="A155" t="s">
        <v>641</v>
      </c>
      <c r="B155" t="s">
        <v>37</v>
      </c>
      <c r="C155" t="s">
        <v>22</v>
      </c>
      <c r="D155" t="s">
        <v>71</v>
      </c>
      <c r="E155">
        <v>3034</v>
      </c>
      <c r="F155" t="s">
        <v>642</v>
      </c>
      <c r="G155" t="s">
        <v>643</v>
      </c>
      <c r="H155" t="s">
        <v>644</v>
      </c>
      <c r="I155" t="s">
        <v>74</v>
      </c>
      <c r="J155" t="s">
        <v>75</v>
      </c>
      <c r="L155">
        <v>45720</v>
      </c>
      <c r="M155" t="s">
        <v>205</v>
      </c>
    </row>
    <row r="156" spans="1:13" x14ac:dyDescent="0.3">
      <c r="A156" t="s">
        <v>645</v>
      </c>
      <c r="B156" t="s">
        <v>37</v>
      </c>
      <c r="C156" t="s">
        <v>25</v>
      </c>
      <c r="D156" t="s">
        <v>207</v>
      </c>
      <c r="E156">
        <v>3041</v>
      </c>
      <c r="F156" t="s">
        <v>646</v>
      </c>
      <c r="G156" t="s">
        <v>647</v>
      </c>
      <c r="H156" t="s">
        <v>648</v>
      </c>
      <c r="I156" t="s">
        <v>211</v>
      </c>
      <c r="J156" t="s">
        <v>14</v>
      </c>
      <c r="K156" t="s">
        <v>21</v>
      </c>
      <c r="L156">
        <v>45706</v>
      </c>
      <c r="M156" t="s">
        <v>128</v>
      </c>
    </row>
    <row r="157" spans="1:13" x14ac:dyDescent="0.3">
      <c r="A157" t="s">
        <v>649</v>
      </c>
      <c r="B157" t="s">
        <v>37</v>
      </c>
      <c r="C157" t="s">
        <v>25</v>
      </c>
      <c r="D157" t="s">
        <v>444</v>
      </c>
      <c r="E157">
        <v>3042</v>
      </c>
      <c r="F157" t="s">
        <v>650</v>
      </c>
      <c r="G157" t="s">
        <v>651</v>
      </c>
      <c r="H157" t="s">
        <v>652</v>
      </c>
      <c r="I157" t="s">
        <v>448</v>
      </c>
      <c r="J157" t="s">
        <v>449</v>
      </c>
      <c r="K157" t="s">
        <v>21</v>
      </c>
      <c r="L157">
        <v>45740</v>
      </c>
      <c r="M157" t="s">
        <v>224</v>
      </c>
    </row>
    <row r="158" spans="1:13" x14ac:dyDescent="0.3">
      <c r="A158" t="s">
        <v>653</v>
      </c>
      <c r="B158" t="s">
        <v>37</v>
      </c>
      <c r="C158" t="s">
        <v>26</v>
      </c>
      <c r="D158" t="s">
        <v>47</v>
      </c>
      <c r="E158">
        <v>3032</v>
      </c>
      <c r="F158" t="s">
        <v>654</v>
      </c>
      <c r="G158" t="s">
        <v>655</v>
      </c>
      <c r="H158" t="s">
        <v>655</v>
      </c>
      <c r="I158" t="s">
        <v>51</v>
      </c>
      <c r="J158" t="s">
        <v>52</v>
      </c>
      <c r="K158" t="s">
        <v>21</v>
      </c>
      <c r="L158">
        <v>45715</v>
      </c>
      <c r="M158" t="s">
        <v>656</v>
      </c>
    </row>
    <row r="159" spans="1:13" x14ac:dyDescent="0.3">
      <c r="A159" t="s">
        <v>657</v>
      </c>
      <c r="B159" t="s">
        <v>37</v>
      </c>
      <c r="C159" t="s">
        <v>22</v>
      </c>
      <c r="D159" t="s">
        <v>104</v>
      </c>
      <c r="E159">
        <v>3037</v>
      </c>
      <c r="F159" t="s">
        <v>658</v>
      </c>
      <c r="G159" t="s">
        <v>659</v>
      </c>
      <c r="H159" t="s">
        <v>659</v>
      </c>
      <c r="I159" t="s">
        <v>12</v>
      </c>
      <c r="J159" t="s">
        <v>13</v>
      </c>
      <c r="L159">
        <v>45721</v>
      </c>
      <c r="M159" t="s">
        <v>287</v>
      </c>
    </row>
    <row r="160" spans="1:13" x14ac:dyDescent="0.3">
      <c r="A160" t="s">
        <v>660</v>
      </c>
      <c r="B160" t="s">
        <v>37</v>
      </c>
      <c r="C160" t="s">
        <v>24</v>
      </c>
      <c r="D160" t="s">
        <v>71</v>
      </c>
      <c r="E160">
        <v>3034</v>
      </c>
      <c r="F160" t="s">
        <v>661</v>
      </c>
      <c r="G160" t="s">
        <v>662</v>
      </c>
      <c r="H160" t="s">
        <v>663</v>
      </c>
      <c r="I160" t="s">
        <v>74</v>
      </c>
      <c r="J160" t="s">
        <v>75</v>
      </c>
      <c r="K160" t="s">
        <v>21</v>
      </c>
      <c r="L160">
        <v>45736</v>
      </c>
      <c r="M160" t="s">
        <v>205</v>
      </c>
    </row>
    <row r="161" spans="1:13" x14ac:dyDescent="0.3">
      <c r="A161" t="s">
        <v>664</v>
      </c>
      <c r="B161" t="s">
        <v>46</v>
      </c>
      <c r="C161" t="s">
        <v>22</v>
      </c>
      <c r="D161" t="s">
        <v>97</v>
      </c>
      <c r="E161">
        <v>3036</v>
      </c>
      <c r="F161" t="s">
        <v>665</v>
      </c>
      <c r="G161" t="s">
        <v>666</v>
      </c>
      <c r="H161" t="s">
        <v>667</v>
      </c>
      <c r="I161" t="s">
        <v>100</v>
      </c>
      <c r="J161" t="s">
        <v>101</v>
      </c>
      <c r="L161">
        <v>45691</v>
      </c>
      <c r="M161" t="s">
        <v>165</v>
      </c>
    </row>
    <row r="162" spans="1:13" x14ac:dyDescent="0.3">
      <c r="A162" t="s">
        <v>668</v>
      </c>
      <c r="B162" t="s">
        <v>46</v>
      </c>
      <c r="C162" t="s">
        <v>25</v>
      </c>
      <c r="D162" t="s">
        <v>207</v>
      </c>
      <c r="E162">
        <v>3041</v>
      </c>
      <c r="F162" t="s">
        <v>669</v>
      </c>
      <c r="G162" t="s">
        <v>670</v>
      </c>
      <c r="H162" t="s">
        <v>670</v>
      </c>
      <c r="I162" t="s">
        <v>211</v>
      </c>
      <c r="J162" t="s">
        <v>14</v>
      </c>
      <c r="L162">
        <v>45703</v>
      </c>
      <c r="M162" t="s">
        <v>577</v>
      </c>
    </row>
    <row r="163" spans="1:13" x14ac:dyDescent="0.3">
      <c r="A163" t="s">
        <v>671</v>
      </c>
      <c r="B163" t="s">
        <v>37</v>
      </c>
      <c r="C163" t="s">
        <v>25</v>
      </c>
      <c r="D163" t="s">
        <v>444</v>
      </c>
      <c r="E163">
        <v>3042</v>
      </c>
      <c r="F163" t="s">
        <v>672</v>
      </c>
      <c r="G163" t="s">
        <v>673</v>
      </c>
      <c r="H163" t="s">
        <v>673</v>
      </c>
      <c r="I163" t="s">
        <v>448</v>
      </c>
      <c r="J163" t="s">
        <v>449</v>
      </c>
      <c r="L163">
        <v>45736</v>
      </c>
      <c r="M163" t="s">
        <v>450</v>
      </c>
    </row>
    <row r="164" spans="1:13" x14ac:dyDescent="0.3">
      <c r="A164" t="s">
        <v>674</v>
      </c>
      <c r="B164" t="s">
        <v>46</v>
      </c>
      <c r="C164" t="s">
        <v>26</v>
      </c>
      <c r="D164" t="s">
        <v>97</v>
      </c>
      <c r="E164">
        <v>3036</v>
      </c>
      <c r="F164" t="s">
        <v>675</v>
      </c>
      <c r="G164" t="s">
        <v>676</v>
      </c>
      <c r="H164" t="s">
        <v>677</v>
      </c>
      <c r="I164" t="s">
        <v>100</v>
      </c>
      <c r="J164" t="s">
        <v>101</v>
      </c>
      <c r="K164" t="s">
        <v>21</v>
      </c>
      <c r="L164">
        <v>45707</v>
      </c>
      <c r="M164" t="s">
        <v>102</v>
      </c>
    </row>
    <row r="165" spans="1:13" x14ac:dyDescent="0.3">
      <c r="A165" t="s">
        <v>678</v>
      </c>
      <c r="B165" t="s">
        <v>37</v>
      </c>
      <c r="C165" t="s">
        <v>26</v>
      </c>
      <c r="D165" t="s">
        <v>47</v>
      </c>
      <c r="E165">
        <v>3032</v>
      </c>
      <c r="F165" t="s">
        <v>679</v>
      </c>
      <c r="G165" t="s">
        <v>680</v>
      </c>
      <c r="H165" t="s">
        <v>680</v>
      </c>
      <c r="I165" t="s">
        <v>51</v>
      </c>
      <c r="J165" t="s">
        <v>52</v>
      </c>
      <c r="L165">
        <v>45740</v>
      </c>
      <c r="M165" t="s">
        <v>656</v>
      </c>
    </row>
    <row r="166" spans="1:13" x14ac:dyDescent="0.3">
      <c r="A166" t="s">
        <v>681</v>
      </c>
      <c r="B166" t="s">
        <v>37</v>
      </c>
      <c r="C166" t="s">
        <v>24</v>
      </c>
      <c r="D166" t="s">
        <v>47</v>
      </c>
      <c r="E166">
        <v>3032</v>
      </c>
      <c r="F166" t="s">
        <v>682</v>
      </c>
      <c r="G166" t="s">
        <v>683</v>
      </c>
      <c r="H166" t="s">
        <v>684</v>
      </c>
      <c r="I166" t="s">
        <v>51</v>
      </c>
      <c r="J166" t="s">
        <v>52</v>
      </c>
      <c r="L166">
        <v>45693</v>
      </c>
      <c r="M166" t="s">
        <v>542</v>
      </c>
    </row>
    <row r="167" spans="1:13" x14ac:dyDescent="0.3">
      <c r="A167" t="s">
        <v>685</v>
      </c>
      <c r="B167" t="s">
        <v>46</v>
      </c>
      <c r="C167" t="s">
        <v>24</v>
      </c>
      <c r="D167" t="s">
        <v>444</v>
      </c>
      <c r="E167">
        <v>3042</v>
      </c>
      <c r="F167" t="s">
        <v>686</v>
      </c>
      <c r="G167" t="s">
        <v>687</v>
      </c>
      <c r="H167" t="s">
        <v>688</v>
      </c>
      <c r="I167" t="s">
        <v>448</v>
      </c>
      <c r="J167" t="s">
        <v>449</v>
      </c>
      <c r="K167" t="s">
        <v>21</v>
      </c>
      <c r="L167">
        <v>45696</v>
      </c>
      <c r="M167" t="s">
        <v>363</v>
      </c>
    </row>
    <row r="168" spans="1:13" x14ac:dyDescent="0.3">
      <c r="A168" t="s">
        <v>689</v>
      </c>
      <c r="B168" t="s">
        <v>46</v>
      </c>
      <c r="C168" t="s">
        <v>22</v>
      </c>
      <c r="D168" t="s">
        <v>38</v>
      </c>
      <c r="E168">
        <v>3031</v>
      </c>
      <c r="F168" t="s">
        <v>690</v>
      </c>
      <c r="G168" t="s">
        <v>691</v>
      </c>
      <c r="H168" t="s">
        <v>691</v>
      </c>
      <c r="I168" t="s">
        <v>42</v>
      </c>
      <c r="J168" t="s">
        <v>43</v>
      </c>
      <c r="L168">
        <v>45736</v>
      </c>
      <c r="M168" t="s">
        <v>65</v>
      </c>
    </row>
    <row r="169" spans="1:13" x14ac:dyDescent="0.3">
      <c r="A169" t="s">
        <v>692</v>
      </c>
      <c r="B169" t="s">
        <v>46</v>
      </c>
      <c r="C169" t="s">
        <v>25</v>
      </c>
      <c r="D169" t="s">
        <v>444</v>
      </c>
      <c r="E169">
        <v>3042</v>
      </c>
      <c r="F169" t="s">
        <v>693</v>
      </c>
      <c r="G169" t="s">
        <v>694</v>
      </c>
      <c r="H169" t="s">
        <v>695</v>
      </c>
      <c r="I169" t="s">
        <v>448</v>
      </c>
      <c r="J169" t="s">
        <v>449</v>
      </c>
      <c r="L169">
        <v>45715</v>
      </c>
      <c r="M169" t="s">
        <v>107</v>
      </c>
    </row>
    <row r="170" spans="1:13" x14ac:dyDescent="0.3">
      <c r="A170" t="s">
        <v>696</v>
      </c>
      <c r="B170" t="s">
        <v>37</v>
      </c>
      <c r="C170" t="s">
        <v>24</v>
      </c>
      <c r="D170" t="s">
        <v>71</v>
      </c>
      <c r="E170">
        <v>3034</v>
      </c>
      <c r="F170" t="s">
        <v>697</v>
      </c>
      <c r="G170" t="s">
        <v>698</v>
      </c>
      <c r="H170" t="s">
        <v>698</v>
      </c>
      <c r="I170" t="s">
        <v>74</v>
      </c>
      <c r="J170" t="s">
        <v>75</v>
      </c>
      <c r="K170" t="s">
        <v>21</v>
      </c>
      <c r="L170">
        <v>45735</v>
      </c>
      <c r="M170" t="s">
        <v>112</v>
      </c>
    </row>
    <row r="171" spans="1:13" x14ac:dyDescent="0.3">
      <c r="A171" t="s">
        <v>699</v>
      </c>
      <c r="B171" t="s">
        <v>46</v>
      </c>
      <c r="C171" t="s">
        <v>25</v>
      </c>
      <c r="D171" t="s">
        <v>78</v>
      </c>
      <c r="E171">
        <v>3035</v>
      </c>
      <c r="F171" t="s">
        <v>700</v>
      </c>
      <c r="G171" t="s">
        <v>701</v>
      </c>
      <c r="H171" t="s">
        <v>702</v>
      </c>
      <c r="I171" t="s">
        <v>81</v>
      </c>
      <c r="J171" t="s">
        <v>82</v>
      </c>
      <c r="K171" t="s">
        <v>21</v>
      </c>
      <c r="L171">
        <v>45714</v>
      </c>
      <c r="M171" t="s">
        <v>287</v>
      </c>
    </row>
    <row r="172" spans="1:13" x14ac:dyDescent="0.3">
      <c r="A172" t="s">
        <v>703</v>
      </c>
      <c r="B172" t="s">
        <v>37</v>
      </c>
      <c r="C172" t="s">
        <v>26</v>
      </c>
      <c r="D172" t="s">
        <v>118</v>
      </c>
      <c r="E172">
        <v>3038</v>
      </c>
      <c r="F172" t="s">
        <v>704</v>
      </c>
      <c r="G172" t="s">
        <v>705</v>
      </c>
      <c r="H172" t="s">
        <v>706</v>
      </c>
      <c r="I172" t="s">
        <v>122</v>
      </c>
      <c r="J172" t="s">
        <v>123</v>
      </c>
      <c r="L172">
        <v>45676</v>
      </c>
      <c r="M172" t="s">
        <v>389</v>
      </c>
    </row>
    <row r="173" spans="1:13" x14ac:dyDescent="0.3">
      <c r="A173" t="s">
        <v>707</v>
      </c>
      <c r="B173" t="s">
        <v>46</v>
      </c>
      <c r="C173" t="s">
        <v>24</v>
      </c>
      <c r="D173" t="s">
        <v>191</v>
      </c>
      <c r="E173">
        <v>3040</v>
      </c>
      <c r="F173" t="s">
        <v>708</v>
      </c>
      <c r="G173" t="s">
        <v>709</v>
      </c>
      <c r="H173" t="s">
        <v>710</v>
      </c>
      <c r="I173" t="s">
        <v>194</v>
      </c>
      <c r="J173" t="s">
        <v>13</v>
      </c>
      <c r="K173" t="s">
        <v>21</v>
      </c>
      <c r="L173">
        <v>45726</v>
      </c>
      <c r="M173" t="s">
        <v>195</v>
      </c>
    </row>
    <row r="174" spans="1:13" x14ac:dyDescent="0.3">
      <c r="A174" t="s">
        <v>711</v>
      </c>
      <c r="B174" t="s">
        <v>37</v>
      </c>
      <c r="C174" t="s">
        <v>26</v>
      </c>
      <c r="D174" t="s">
        <v>55</v>
      </c>
      <c r="E174">
        <v>3033</v>
      </c>
      <c r="F174" t="s">
        <v>712</v>
      </c>
      <c r="G174" t="s">
        <v>713</v>
      </c>
      <c r="H174" t="s">
        <v>713</v>
      </c>
      <c r="I174" t="s">
        <v>58</v>
      </c>
      <c r="J174" t="s">
        <v>59</v>
      </c>
      <c r="L174">
        <v>45711</v>
      </c>
      <c r="M174" t="s">
        <v>90</v>
      </c>
    </row>
    <row r="175" spans="1:13" x14ac:dyDescent="0.3">
      <c r="A175" t="s">
        <v>714</v>
      </c>
      <c r="B175" t="s">
        <v>37</v>
      </c>
      <c r="C175" t="s">
        <v>25</v>
      </c>
      <c r="D175" t="s">
        <v>191</v>
      </c>
      <c r="E175">
        <v>3040</v>
      </c>
      <c r="F175" t="s">
        <v>715</v>
      </c>
      <c r="G175" t="s">
        <v>716</v>
      </c>
      <c r="H175" t="s">
        <v>716</v>
      </c>
      <c r="I175" t="s">
        <v>194</v>
      </c>
      <c r="J175" t="s">
        <v>13</v>
      </c>
      <c r="L175">
        <v>45725</v>
      </c>
      <c r="M175" t="s">
        <v>717</v>
      </c>
    </row>
    <row r="176" spans="1:13" x14ac:dyDescent="0.3">
      <c r="A176" t="s">
        <v>718</v>
      </c>
      <c r="B176" t="s">
        <v>37</v>
      </c>
      <c r="C176" t="s">
        <v>26</v>
      </c>
      <c r="D176" t="s">
        <v>444</v>
      </c>
      <c r="E176">
        <v>3042</v>
      </c>
      <c r="F176" t="s">
        <v>719</v>
      </c>
      <c r="G176" t="s">
        <v>720</v>
      </c>
      <c r="H176" t="s">
        <v>721</v>
      </c>
      <c r="I176" t="s">
        <v>448</v>
      </c>
      <c r="J176" t="s">
        <v>449</v>
      </c>
      <c r="L176">
        <v>45733</v>
      </c>
      <c r="M176" t="s">
        <v>722</v>
      </c>
    </row>
    <row r="177" spans="1:13" x14ac:dyDescent="0.3">
      <c r="A177" t="s">
        <v>723</v>
      </c>
      <c r="B177" t="s">
        <v>46</v>
      </c>
      <c r="C177" t="s">
        <v>25</v>
      </c>
      <c r="D177" t="s">
        <v>38</v>
      </c>
      <c r="E177">
        <v>3031</v>
      </c>
      <c r="F177" t="s">
        <v>724</v>
      </c>
      <c r="G177" t="s">
        <v>725</v>
      </c>
      <c r="H177" t="s">
        <v>725</v>
      </c>
      <c r="I177" t="s">
        <v>42</v>
      </c>
      <c r="J177" t="s">
        <v>43</v>
      </c>
      <c r="K177" t="s">
        <v>21</v>
      </c>
      <c r="L177">
        <v>45738</v>
      </c>
      <c r="M177" t="s">
        <v>420</v>
      </c>
    </row>
    <row r="178" spans="1:13" x14ac:dyDescent="0.3">
      <c r="A178" t="s">
        <v>726</v>
      </c>
      <c r="B178" t="s">
        <v>37</v>
      </c>
      <c r="C178" t="s">
        <v>22</v>
      </c>
      <c r="D178" t="s">
        <v>191</v>
      </c>
      <c r="E178">
        <v>3040</v>
      </c>
      <c r="F178" t="s">
        <v>727</v>
      </c>
      <c r="G178" t="s">
        <v>728</v>
      </c>
      <c r="H178" t="s">
        <v>729</v>
      </c>
      <c r="I178" t="s">
        <v>194</v>
      </c>
      <c r="J178" t="s">
        <v>13</v>
      </c>
      <c r="L178">
        <v>45663</v>
      </c>
      <c r="M178" t="s">
        <v>160</v>
      </c>
    </row>
    <row r="179" spans="1:13" x14ac:dyDescent="0.3">
      <c r="A179" t="s">
        <v>730</v>
      </c>
      <c r="B179" t="s">
        <v>46</v>
      </c>
      <c r="C179" t="s">
        <v>25</v>
      </c>
      <c r="D179" t="s">
        <v>104</v>
      </c>
      <c r="E179">
        <v>3037</v>
      </c>
      <c r="F179" t="s">
        <v>731</v>
      </c>
      <c r="G179" t="s">
        <v>732</v>
      </c>
      <c r="H179" t="s">
        <v>732</v>
      </c>
      <c r="I179" t="s">
        <v>12</v>
      </c>
      <c r="J179" t="s">
        <v>13</v>
      </c>
      <c r="K179" t="s">
        <v>21</v>
      </c>
      <c r="L179">
        <v>45704</v>
      </c>
      <c r="M179" t="s">
        <v>189</v>
      </c>
    </row>
    <row r="180" spans="1:13" x14ac:dyDescent="0.3">
      <c r="A180" t="s">
        <v>733</v>
      </c>
      <c r="B180" t="s">
        <v>37</v>
      </c>
      <c r="C180" t="s">
        <v>22</v>
      </c>
      <c r="D180" t="s">
        <v>97</v>
      </c>
      <c r="E180">
        <v>3036</v>
      </c>
      <c r="F180" t="s">
        <v>734</v>
      </c>
      <c r="G180" t="s">
        <v>735</v>
      </c>
      <c r="H180" t="s">
        <v>735</v>
      </c>
      <c r="I180" t="s">
        <v>100</v>
      </c>
      <c r="J180" t="s">
        <v>101</v>
      </c>
      <c r="L180">
        <v>45746</v>
      </c>
      <c r="M180" t="s">
        <v>102</v>
      </c>
    </row>
    <row r="181" spans="1:13" x14ac:dyDescent="0.3">
      <c r="A181" t="s">
        <v>736</v>
      </c>
      <c r="B181" t="s">
        <v>46</v>
      </c>
      <c r="C181" t="s">
        <v>26</v>
      </c>
      <c r="D181" t="s">
        <v>444</v>
      </c>
      <c r="E181">
        <v>3042</v>
      </c>
      <c r="F181" t="s">
        <v>737</v>
      </c>
      <c r="G181" t="s">
        <v>738</v>
      </c>
      <c r="H181" t="s">
        <v>739</v>
      </c>
      <c r="I181" t="s">
        <v>448</v>
      </c>
      <c r="J181" t="s">
        <v>449</v>
      </c>
      <c r="K181" t="s">
        <v>21</v>
      </c>
      <c r="L181">
        <v>45713</v>
      </c>
      <c r="M181" t="s">
        <v>450</v>
      </c>
    </row>
    <row r="182" spans="1:13" x14ac:dyDescent="0.3">
      <c r="A182" t="s">
        <v>740</v>
      </c>
      <c r="B182" t="s">
        <v>46</v>
      </c>
      <c r="C182" t="s">
        <v>26</v>
      </c>
      <c r="D182" t="s">
        <v>136</v>
      </c>
      <c r="E182">
        <v>3039</v>
      </c>
      <c r="F182" t="s">
        <v>741</v>
      </c>
      <c r="G182" t="s">
        <v>742</v>
      </c>
      <c r="H182" t="s">
        <v>743</v>
      </c>
      <c r="I182" t="s">
        <v>15</v>
      </c>
      <c r="J182" t="s">
        <v>14</v>
      </c>
      <c r="L182">
        <v>45690</v>
      </c>
      <c r="M182" t="s">
        <v>200</v>
      </c>
    </row>
    <row r="183" spans="1:13" x14ac:dyDescent="0.3">
      <c r="A183" t="s">
        <v>744</v>
      </c>
      <c r="B183" t="s">
        <v>37</v>
      </c>
      <c r="C183" t="s">
        <v>26</v>
      </c>
      <c r="D183" t="s">
        <v>78</v>
      </c>
      <c r="E183">
        <v>3035</v>
      </c>
      <c r="F183" t="s">
        <v>745</v>
      </c>
      <c r="G183" t="s">
        <v>746</v>
      </c>
      <c r="H183" t="s">
        <v>746</v>
      </c>
      <c r="I183" t="s">
        <v>81</v>
      </c>
      <c r="J183" t="s">
        <v>82</v>
      </c>
      <c r="L183">
        <v>45738</v>
      </c>
      <c r="M183" t="s">
        <v>489</v>
      </c>
    </row>
    <row r="184" spans="1:13" x14ac:dyDescent="0.3">
      <c r="A184" t="s">
        <v>747</v>
      </c>
      <c r="B184" t="s">
        <v>37</v>
      </c>
      <c r="C184" t="s">
        <v>22</v>
      </c>
      <c r="D184" t="s">
        <v>207</v>
      </c>
      <c r="E184">
        <v>3041</v>
      </c>
      <c r="F184" t="s">
        <v>748</v>
      </c>
      <c r="G184" t="s">
        <v>749</v>
      </c>
      <c r="H184" t="s">
        <v>749</v>
      </c>
      <c r="I184" t="s">
        <v>211</v>
      </c>
      <c r="J184" t="s">
        <v>14</v>
      </c>
      <c r="L184">
        <v>45683</v>
      </c>
      <c r="M184" t="s">
        <v>577</v>
      </c>
    </row>
    <row r="185" spans="1:13" x14ac:dyDescent="0.3">
      <c r="A185" t="s">
        <v>750</v>
      </c>
      <c r="B185" t="s">
        <v>37</v>
      </c>
      <c r="C185" t="s">
        <v>22</v>
      </c>
      <c r="D185" t="s">
        <v>47</v>
      </c>
      <c r="E185">
        <v>3032</v>
      </c>
      <c r="F185" t="s">
        <v>751</v>
      </c>
      <c r="G185" t="s">
        <v>752</v>
      </c>
      <c r="H185" t="s">
        <v>753</v>
      </c>
      <c r="I185" t="s">
        <v>51</v>
      </c>
      <c r="J185" t="s">
        <v>52</v>
      </c>
      <c r="L185">
        <v>45725</v>
      </c>
      <c r="M185" t="s">
        <v>53</v>
      </c>
    </row>
    <row r="186" spans="1:13" x14ac:dyDescent="0.3">
      <c r="A186" t="s">
        <v>754</v>
      </c>
      <c r="B186" t="s">
        <v>37</v>
      </c>
      <c r="C186" t="s">
        <v>22</v>
      </c>
      <c r="D186" t="s">
        <v>118</v>
      </c>
      <c r="E186">
        <v>3038</v>
      </c>
      <c r="F186" t="s">
        <v>755</v>
      </c>
      <c r="G186" t="s">
        <v>756</v>
      </c>
      <c r="H186" t="s">
        <v>756</v>
      </c>
      <c r="I186" t="s">
        <v>122</v>
      </c>
      <c r="J186" t="s">
        <v>123</v>
      </c>
      <c r="L186">
        <v>45720</v>
      </c>
      <c r="M186" t="s">
        <v>359</v>
      </c>
    </row>
    <row r="187" spans="1:13" x14ac:dyDescent="0.3">
      <c r="A187" t="s">
        <v>757</v>
      </c>
      <c r="B187" t="s">
        <v>37</v>
      </c>
      <c r="C187" t="s">
        <v>24</v>
      </c>
      <c r="D187" t="s">
        <v>118</v>
      </c>
      <c r="E187">
        <v>3038</v>
      </c>
      <c r="F187" t="s">
        <v>758</v>
      </c>
      <c r="G187" t="s">
        <v>759</v>
      </c>
      <c r="H187" t="s">
        <v>759</v>
      </c>
      <c r="I187" t="s">
        <v>122</v>
      </c>
      <c r="J187" t="s">
        <v>123</v>
      </c>
      <c r="K187" t="s">
        <v>21</v>
      </c>
      <c r="L187">
        <v>45731</v>
      </c>
      <c r="M187" t="s">
        <v>124</v>
      </c>
    </row>
    <row r="188" spans="1:13" x14ac:dyDescent="0.3">
      <c r="A188" t="s">
        <v>760</v>
      </c>
      <c r="B188" t="s">
        <v>46</v>
      </c>
      <c r="C188" t="s">
        <v>26</v>
      </c>
      <c r="D188" t="s">
        <v>78</v>
      </c>
      <c r="E188">
        <v>3035</v>
      </c>
      <c r="F188" t="s">
        <v>761</v>
      </c>
      <c r="G188" t="s">
        <v>762</v>
      </c>
      <c r="H188" t="s">
        <v>762</v>
      </c>
      <c r="I188" t="s">
        <v>81</v>
      </c>
      <c r="J188" t="s">
        <v>82</v>
      </c>
      <c r="K188" t="s">
        <v>21</v>
      </c>
      <c r="L188">
        <v>45663</v>
      </c>
      <c r="M188" t="s">
        <v>95</v>
      </c>
    </row>
    <row r="189" spans="1:13" x14ac:dyDescent="0.3">
      <c r="A189" t="s">
        <v>763</v>
      </c>
      <c r="B189" t="s">
        <v>46</v>
      </c>
      <c r="C189" t="s">
        <v>26</v>
      </c>
      <c r="D189" t="s">
        <v>97</v>
      </c>
      <c r="E189">
        <v>3036</v>
      </c>
      <c r="F189" t="s">
        <v>764</v>
      </c>
      <c r="G189" t="s">
        <v>765</v>
      </c>
      <c r="H189" t="s">
        <v>765</v>
      </c>
      <c r="I189" t="s">
        <v>100</v>
      </c>
      <c r="J189" t="s">
        <v>101</v>
      </c>
      <c r="L189">
        <v>45727</v>
      </c>
      <c r="M189" t="s">
        <v>65</v>
      </c>
    </row>
    <row r="190" spans="1:13" x14ac:dyDescent="0.3">
      <c r="A190" t="s">
        <v>766</v>
      </c>
      <c r="B190" t="s">
        <v>46</v>
      </c>
      <c r="C190" t="s">
        <v>22</v>
      </c>
      <c r="D190" t="s">
        <v>47</v>
      </c>
      <c r="E190">
        <v>3032</v>
      </c>
      <c r="F190" t="s">
        <v>767</v>
      </c>
      <c r="G190" t="s">
        <v>768</v>
      </c>
      <c r="H190" t="s">
        <v>768</v>
      </c>
      <c r="I190" t="s">
        <v>51</v>
      </c>
      <c r="J190" t="s">
        <v>52</v>
      </c>
      <c r="K190" t="s">
        <v>21</v>
      </c>
      <c r="L190">
        <v>45712</v>
      </c>
      <c r="M190" t="s">
        <v>90</v>
      </c>
    </row>
    <row r="191" spans="1:13" x14ac:dyDescent="0.3">
      <c r="A191" t="s">
        <v>769</v>
      </c>
      <c r="B191" t="s">
        <v>46</v>
      </c>
      <c r="C191" t="s">
        <v>24</v>
      </c>
      <c r="D191" t="s">
        <v>38</v>
      </c>
      <c r="E191">
        <v>3031</v>
      </c>
      <c r="F191" t="s">
        <v>770</v>
      </c>
      <c r="G191" t="s">
        <v>771</v>
      </c>
      <c r="H191" t="s">
        <v>771</v>
      </c>
      <c r="I191" t="s">
        <v>42</v>
      </c>
      <c r="J191" t="s">
        <v>43</v>
      </c>
      <c r="L191">
        <v>45691</v>
      </c>
      <c r="M191" t="s">
        <v>102</v>
      </c>
    </row>
    <row r="192" spans="1:13" x14ac:dyDescent="0.3">
      <c r="A192" t="s">
        <v>772</v>
      </c>
      <c r="B192" t="s">
        <v>46</v>
      </c>
      <c r="C192" t="s">
        <v>26</v>
      </c>
      <c r="D192" t="s">
        <v>55</v>
      </c>
      <c r="E192">
        <v>3033</v>
      </c>
      <c r="F192" t="s">
        <v>773</v>
      </c>
      <c r="G192" t="s">
        <v>774</v>
      </c>
      <c r="H192" t="s">
        <v>774</v>
      </c>
      <c r="I192" t="s">
        <v>58</v>
      </c>
      <c r="J192" t="s">
        <v>59</v>
      </c>
      <c r="L192">
        <v>45694</v>
      </c>
      <c r="M192" t="s">
        <v>69</v>
      </c>
    </row>
    <row r="193" spans="1:13" x14ac:dyDescent="0.3">
      <c r="A193" t="s">
        <v>775</v>
      </c>
      <c r="B193" t="s">
        <v>37</v>
      </c>
      <c r="C193" t="s">
        <v>25</v>
      </c>
      <c r="D193" t="s">
        <v>47</v>
      </c>
      <c r="E193">
        <v>3032</v>
      </c>
      <c r="F193" t="s">
        <v>776</v>
      </c>
      <c r="G193" t="s">
        <v>777</v>
      </c>
      <c r="H193" t="s">
        <v>778</v>
      </c>
      <c r="I193" t="s">
        <v>51</v>
      </c>
      <c r="J193" t="s">
        <v>52</v>
      </c>
      <c r="L193">
        <v>45709</v>
      </c>
      <c r="M193" t="s">
        <v>90</v>
      </c>
    </row>
    <row r="194" spans="1:13" x14ac:dyDescent="0.3">
      <c r="A194" t="s">
        <v>779</v>
      </c>
      <c r="B194" t="s">
        <v>46</v>
      </c>
      <c r="C194" t="s">
        <v>24</v>
      </c>
      <c r="D194" t="s">
        <v>118</v>
      </c>
      <c r="E194">
        <v>3038</v>
      </c>
      <c r="F194" t="s">
        <v>780</v>
      </c>
      <c r="G194" t="s">
        <v>781</v>
      </c>
      <c r="H194" t="s">
        <v>782</v>
      </c>
      <c r="I194" t="s">
        <v>122</v>
      </c>
      <c r="J194" t="s">
        <v>123</v>
      </c>
      <c r="K194" t="s">
        <v>21</v>
      </c>
      <c r="L194">
        <v>45737</v>
      </c>
      <c r="M194" t="s">
        <v>359</v>
      </c>
    </row>
    <row r="195" spans="1:13" x14ac:dyDescent="0.3">
      <c r="A195" t="s">
        <v>783</v>
      </c>
      <c r="B195" t="s">
        <v>46</v>
      </c>
      <c r="C195" t="s">
        <v>25</v>
      </c>
      <c r="D195" t="s">
        <v>118</v>
      </c>
      <c r="E195">
        <v>3038</v>
      </c>
      <c r="F195" t="s">
        <v>784</v>
      </c>
      <c r="G195" t="s">
        <v>785</v>
      </c>
      <c r="H195" t="s">
        <v>785</v>
      </c>
      <c r="I195" t="s">
        <v>122</v>
      </c>
      <c r="J195" t="s">
        <v>123</v>
      </c>
      <c r="L195">
        <v>45717</v>
      </c>
      <c r="M195" t="s">
        <v>124</v>
      </c>
    </row>
    <row r="196" spans="1:13" x14ac:dyDescent="0.3">
      <c r="A196" t="s">
        <v>786</v>
      </c>
      <c r="B196" t="s">
        <v>37</v>
      </c>
      <c r="C196" t="s">
        <v>22</v>
      </c>
      <c r="D196" t="s">
        <v>118</v>
      </c>
      <c r="E196">
        <v>3038</v>
      </c>
      <c r="F196" t="s">
        <v>787</v>
      </c>
      <c r="G196" t="s">
        <v>788</v>
      </c>
      <c r="H196" t="s">
        <v>788</v>
      </c>
      <c r="I196" t="s">
        <v>122</v>
      </c>
      <c r="J196" t="s">
        <v>123</v>
      </c>
      <c r="L196">
        <v>45697</v>
      </c>
      <c r="M196" t="s">
        <v>344</v>
      </c>
    </row>
    <row r="197" spans="1:13" x14ac:dyDescent="0.3">
      <c r="A197" t="s">
        <v>789</v>
      </c>
      <c r="B197" t="s">
        <v>37</v>
      </c>
      <c r="C197" t="s">
        <v>25</v>
      </c>
      <c r="D197" t="s">
        <v>55</v>
      </c>
      <c r="E197">
        <v>3033</v>
      </c>
      <c r="F197" t="s">
        <v>790</v>
      </c>
      <c r="G197" t="s">
        <v>791</v>
      </c>
      <c r="H197" t="s">
        <v>792</v>
      </c>
      <c r="I197" t="s">
        <v>58</v>
      </c>
      <c r="J197" t="s">
        <v>59</v>
      </c>
      <c r="L197">
        <v>45681</v>
      </c>
      <c r="M197" t="s">
        <v>86</v>
      </c>
    </row>
    <row r="198" spans="1:13" x14ac:dyDescent="0.3">
      <c r="A198" t="s">
        <v>793</v>
      </c>
      <c r="B198" t="s">
        <v>46</v>
      </c>
      <c r="C198" t="s">
        <v>26</v>
      </c>
      <c r="D198" t="s">
        <v>207</v>
      </c>
      <c r="E198">
        <v>3041</v>
      </c>
      <c r="F198" t="s">
        <v>794</v>
      </c>
      <c r="G198" t="s">
        <v>795</v>
      </c>
      <c r="H198" t="s">
        <v>796</v>
      </c>
      <c r="I198" t="s">
        <v>211</v>
      </c>
      <c r="J198" t="s">
        <v>14</v>
      </c>
      <c r="L198">
        <v>45711</v>
      </c>
      <c r="M198" t="s">
        <v>394</v>
      </c>
    </row>
    <row r="199" spans="1:13" x14ac:dyDescent="0.3">
      <c r="A199" t="s">
        <v>797</v>
      </c>
      <c r="B199" t="s">
        <v>37</v>
      </c>
      <c r="C199" t="s">
        <v>25</v>
      </c>
      <c r="D199" t="s">
        <v>47</v>
      </c>
      <c r="E199">
        <v>3032</v>
      </c>
      <c r="F199" t="s">
        <v>798</v>
      </c>
      <c r="G199" t="s">
        <v>799</v>
      </c>
      <c r="H199" t="s">
        <v>800</v>
      </c>
      <c r="I199" t="s">
        <v>51</v>
      </c>
      <c r="J199" t="s">
        <v>52</v>
      </c>
      <c r="K199" t="s">
        <v>21</v>
      </c>
      <c r="L199">
        <v>45675</v>
      </c>
      <c r="M199" t="s">
        <v>177</v>
      </c>
    </row>
    <row r="200" spans="1:13" x14ac:dyDescent="0.3">
      <c r="A200" t="s">
        <v>801</v>
      </c>
      <c r="B200" t="s">
        <v>46</v>
      </c>
      <c r="C200" t="s">
        <v>26</v>
      </c>
      <c r="D200" t="s">
        <v>191</v>
      </c>
      <c r="E200">
        <v>3040</v>
      </c>
      <c r="F200" t="s">
        <v>802</v>
      </c>
      <c r="G200" t="s">
        <v>803</v>
      </c>
      <c r="H200" t="s">
        <v>803</v>
      </c>
      <c r="I200" t="s">
        <v>194</v>
      </c>
      <c r="J200" t="s">
        <v>13</v>
      </c>
      <c r="K200" t="s">
        <v>21</v>
      </c>
      <c r="L200">
        <v>45695</v>
      </c>
      <c r="M200" t="s">
        <v>224</v>
      </c>
    </row>
    <row r="201" spans="1:13" x14ac:dyDescent="0.3">
      <c r="A201" t="s">
        <v>804</v>
      </c>
      <c r="B201" t="s">
        <v>37</v>
      </c>
      <c r="C201" t="s">
        <v>26</v>
      </c>
      <c r="D201" t="s">
        <v>118</v>
      </c>
      <c r="E201">
        <v>3038</v>
      </c>
      <c r="F201" t="s">
        <v>805</v>
      </c>
      <c r="G201" t="s">
        <v>806</v>
      </c>
      <c r="H201" t="s">
        <v>807</v>
      </c>
      <c r="I201" t="s">
        <v>122</v>
      </c>
      <c r="J201" t="s">
        <v>123</v>
      </c>
      <c r="L201">
        <v>45694</v>
      </c>
      <c r="M201" t="s">
        <v>581</v>
      </c>
    </row>
    <row r="202" spans="1:13" x14ac:dyDescent="0.3">
      <c r="A202" t="s">
        <v>808</v>
      </c>
      <c r="B202" t="s">
        <v>46</v>
      </c>
      <c r="C202" t="s">
        <v>24</v>
      </c>
      <c r="D202" t="s">
        <v>47</v>
      </c>
      <c r="E202">
        <v>3032</v>
      </c>
      <c r="F202" t="s">
        <v>809</v>
      </c>
      <c r="G202" t="s">
        <v>810</v>
      </c>
      <c r="H202" t="s">
        <v>811</v>
      </c>
      <c r="I202" t="s">
        <v>51</v>
      </c>
      <c r="J202" t="s">
        <v>52</v>
      </c>
      <c r="L202">
        <v>45676</v>
      </c>
      <c r="M202" t="s">
        <v>90</v>
      </c>
    </row>
    <row r="203" spans="1:13" x14ac:dyDescent="0.3">
      <c r="A203" t="s">
        <v>812</v>
      </c>
      <c r="B203" t="s">
        <v>46</v>
      </c>
      <c r="C203" t="s">
        <v>26</v>
      </c>
      <c r="D203" t="s">
        <v>78</v>
      </c>
      <c r="E203">
        <v>3035</v>
      </c>
      <c r="F203" t="s">
        <v>813</v>
      </c>
      <c r="G203" t="s">
        <v>814</v>
      </c>
      <c r="H203" t="s">
        <v>815</v>
      </c>
      <c r="I203" t="s">
        <v>81</v>
      </c>
      <c r="J203" t="s">
        <v>82</v>
      </c>
      <c r="L203">
        <v>45709</v>
      </c>
      <c r="M203" t="s">
        <v>287</v>
      </c>
    </row>
    <row r="204" spans="1:13" x14ac:dyDescent="0.3">
      <c r="A204" t="s">
        <v>816</v>
      </c>
      <c r="B204" t="s">
        <v>46</v>
      </c>
      <c r="C204" t="s">
        <v>24</v>
      </c>
      <c r="D204" t="s">
        <v>71</v>
      </c>
      <c r="E204">
        <v>3034</v>
      </c>
      <c r="F204" t="s">
        <v>817</v>
      </c>
      <c r="G204" t="s">
        <v>818</v>
      </c>
      <c r="H204" t="s">
        <v>818</v>
      </c>
      <c r="I204" t="s">
        <v>74</v>
      </c>
      <c r="J204" t="s">
        <v>75</v>
      </c>
      <c r="L204">
        <v>45688</v>
      </c>
      <c r="M204" t="s">
        <v>76</v>
      </c>
    </row>
    <row r="205" spans="1:13" x14ac:dyDescent="0.3">
      <c r="A205" t="s">
        <v>819</v>
      </c>
      <c r="B205" t="s">
        <v>46</v>
      </c>
      <c r="C205" t="s">
        <v>26</v>
      </c>
      <c r="D205" t="s">
        <v>47</v>
      </c>
      <c r="E205">
        <v>3032</v>
      </c>
      <c r="F205" t="s">
        <v>820</v>
      </c>
      <c r="G205" t="s">
        <v>821</v>
      </c>
      <c r="H205" t="s">
        <v>822</v>
      </c>
      <c r="I205" t="s">
        <v>51</v>
      </c>
      <c r="J205" t="s">
        <v>52</v>
      </c>
      <c r="K205" t="s">
        <v>21</v>
      </c>
      <c r="L205">
        <v>45677</v>
      </c>
      <c r="M205" t="s">
        <v>476</v>
      </c>
    </row>
    <row r="206" spans="1:13" x14ac:dyDescent="0.3">
      <c r="A206" t="s">
        <v>823</v>
      </c>
      <c r="B206" t="s">
        <v>37</v>
      </c>
      <c r="C206" t="s">
        <v>25</v>
      </c>
      <c r="D206" t="s">
        <v>55</v>
      </c>
      <c r="E206">
        <v>3033</v>
      </c>
      <c r="F206" t="s">
        <v>824</v>
      </c>
      <c r="G206" t="s">
        <v>825</v>
      </c>
      <c r="H206" t="s">
        <v>826</v>
      </c>
      <c r="I206" t="s">
        <v>58</v>
      </c>
      <c r="J206" t="s">
        <v>59</v>
      </c>
      <c r="K206" t="s">
        <v>21</v>
      </c>
      <c r="L206">
        <v>45674</v>
      </c>
      <c r="M206" t="s">
        <v>95</v>
      </c>
    </row>
    <row r="207" spans="1:13" x14ac:dyDescent="0.3">
      <c r="A207" t="s">
        <v>827</v>
      </c>
      <c r="B207" t="s">
        <v>46</v>
      </c>
      <c r="C207" t="s">
        <v>24</v>
      </c>
      <c r="D207" t="s">
        <v>38</v>
      </c>
      <c r="E207">
        <v>3031</v>
      </c>
      <c r="F207" t="s">
        <v>828</v>
      </c>
      <c r="G207" t="s">
        <v>829</v>
      </c>
      <c r="H207" t="s">
        <v>829</v>
      </c>
      <c r="I207" t="s">
        <v>42</v>
      </c>
      <c r="J207" t="s">
        <v>43</v>
      </c>
      <c r="L207">
        <v>45671</v>
      </c>
      <c r="M207" t="s">
        <v>102</v>
      </c>
    </row>
    <row r="208" spans="1:13" x14ac:dyDescent="0.3">
      <c r="A208" t="s">
        <v>830</v>
      </c>
      <c r="B208" t="s">
        <v>46</v>
      </c>
      <c r="C208" t="s">
        <v>25</v>
      </c>
      <c r="D208" t="s">
        <v>444</v>
      </c>
      <c r="E208">
        <v>3042</v>
      </c>
      <c r="F208" t="s">
        <v>831</v>
      </c>
      <c r="G208" t="s">
        <v>832</v>
      </c>
      <c r="H208" t="s">
        <v>832</v>
      </c>
      <c r="I208" t="s">
        <v>448</v>
      </c>
      <c r="J208" t="s">
        <v>449</v>
      </c>
      <c r="L208">
        <v>45722</v>
      </c>
      <c r="M208" t="s">
        <v>107</v>
      </c>
    </row>
    <row r="209" spans="1:13" x14ac:dyDescent="0.3">
      <c r="A209" t="s">
        <v>833</v>
      </c>
      <c r="B209" t="s">
        <v>46</v>
      </c>
      <c r="C209" t="s">
        <v>24</v>
      </c>
      <c r="D209" t="s">
        <v>104</v>
      </c>
      <c r="E209">
        <v>3037</v>
      </c>
      <c r="F209" t="s">
        <v>834</v>
      </c>
      <c r="G209" t="s">
        <v>835</v>
      </c>
      <c r="H209" t="s">
        <v>835</v>
      </c>
      <c r="I209" t="s">
        <v>12</v>
      </c>
      <c r="J209" t="s">
        <v>13</v>
      </c>
      <c r="L209">
        <v>45659</v>
      </c>
      <c r="M209" t="s">
        <v>76</v>
      </c>
    </row>
    <row r="210" spans="1:13" x14ac:dyDescent="0.3">
      <c r="A210" t="s">
        <v>836</v>
      </c>
      <c r="B210" t="s">
        <v>37</v>
      </c>
      <c r="C210" t="s">
        <v>25</v>
      </c>
      <c r="D210" t="s">
        <v>97</v>
      </c>
      <c r="E210">
        <v>3036</v>
      </c>
      <c r="F210" t="s">
        <v>837</v>
      </c>
      <c r="G210" t="s">
        <v>838</v>
      </c>
      <c r="H210" t="s">
        <v>838</v>
      </c>
      <c r="I210" t="s">
        <v>100</v>
      </c>
      <c r="J210" t="s">
        <v>101</v>
      </c>
      <c r="L210">
        <v>45737</v>
      </c>
      <c r="M210" t="s">
        <v>102</v>
      </c>
    </row>
    <row r="211" spans="1:13" x14ac:dyDescent="0.3">
      <c r="A211" t="s">
        <v>839</v>
      </c>
      <c r="B211" t="s">
        <v>37</v>
      </c>
      <c r="C211" t="s">
        <v>25</v>
      </c>
      <c r="D211" t="s">
        <v>207</v>
      </c>
      <c r="E211">
        <v>3041</v>
      </c>
      <c r="F211" t="s">
        <v>840</v>
      </c>
      <c r="G211" t="s">
        <v>841</v>
      </c>
      <c r="H211" t="s">
        <v>841</v>
      </c>
      <c r="I211" t="s">
        <v>211</v>
      </c>
      <c r="J211" t="s">
        <v>14</v>
      </c>
      <c r="L211">
        <v>45721</v>
      </c>
      <c r="M211" t="s">
        <v>128</v>
      </c>
    </row>
    <row r="212" spans="1:13" x14ac:dyDescent="0.3">
      <c r="A212" t="s">
        <v>842</v>
      </c>
      <c r="B212" t="s">
        <v>46</v>
      </c>
      <c r="C212" t="s">
        <v>26</v>
      </c>
      <c r="D212" t="s">
        <v>191</v>
      </c>
      <c r="E212">
        <v>3040</v>
      </c>
      <c r="F212" t="s">
        <v>843</v>
      </c>
      <c r="G212" t="s">
        <v>844</v>
      </c>
      <c r="H212" t="s">
        <v>845</v>
      </c>
      <c r="I212" t="s">
        <v>194</v>
      </c>
      <c r="J212" t="s">
        <v>13</v>
      </c>
      <c r="L212">
        <v>45726</v>
      </c>
      <c r="M212" t="s">
        <v>160</v>
      </c>
    </row>
    <row r="213" spans="1:13" x14ac:dyDescent="0.3">
      <c r="A213" t="s">
        <v>846</v>
      </c>
      <c r="B213" t="s">
        <v>46</v>
      </c>
      <c r="C213" t="s">
        <v>26</v>
      </c>
      <c r="D213" t="s">
        <v>207</v>
      </c>
      <c r="E213">
        <v>3041</v>
      </c>
      <c r="F213" t="s">
        <v>847</v>
      </c>
      <c r="G213" t="s">
        <v>848</v>
      </c>
      <c r="H213" t="s">
        <v>848</v>
      </c>
      <c r="I213" t="s">
        <v>211</v>
      </c>
      <c r="J213" t="s">
        <v>14</v>
      </c>
      <c r="K213" t="s">
        <v>21</v>
      </c>
      <c r="L213">
        <v>45684</v>
      </c>
      <c r="M213" t="s">
        <v>394</v>
      </c>
    </row>
    <row r="214" spans="1:13" x14ac:dyDescent="0.3">
      <c r="A214" t="s">
        <v>849</v>
      </c>
      <c r="B214" t="s">
        <v>37</v>
      </c>
      <c r="C214" t="s">
        <v>24</v>
      </c>
      <c r="D214" t="s">
        <v>136</v>
      </c>
      <c r="E214">
        <v>3039</v>
      </c>
      <c r="F214" t="s">
        <v>850</v>
      </c>
      <c r="G214" t="s">
        <v>851</v>
      </c>
      <c r="H214" t="s">
        <v>851</v>
      </c>
      <c r="I214" t="s">
        <v>15</v>
      </c>
      <c r="J214" t="s">
        <v>14</v>
      </c>
      <c r="L214">
        <v>45731</v>
      </c>
      <c r="M214" t="s">
        <v>160</v>
      </c>
    </row>
    <row r="215" spans="1:13" x14ac:dyDescent="0.3">
      <c r="A215" t="s">
        <v>852</v>
      </c>
      <c r="B215" t="s">
        <v>46</v>
      </c>
      <c r="C215" t="s">
        <v>26</v>
      </c>
      <c r="D215" t="s">
        <v>47</v>
      </c>
      <c r="E215">
        <v>3032</v>
      </c>
      <c r="F215" t="s">
        <v>853</v>
      </c>
      <c r="G215" t="s">
        <v>854</v>
      </c>
      <c r="H215" t="s">
        <v>855</v>
      </c>
      <c r="I215" t="s">
        <v>51</v>
      </c>
      <c r="J215" t="s">
        <v>52</v>
      </c>
      <c r="L215">
        <v>45734</v>
      </c>
      <c r="M215" t="s">
        <v>90</v>
      </c>
    </row>
    <row r="216" spans="1:13" x14ac:dyDescent="0.3">
      <c r="A216" t="s">
        <v>856</v>
      </c>
      <c r="B216" t="s">
        <v>37</v>
      </c>
      <c r="C216" t="s">
        <v>22</v>
      </c>
      <c r="D216" t="s">
        <v>191</v>
      </c>
      <c r="E216">
        <v>3040</v>
      </c>
      <c r="F216" t="s">
        <v>857</v>
      </c>
      <c r="G216" t="s">
        <v>858</v>
      </c>
      <c r="H216" t="s">
        <v>859</v>
      </c>
      <c r="I216" t="s">
        <v>194</v>
      </c>
      <c r="J216" t="s">
        <v>13</v>
      </c>
      <c r="L216">
        <v>45733</v>
      </c>
      <c r="M216" t="s">
        <v>300</v>
      </c>
    </row>
    <row r="217" spans="1:13" x14ac:dyDescent="0.3">
      <c r="A217" t="s">
        <v>860</v>
      </c>
      <c r="B217" t="s">
        <v>46</v>
      </c>
      <c r="C217" t="s">
        <v>24</v>
      </c>
      <c r="D217" t="s">
        <v>97</v>
      </c>
      <c r="E217">
        <v>3036</v>
      </c>
      <c r="F217" t="s">
        <v>861</v>
      </c>
      <c r="G217" t="s">
        <v>862</v>
      </c>
      <c r="H217" t="s">
        <v>862</v>
      </c>
      <c r="I217" t="s">
        <v>100</v>
      </c>
      <c r="J217" t="s">
        <v>101</v>
      </c>
      <c r="K217" t="s">
        <v>21</v>
      </c>
      <c r="L217">
        <v>45666</v>
      </c>
      <c r="M217" t="s">
        <v>292</v>
      </c>
    </row>
    <row r="218" spans="1:13" x14ac:dyDescent="0.3">
      <c r="A218" t="s">
        <v>863</v>
      </c>
      <c r="B218" t="s">
        <v>37</v>
      </c>
      <c r="C218" t="s">
        <v>22</v>
      </c>
      <c r="D218" t="s">
        <v>78</v>
      </c>
      <c r="E218">
        <v>3035</v>
      </c>
      <c r="F218" t="s">
        <v>864</v>
      </c>
      <c r="G218" t="s">
        <v>865</v>
      </c>
      <c r="H218" t="s">
        <v>866</v>
      </c>
      <c r="I218" t="s">
        <v>81</v>
      </c>
      <c r="J218" t="s">
        <v>82</v>
      </c>
      <c r="L218">
        <v>45668</v>
      </c>
      <c r="M218" t="s">
        <v>95</v>
      </c>
    </row>
    <row r="219" spans="1:13" x14ac:dyDescent="0.3">
      <c r="A219" t="s">
        <v>867</v>
      </c>
      <c r="B219" t="s">
        <v>37</v>
      </c>
      <c r="C219" t="s">
        <v>26</v>
      </c>
      <c r="D219" t="s">
        <v>118</v>
      </c>
      <c r="E219">
        <v>3038</v>
      </c>
      <c r="F219" t="s">
        <v>868</v>
      </c>
      <c r="G219" t="s">
        <v>869</v>
      </c>
      <c r="H219" t="s">
        <v>869</v>
      </c>
      <c r="I219" t="s">
        <v>122</v>
      </c>
      <c r="J219" t="s">
        <v>123</v>
      </c>
      <c r="L219">
        <v>45712</v>
      </c>
      <c r="M219" t="s">
        <v>359</v>
      </c>
    </row>
    <row r="220" spans="1:13" x14ac:dyDescent="0.3">
      <c r="A220" t="s">
        <v>870</v>
      </c>
      <c r="B220" t="s">
        <v>46</v>
      </c>
      <c r="C220" t="s">
        <v>22</v>
      </c>
      <c r="D220" t="s">
        <v>207</v>
      </c>
      <c r="E220">
        <v>3041</v>
      </c>
      <c r="F220" t="s">
        <v>871</v>
      </c>
      <c r="G220" t="s">
        <v>872</v>
      </c>
      <c r="H220" t="s">
        <v>873</v>
      </c>
      <c r="I220" t="s">
        <v>211</v>
      </c>
      <c r="J220" t="s">
        <v>14</v>
      </c>
      <c r="L220">
        <v>45686</v>
      </c>
      <c r="M220" t="s">
        <v>212</v>
      </c>
    </row>
    <row r="221" spans="1:13" x14ac:dyDescent="0.3">
      <c r="A221" t="s">
        <v>874</v>
      </c>
      <c r="B221" t="s">
        <v>37</v>
      </c>
      <c r="C221" t="s">
        <v>24</v>
      </c>
      <c r="D221" t="s">
        <v>104</v>
      </c>
      <c r="E221">
        <v>3037</v>
      </c>
      <c r="F221" t="s">
        <v>875</v>
      </c>
      <c r="G221" t="s">
        <v>876</v>
      </c>
      <c r="H221" t="s">
        <v>877</v>
      </c>
      <c r="I221" t="s">
        <v>12</v>
      </c>
      <c r="J221" t="s">
        <v>13</v>
      </c>
      <c r="L221">
        <v>45684</v>
      </c>
      <c r="M221" t="s">
        <v>189</v>
      </c>
    </row>
    <row r="222" spans="1:13" x14ac:dyDescent="0.3">
      <c r="A222" t="s">
        <v>878</v>
      </c>
      <c r="B222" t="s">
        <v>37</v>
      </c>
      <c r="C222" t="s">
        <v>25</v>
      </c>
      <c r="D222" t="s">
        <v>47</v>
      </c>
      <c r="E222">
        <v>3032</v>
      </c>
      <c r="F222" t="s">
        <v>879</v>
      </c>
      <c r="G222" t="s">
        <v>880</v>
      </c>
      <c r="H222" t="s">
        <v>880</v>
      </c>
      <c r="I222" t="s">
        <v>51</v>
      </c>
      <c r="J222" t="s">
        <v>52</v>
      </c>
      <c r="K222" t="s">
        <v>21</v>
      </c>
      <c r="L222">
        <v>45681</v>
      </c>
      <c r="M222" t="s">
        <v>881</v>
      </c>
    </row>
    <row r="223" spans="1:13" x14ac:dyDescent="0.3">
      <c r="A223" t="s">
        <v>882</v>
      </c>
      <c r="B223" t="s">
        <v>37</v>
      </c>
      <c r="C223" t="s">
        <v>24</v>
      </c>
      <c r="D223" t="s">
        <v>78</v>
      </c>
      <c r="E223">
        <v>3035</v>
      </c>
      <c r="F223" t="s">
        <v>883</v>
      </c>
      <c r="G223" t="s">
        <v>884</v>
      </c>
      <c r="H223" t="s">
        <v>884</v>
      </c>
      <c r="I223" t="s">
        <v>81</v>
      </c>
      <c r="J223" t="s">
        <v>82</v>
      </c>
      <c r="L223">
        <v>45736</v>
      </c>
      <c r="M223" t="s">
        <v>205</v>
      </c>
    </row>
    <row r="224" spans="1:13" x14ac:dyDescent="0.3">
      <c r="A224" t="s">
        <v>885</v>
      </c>
      <c r="B224" t="s">
        <v>37</v>
      </c>
      <c r="C224" t="s">
        <v>26</v>
      </c>
      <c r="D224" t="s">
        <v>47</v>
      </c>
      <c r="E224">
        <v>3032</v>
      </c>
      <c r="F224" t="s">
        <v>886</v>
      </c>
      <c r="G224" t="s">
        <v>887</v>
      </c>
      <c r="H224" t="s">
        <v>888</v>
      </c>
      <c r="I224" t="s">
        <v>51</v>
      </c>
      <c r="J224" t="s">
        <v>52</v>
      </c>
      <c r="L224">
        <v>45696</v>
      </c>
      <c r="M224" t="s">
        <v>542</v>
      </c>
    </row>
    <row r="225" spans="1:13" x14ac:dyDescent="0.3">
      <c r="A225" t="s">
        <v>889</v>
      </c>
      <c r="B225" t="s">
        <v>37</v>
      </c>
      <c r="C225" t="s">
        <v>26</v>
      </c>
      <c r="D225" t="s">
        <v>118</v>
      </c>
      <c r="E225">
        <v>3038</v>
      </c>
      <c r="F225" t="s">
        <v>890</v>
      </c>
      <c r="G225" t="s">
        <v>891</v>
      </c>
      <c r="H225" t="s">
        <v>892</v>
      </c>
      <c r="I225" t="s">
        <v>122</v>
      </c>
      <c r="J225" t="s">
        <v>123</v>
      </c>
      <c r="K225" t="s">
        <v>21</v>
      </c>
      <c r="L225">
        <v>45715</v>
      </c>
      <c r="M225" t="s">
        <v>389</v>
      </c>
    </row>
    <row r="226" spans="1:13" x14ac:dyDescent="0.3">
      <c r="A226" t="s">
        <v>893</v>
      </c>
      <c r="B226" t="s">
        <v>37</v>
      </c>
      <c r="C226" t="s">
        <v>26</v>
      </c>
      <c r="D226" t="s">
        <v>55</v>
      </c>
      <c r="E226">
        <v>3033</v>
      </c>
      <c r="F226" t="s">
        <v>894</v>
      </c>
      <c r="G226" t="s">
        <v>895</v>
      </c>
      <c r="H226" t="s">
        <v>896</v>
      </c>
      <c r="I226" t="s">
        <v>58</v>
      </c>
      <c r="J226" t="s">
        <v>59</v>
      </c>
      <c r="K226" t="s">
        <v>21</v>
      </c>
      <c r="L226">
        <v>45671</v>
      </c>
      <c r="M226" t="s">
        <v>90</v>
      </c>
    </row>
    <row r="227" spans="1:13" x14ac:dyDescent="0.3">
      <c r="A227" t="s">
        <v>897</v>
      </c>
      <c r="B227" t="s">
        <v>37</v>
      </c>
      <c r="C227" t="s">
        <v>22</v>
      </c>
      <c r="D227" t="s">
        <v>444</v>
      </c>
      <c r="E227">
        <v>3042</v>
      </c>
      <c r="F227" t="s">
        <v>898</v>
      </c>
      <c r="G227" t="s">
        <v>899</v>
      </c>
      <c r="H227" t="s">
        <v>899</v>
      </c>
      <c r="I227" t="s">
        <v>448</v>
      </c>
      <c r="J227" t="s">
        <v>449</v>
      </c>
      <c r="K227" t="s">
        <v>21</v>
      </c>
      <c r="L227">
        <v>45714</v>
      </c>
      <c r="M227" t="s">
        <v>722</v>
      </c>
    </row>
    <row r="228" spans="1:13" x14ac:dyDescent="0.3">
      <c r="A228" t="s">
        <v>900</v>
      </c>
      <c r="B228" t="s">
        <v>46</v>
      </c>
      <c r="C228" t="s">
        <v>25</v>
      </c>
      <c r="D228" t="s">
        <v>191</v>
      </c>
      <c r="E228">
        <v>3040</v>
      </c>
      <c r="F228" t="s">
        <v>901</v>
      </c>
      <c r="G228" t="s">
        <v>902</v>
      </c>
      <c r="H228" t="s">
        <v>902</v>
      </c>
      <c r="I228" t="s">
        <v>194</v>
      </c>
      <c r="J228" t="s">
        <v>13</v>
      </c>
      <c r="K228" t="s">
        <v>21</v>
      </c>
      <c r="L228">
        <v>45721</v>
      </c>
      <c r="M228" t="s">
        <v>224</v>
      </c>
    </row>
    <row r="229" spans="1:13" x14ac:dyDescent="0.3">
      <c r="A229" t="s">
        <v>903</v>
      </c>
      <c r="B229" t="s">
        <v>46</v>
      </c>
      <c r="C229" t="s">
        <v>26</v>
      </c>
      <c r="D229" t="s">
        <v>136</v>
      </c>
      <c r="E229">
        <v>3039</v>
      </c>
      <c r="F229" t="s">
        <v>904</v>
      </c>
      <c r="G229" t="s">
        <v>905</v>
      </c>
      <c r="H229" t="s">
        <v>906</v>
      </c>
      <c r="I229" t="s">
        <v>15</v>
      </c>
      <c r="J229" t="s">
        <v>14</v>
      </c>
      <c r="L229">
        <v>45683</v>
      </c>
      <c r="M229" t="s">
        <v>200</v>
      </c>
    </row>
    <row r="230" spans="1:13" x14ac:dyDescent="0.3">
      <c r="A230" t="s">
        <v>907</v>
      </c>
      <c r="B230" t="s">
        <v>37</v>
      </c>
      <c r="C230" t="s">
        <v>26</v>
      </c>
      <c r="D230" t="s">
        <v>97</v>
      </c>
      <c r="E230">
        <v>3036</v>
      </c>
      <c r="F230" t="s">
        <v>908</v>
      </c>
      <c r="G230" t="s">
        <v>909</v>
      </c>
      <c r="H230" t="s">
        <v>909</v>
      </c>
      <c r="I230" t="s">
        <v>100</v>
      </c>
      <c r="J230" t="s">
        <v>101</v>
      </c>
      <c r="L230">
        <v>45704</v>
      </c>
      <c r="M230" t="s">
        <v>165</v>
      </c>
    </row>
    <row r="231" spans="1:13" x14ac:dyDescent="0.3">
      <c r="A231" t="s">
        <v>910</v>
      </c>
      <c r="B231" t="s">
        <v>37</v>
      </c>
      <c r="C231" t="s">
        <v>24</v>
      </c>
      <c r="D231" t="s">
        <v>78</v>
      </c>
      <c r="E231">
        <v>3035</v>
      </c>
      <c r="F231" t="s">
        <v>911</v>
      </c>
      <c r="G231" t="s">
        <v>912</v>
      </c>
      <c r="H231" t="s">
        <v>913</v>
      </c>
      <c r="I231" t="s">
        <v>81</v>
      </c>
      <c r="J231" t="s">
        <v>82</v>
      </c>
      <c r="L231">
        <v>45691</v>
      </c>
      <c r="M231" t="s">
        <v>205</v>
      </c>
    </row>
    <row r="232" spans="1:13" x14ac:dyDescent="0.3">
      <c r="A232" t="s">
        <v>914</v>
      </c>
      <c r="B232" t="s">
        <v>46</v>
      </c>
      <c r="C232" t="s">
        <v>24</v>
      </c>
      <c r="D232" t="s">
        <v>207</v>
      </c>
      <c r="E232">
        <v>3041</v>
      </c>
      <c r="F232" t="s">
        <v>915</v>
      </c>
      <c r="G232" t="s">
        <v>916</v>
      </c>
      <c r="H232" t="s">
        <v>917</v>
      </c>
      <c r="I232" t="s">
        <v>211</v>
      </c>
      <c r="J232" t="s">
        <v>14</v>
      </c>
      <c r="L232">
        <v>45723</v>
      </c>
      <c r="M232" t="s">
        <v>128</v>
      </c>
    </row>
    <row r="233" spans="1:13" x14ac:dyDescent="0.3">
      <c r="A233" t="s">
        <v>918</v>
      </c>
      <c r="B233" t="s">
        <v>37</v>
      </c>
      <c r="C233" t="s">
        <v>24</v>
      </c>
      <c r="D233" t="s">
        <v>136</v>
      </c>
      <c r="E233">
        <v>3039</v>
      </c>
      <c r="F233" t="s">
        <v>919</v>
      </c>
      <c r="G233" t="s">
        <v>920</v>
      </c>
      <c r="H233" t="s">
        <v>920</v>
      </c>
      <c r="I233" t="s">
        <v>15</v>
      </c>
      <c r="J233" t="s">
        <v>14</v>
      </c>
      <c r="K233" t="s">
        <v>21</v>
      </c>
      <c r="L233">
        <v>45719</v>
      </c>
      <c r="M233" t="s">
        <v>577</v>
      </c>
    </row>
    <row r="234" spans="1:13" x14ac:dyDescent="0.3">
      <c r="A234" t="s">
        <v>921</v>
      </c>
      <c r="B234" t="s">
        <v>37</v>
      </c>
      <c r="C234" t="s">
        <v>26</v>
      </c>
      <c r="D234" t="s">
        <v>47</v>
      </c>
      <c r="E234">
        <v>3032</v>
      </c>
      <c r="F234" t="s">
        <v>922</v>
      </c>
      <c r="G234" t="s">
        <v>923</v>
      </c>
      <c r="H234" t="s">
        <v>924</v>
      </c>
      <c r="I234" t="s">
        <v>51</v>
      </c>
      <c r="J234" t="s">
        <v>52</v>
      </c>
      <c r="K234" t="s">
        <v>21</v>
      </c>
      <c r="L234">
        <v>45677</v>
      </c>
      <c r="M234" t="s">
        <v>144</v>
      </c>
    </row>
    <row r="235" spans="1:13" x14ac:dyDescent="0.3">
      <c r="A235" t="s">
        <v>925</v>
      </c>
      <c r="B235" t="s">
        <v>46</v>
      </c>
      <c r="C235" t="s">
        <v>25</v>
      </c>
      <c r="D235" t="s">
        <v>104</v>
      </c>
      <c r="E235">
        <v>3037</v>
      </c>
      <c r="F235" t="s">
        <v>926</v>
      </c>
      <c r="G235" t="s">
        <v>927</v>
      </c>
      <c r="H235" t="s">
        <v>927</v>
      </c>
      <c r="I235" t="s">
        <v>12</v>
      </c>
      <c r="J235" t="s">
        <v>13</v>
      </c>
      <c r="L235">
        <v>45723</v>
      </c>
      <c r="M235" t="s">
        <v>189</v>
      </c>
    </row>
    <row r="236" spans="1:13" x14ac:dyDescent="0.3">
      <c r="A236" t="s">
        <v>928</v>
      </c>
      <c r="B236" t="s">
        <v>46</v>
      </c>
      <c r="C236" t="s">
        <v>24</v>
      </c>
      <c r="D236" t="s">
        <v>38</v>
      </c>
      <c r="E236">
        <v>3031</v>
      </c>
      <c r="F236" t="s">
        <v>929</v>
      </c>
      <c r="G236" t="s">
        <v>930</v>
      </c>
      <c r="H236" t="s">
        <v>930</v>
      </c>
      <c r="I236" t="s">
        <v>42</v>
      </c>
      <c r="J236" t="s">
        <v>43</v>
      </c>
      <c r="K236" t="s">
        <v>21</v>
      </c>
      <c r="L236">
        <v>45737</v>
      </c>
      <c r="M236" t="s">
        <v>128</v>
      </c>
    </row>
    <row r="237" spans="1:13" x14ac:dyDescent="0.3">
      <c r="A237" t="s">
        <v>931</v>
      </c>
      <c r="B237" t="s">
        <v>37</v>
      </c>
      <c r="C237" t="s">
        <v>25</v>
      </c>
      <c r="D237" t="s">
        <v>71</v>
      </c>
      <c r="E237">
        <v>3034</v>
      </c>
      <c r="F237" t="s">
        <v>171</v>
      </c>
      <c r="G237" t="s">
        <v>932</v>
      </c>
      <c r="H237" t="s">
        <v>933</v>
      </c>
      <c r="I237" t="s">
        <v>74</v>
      </c>
      <c r="J237" t="s">
        <v>75</v>
      </c>
      <c r="L237">
        <v>45694</v>
      </c>
      <c r="M237" t="s">
        <v>165</v>
      </c>
    </row>
    <row r="238" spans="1:13" x14ac:dyDescent="0.3">
      <c r="A238" t="s">
        <v>934</v>
      </c>
      <c r="B238" t="s">
        <v>46</v>
      </c>
      <c r="C238" t="s">
        <v>25</v>
      </c>
      <c r="D238" t="s">
        <v>136</v>
      </c>
      <c r="E238">
        <v>3039</v>
      </c>
      <c r="F238" t="s">
        <v>935</v>
      </c>
      <c r="G238" t="s">
        <v>936</v>
      </c>
      <c r="H238" t="s">
        <v>936</v>
      </c>
      <c r="I238" t="s">
        <v>15</v>
      </c>
      <c r="J238" t="s">
        <v>14</v>
      </c>
      <c r="K238" t="s">
        <v>21</v>
      </c>
      <c r="L238">
        <v>45705</v>
      </c>
      <c r="M238" t="s">
        <v>140</v>
      </c>
    </row>
    <row r="239" spans="1:13" x14ac:dyDescent="0.3">
      <c r="A239" t="s">
        <v>937</v>
      </c>
      <c r="B239" t="s">
        <v>46</v>
      </c>
      <c r="C239" t="s">
        <v>25</v>
      </c>
      <c r="D239" t="s">
        <v>71</v>
      </c>
      <c r="E239">
        <v>3034</v>
      </c>
      <c r="F239" t="s">
        <v>938</v>
      </c>
      <c r="G239" t="s">
        <v>939</v>
      </c>
      <c r="H239" t="s">
        <v>940</v>
      </c>
      <c r="I239" t="s">
        <v>74</v>
      </c>
      <c r="J239" t="s">
        <v>75</v>
      </c>
      <c r="L239">
        <v>45737</v>
      </c>
      <c r="M239" t="s">
        <v>165</v>
      </c>
    </row>
    <row r="240" spans="1:13" x14ac:dyDescent="0.3">
      <c r="A240" t="s">
        <v>941</v>
      </c>
      <c r="B240" t="s">
        <v>46</v>
      </c>
      <c r="C240" t="s">
        <v>25</v>
      </c>
      <c r="D240" t="s">
        <v>71</v>
      </c>
      <c r="E240">
        <v>3034</v>
      </c>
      <c r="F240" t="s">
        <v>942</v>
      </c>
      <c r="G240" t="s">
        <v>943</v>
      </c>
      <c r="H240" t="s">
        <v>943</v>
      </c>
      <c r="I240" t="s">
        <v>74</v>
      </c>
      <c r="J240" t="s">
        <v>75</v>
      </c>
      <c r="K240" t="s">
        <v>21</v>
      </c>
      <c r="L240">
        <v>45712</v>
      </c>
      <c r="M240" t="s">
        <v>165</v>
      </c>
    </row>
    <row r="241" spans="1:13" x14ac:dyDescent="0.3">
      <c r="A241" t="s">
        <v>944</v>
      </c>
      <c r="B241" t="s">
        <v>37</v>
      </c>
      <c r="C241" t="s">
        <v>26</v>
      </c>
      <c r="D241" t="s">
        <v>191</v>
      </c>
      <c r="E241">
        <v>3040</v>
      </c>
      <c r="F241" t="s">
        <v>945</v>
      </c>
      <c r="G241" t="s">
        <v>946</v>
      </c>
      <c r="H241" t="s">
        <v>947</v>
      </c>
      <c r="I241" t="s">
        <v>194</v>
      </c>
      <c r="J241" t="s">
        <v>13</v>
      </c>
      <c r="L241">
        <v>45711</v>
      </c>
      <c r="M241" t="s">
        <v>717</v>
      </c>
    </row>
    <row r="242" spans="1:13" x14ac:dyDescent="0.3">
      <c r="A242" t="s">
        <v>948</v>
      </c>
      <c r="B242" t="s">
        <v>37</v>
      </c>
      <c r="C242" t="s">
        <v>25</v>
      </c>
      <c r="D242" t="s">
        <v>38</v>
      </c>
      <c r="E242">
        <v>3031</v>
      </c>
      <c r="F242" t="s">
        <v>949</v>
      </c>
      <c r="G242" t="s">
        <v>950</v>
      </c>
      <c r="H242" t="s">
        <v>951</v>
      </c>
      <c r="I242" t="s">
        <v>42</v>
      </c>
      <c r="J242" t="s">
        <v>43</v>
      </c>
      <c r="K242" t="s">
        <v>21</v>
      </c>
      <c r="L242">
        <v>45729</v>
      </c>
      <c r="M242" t="s">
        <v>102</v>
      </c>
    </row>
    <row r="243" spans="1:13" x14ac:dyDescent="0.3">
      <c r="A243" t="s">
        <v>952</v>
      </c>
      <c r="B243" t="s">
        <v>46</v>
      </c>
      <c r="C243" t="s">
        <v>24</v>
      </c>
      <c r="D243" t="s">
        <v>97</v>
      </c>
      <c r="E243">
        <v>3036</v>
      </c>
      <c r="F243" t="s">
        <v>953</v>
      </c>
      <c r="G243" t="s">
        <v>954</v>
      </c>
      <c r="H243" t="s">
        <v>955</v>
      </c>
      <c r="I243" t="s">
        <v>100</v>
      </c>
      <c r="J243" t="s">
        <v>101</v>
      </c>
      <c r="K243" t="s">
        <v>21</v>
      </c>
      <c r="L243">
        <v>45678</v>
      </c>
      <c r="M243" t="s">
        <v>65</v>
      </c>
    </row>
    <row r="244" spans="1:13" x14ac:dyDescent="0.3">
      <c r="A244" t="s">
        <v>956</v>
      </c>
      <c r="B244" t="s">
        <v>37</v>
      </c>
      <c r="C244" t="s">
        <v>24</v>
      </c>
      <c r="D244" t="s">
        <v>444</v>
      </c>
      <c r="E244">
        <v>3042</v>
      </c>
      <c r="F244" t="s">
        <v>957</v>
      </c>
      <c r="G244" t="s">
        <v>958</v>
      </c>
      <c r="H244" t="s">
        <v>958</v>
      </c>
      <c r="I244" t="s">
        <v>448</v>
      </c>
      <c r="J244" t="s">
        <v>449</v>
      </c>
      <c r="L244">
        <v>45709</v>
      </c>
      <c r="M244" t="s">
        <v>107</v>
      </c>
    </row>
    <row r="245" spans="1:13" x14ac:dyDescent="0.3">
      <c r="A245" t="s">
        <v>959</v>
      </c>
      <c r="B245" t="s">
        <v>37</v>
      </c>
      <c r="C245" t="s">
        <v>26</v>
      </c>
      <c r="D245" t="s">
        <v>136</v>
      </c>
      <c r="E245">
        <v>3039</v>
      </c>
      <c r="F245" t="s">
        <v>960</v>
      </c>
      <c r="G245" t="s">
        <v>961</v>
      </c>
      <c r="H245" t="s">
        <v>961</v>
      </c>
      <c r="I245" t="s">
        <v>15</v>
      </c>
      <c r="J245" t="s">
        <v>14</v>
      </c>
      <c r="L245">
        <v>45663</v>
      </c>
      <c r="M245" t="s">
        <v>389</v>
      </c>
    </row>
    <row r="246" spans="1:13" x14ac:dyDescent="0.3">
      <c r="A246" t="s">
        <v>962</v>
      </c>
      <c r="B246" t="s">
        <v>37</v>
      </c>
      <c r="C246" t="s">
        <v>25</v>
      </c>
      <c r="D246" t="s">
        <v>55</v>
      </c>
      <c r="E246">
        <v>3033</v>
      </c>
      <c r="F246" t="s">
        <v>963</v>
      </c>
      <c r="G246" t="s">
        <v>964</v>
      </c>
      <c r="H246" t="s">
        <v>964</v>
      </c>
      <c r="I246" t="s">
        <v>58</v>
      </c>
      <c r="J246" t="s">
        <v>59</v>
      </c>
      <c r="K246" t="s">
        <v>21</v>
      </c>
      <c r="L246">
        <v>45714</v>
      </c>
      <c r="M246" t="s">
        <v>90</v>
      </c>
    </row>
    <row r="247" spans="1:13" x14ac:dyDescent="0.3">
      <c r="A247" t="s">
        <v>965</v>
      </c>
      <c r="B247" t="s">
        <v>46</v>
      </c>
      <c r="C247" t="s">
        <v>22</v>
      </c>
      <c r="D247" t="s">
        <v>444</v>
      </c>
      <c r="E247">
        <v>3042</v>
      </c>
      <c r="F247" t="s">
        <v>966</v>
      </c>
      <c r="G247" t="s">
        <v>967</v>
      </c>
      <c r="H247" t="s">
        <v>967</v>
      </c>
      <c r="I247" t="s">
        <v>448</v>
      </c>
      <c r="J247" t="s">
        <v>449</v>
      </c>
      <c r="L247">
        <v>45702</v>
      </c>
      <c r="M247" t="s">
        <v>450</v>
      </c>
    </row>
    <row r="248" spans="1:13" x14ac:dyDescent="0.3">
      <c r="A248" t="s">
        <v>968</v>
      </c>
      <c r="B248" t="s">
        <v>37</v>
      </c>
      <c r="C248" t="s">
        <v>22</v>
      </c>
      <c r="D248" t="s">
        <v>444</v>
      </c>
      <c r="E248">
        <v>3042</v>
      </c>
      <c r="F248" t="s">
        <v>969</v>
      </c>
      <c r="G248" t="s">
        <v>970</v>
      </c>
      <c r="H248" t="s">
        <v>971</v>
      </c>
      <c r="I248" t="s">
        <v>448</v>
      </c>
      <c r="J248" t="s">
        <v>449</v>
      </c>
      <c r="K248" t="s">
        <v>21</v>
      </c>
      <c r="L248">
        <v>45738</v>
      </c>
      <c r="M248" t="s">
        <v>224</v>
      </c>
    </row>
    <row r="249" spans="1:13" x14ac:dyDescent="0.3">
      <c r="A249" t="s">
        <v>972</v>
      </c>
      <c r="B249" t="s">
        <v>46</v>
      </c>
      <c r="C249" t="s">
        <v>26</v>
      </c>
      <c r="D249" t="s">
        <v>71</v>
      </c>
      <c r="E249">
        <v>3034</v>
      </c>
      <c r="F249" t="s">
        <v>973</v>
      </c>
      <c r="G249" t="s">
        <v>974</v>
      </c>
      <c r="H249" t="s">
        <v>974</v>
      </c>
      <c r="I249" t="s">
        <v>74</v>
      </c>
      <c r="J249" t="s">
        <v>75</v>
      </c>
      <c r="L249">
        <v>45662</v>
      </c>
      <c r="M249" t="s">
        <v>112</v>
      </c>
    </row>
    <row r="250" spans="1:13" x14ac:dyDescent="0.3">
      <c r="A250" t="s">
        <v>975</v>
      </c>
      <c r="B250" t="s">
        <v>37</v>
      </c>
      <c r="C250" t="s">
        <v>25</v>
      </c>
      <c r="D250" t="s">
        <v>118</v>
      </c>
      <c r="E250">
        <v>3038</v>
      </c>
      <c r="F250" t="s">
        <v>976</v>
      </c>
      <c r="G250" t="s">
        <v>977</v>
      </c>
      <c r="H250" t="s">
        <v>977</v>
      </c>
      <c r="I250" t="s">
        <v>122</v>
      </c>
      <c r="J250" t="s">
        <v>123</v>
      </c>
      <c r="L250">
        <v>45743</v>
      </c>
      <c r="M250" t="s">
        <v>581</v>
      </c>
    </row>
    <row r="251" spans="1:13" x14ac:dyDescent="0.3">
      <c r="A251" t="s">
        <v>978</v>
      </c>
      <c r="B251" t="s">
        <v>37</v>
      </c>
      <c r="C251" t="s">
        <v>25</v>
      </c>
      <c r="D251" t="s">
        <v>38</v>
      </c>
      <c r="E251">
        <v>3031</v>
      </c>
      <c r="F251" t="s">
        <v>979</v>
      </c>
      <c r="G251" t="s">
        <v>980</v>
      </c>
      <c r="H251" t="s">
        <v>980</v>
      </c>
      <c r="I251" t="s">
        <v>42</v>
      </c>
      <c r="J251" t="s">
        <v>43</v>
      </c>
      <c r="K251" t="s">
        <v>21</v>
      </c>
      <c r="L251">
        <v>45718</v>
      </c>
      <c r="M251" t="s">
        <v>65</v>
      </c>
    </row>
    <row r="252" spans="1:13" x14ac:dyDescent="0.3">
      <c r="A252" t="s">
        <v>981</v>
      </c>
      <c r="B252" t="s">
        <v>46</v>
      </c>
      <c r="C252" t="s">
        <v>26</v>
      </c>
      <c r="D252" t="s">
        <v>47</v>
      </c>
      <c r="E252">
        <v>3032</v>
      </c>
      <c r="F252" t="s">
        <v>982</v>
      </c>
      <c r="G252" t="s">
        <v>983</v>
      </c>
      <c r="H252" t="s">
        <v>983</v>
      </c>
      <c r="I252" t="s">
        <v>51</v>
      </c>
      <c r="J252" t="s">
        <v>52</v>
      </c>
      <c r="L252">
        <v>45708</v>
      </c>
      <c r="M252" t="s">
        <v>261</v>
      </c>
    </row>
    <row r="253" spans="1:13" x14ac:dyDescent="0.3">
      <c r="A253" t="s">
        <v>984</v>
      </c>
      <c r="B253" t="s">
        <v>37</v>
      </c>
      <c r="C253" t="s">
        <v>26</v>
      </c>
      <c r="D253" t="s">
        <v>136</v>
      </c>
      <c r="E253">
        <v>3039</v>
      </c>
      <c r="F253" t="s">
        <v>985</v>
      </c>
      <c r="G253" t="s">
        <v>986</v>
      </c>
      <c r="H253" t="s">
        <v>986</v>
      </c>
      <c r="I253" t="s">
        <v>15</v>
      </c>
      <c r="J253" t="s">
        <v>14</v>
      </c>
      <c r="L253">
        <v>45695</v>
      </c>
      <c r="M253" t="s">
        <v>987</v>
      </c>
    </row>
    <row r="254" spans="1:13" x14ac:dyDescent="0.3">
      <c r="A254" t="s">
        <v>988</v>
      </c>
      <c r="B254" t="s">
        <v>37</v>
      </c>
      <c r="C254" t="s">
        <v>26</v>
      </c>
      <c r="D254" t="s">
        <v>97</v>
      </c>
      <c r="E254">
        <v>3036</v>
      </c>
      <c r="F254" t="s">
        <v>989</v>
      </c>
      <c r="G254" t="s">
        <v>990</v>
      </c>
      <c r="H254" t="s">
        <v>991</v>
      </c>
      <c r="I254" t="s">
        <v>100</v>
      </c>
      <c r="J254" t="s">
        <v>101</v>
      </c>
      <c r="L254">
        <v>45664</v>
      </c>
      <c r="M254" t="s">
        <v>128</v>
      </c>
    </row>
    <row r="255" spans="1:13" x14ac:dyDescent="0.3">
      <c r="A255" t="s">
        <v>992</v>
      </c>
      <c r="B255" t="s">
        <v>46</v>
      </c>
      <c r="C255" t="s">
        <v>25</v>
      </c>
      <c r="D255" t="s">
        <v>118</v>
      </c>
      <c r="E255">
        <v>3038</v>
      </c>
      <c r="F255" t="s">
        <v>993</v>
      </c>
      <c r="G255" t="s">
        <v>994</v>
      </c>
      <c r="H255" t="s">
        <v>994</v>
      </c>
      <c r="I255" t="s">
        <v>122</v>
      </c>
      <c r="J255" t="s">
        <v>123</v>
      </c>
      <c r="K255" t="s">
        <v>21</v>
      </c>
      <c r="L255">
        <v>45741</v>
      </c>
      <c r="M255" t="s">
        <v>95</v>
      </c>
    </row>
    <row r="256" spans="1:13" x14ac:dyDescent="0.3">
      <c r="A256" t="s">
        <v>995</v>
      </c>
      <c r="B256" t="s">
        <v>46</v>
      </c>
      <c r="C256" t="s">
        <v>24</v>
      </c>
      <c r="D256" t="s">
        <v>104</v>
      </c>
      <c r="E256">
        <v>3037</v>
      </c>
      <c r="F256" t="s">
        <v>996</v>
      </c>
      <c r="G256" t="s">
        <v>997</v>
      </c>
      <c r="H256" t="s">
        <v>998</v>
      </c>
      <c r="I256" t="s">
        <v>12</v>
      </c>
      <c r="J256" t="s">
        <v>13</v>
      </c>
      <c r="L256">
        <v>45720</v>
      </c>
      <c r="M256" t="s">
        <v>224</v>
      </c>
    </row>
    <row r="257" spans="1:13" x14ac:dyDescent="0.3">
      <c r="A257" t="s">
        <v>999</v>
      </c>
      <c r="B257" t="s">
        <v>46</v>
      </c>
      <c r="C257" t="s">
        <v>25</v>
      </c>
      <c r="D257" t="s">
        <v>71</v>
      </c>
      <c r="E257">
        <v>3034</v>
      </c>
      <c r="F257" t="s">
        <v>1000</v>
      </c>
      <c r="G257" t="s">
        <v>1001</v>
      </c>
      <c r="H257" t="s">
        <v>1001</v>
      </c>
      <c r="I257" t="s">
        <v>74</v>
      </c>
      <c r="J257" t="s">
        <v>75</v>
      </c>
      <c r="L257">
        <v>45730</v>
      </c>
      <c r="M257" t="s">
        <v>165</v>
      </c>
    </row>
    <row r="258" spans="1:13" x14ac:dyDescent="0.3">
      <c r="A258" t="s">
        <v>1002</v>
      </c>
      <c r="B258" t="s">
        <v>46</v>
      </c>
      <c r="C258" t="s">
        <v>26</v>
      </c>
      <c r="D258" t="s">
        <v>118</v>
      </c>
      <c r="E258">
        <v>3038</v>
      </c>
      <c r="F258" t="s">
        <v>1003</v>
      </c>
      <c r="G258" t="s">
        <v>1004</v>
      </c>
      <c r="H258" t="s">
        <v>1005</v>
      </c>
      <c r="I258" t="s">
        <v>122</v>
      </c>
      <c r="J258" t="s">
        <v>123</v>
      </c>
      <c r="L258">
        <v>45693</v>
      </c>
      <c r="M258" t="s">
        <v>344</v>
      </c>
    </row>
    <row r="259" spans="1:13" x14ac:dyDescent="0.3">
      <c r="A259" t="s">
        <v>1006</v>
      </c>
      <c r="B259" t="s">
        <v>46</v>
      </c>
      <c r="C259" t="s">
        <v>24</v>
      </c>
      <c r="D259" t="s">
        <v>78</v>
      </c>
      <c r="E259">
        <v>3035</v>
      </c>
      <c r="F259" t="s">
        <v>1007</v>
      </c>
      <c r="G259" t="s">
        <v>1008</v>
      </c>
      <c r="H259" t="s">
        <v>1008</v>
      </c>
      <c r="I259" t="s">
        <v>81</v>
      </c>
      <c r="J259" t="s">
        <v>82</v>
      </c>
      <c r="K259" t="s">
        <v>21</v>
      </c>
      <c r="L259">
        <v>45659</v>
      </c>
      <c r="M259" t="s">
        <v>205</v>
      </c>
    </row>
    <row r="260" spans="1:13" x14ac:dyDescent="0.3">
      <c r="A260" t="s">
        <v>1009</v>
      </c>
      <c r="B260" t="s">
        <v>37</v>
      </c>
      <c r="C260" t="s">
        <v>26</v>
      </c>
      <c r="D260" t="s">
        <v>38</v>
      </c>
      <c r="E260">
        <v>3031</v>
      </c>
      <c r="F260" t="s">
        <v>1010</v>
      </c>
      <c r="G260" t="s">
        <v>1011</v>
      </c>
      <c r="H260" t="s">
        <v>1012</v>
      </c>
      <c r="I260" t="s">
        <v>42</v>
      </c>
      <c r="J260" t="s">
        <v>43</v>
      </c>
      <c r="L260">
        <v>45666</v>
      </c>
      <c r="M260" t="s">
        <v>287</v>
      </c>
    </row>
    <row r="261" spans="1:13" x14ac:dyDescent="0.3">
      <c r="A261" t="s">
        <v>1013</v>
      </c>
      <c r="B261" t="s">
        <v>37</v>
      </c>
      <c r="C261" t="s">
        <v>25</v>
      </c>
      <c r="D261" t="s">
        <v>104</v>
      </c>
      <c r="E261">
        <v>3037</v>
      </c>
      <c r="F261" t="s">
        <v>1014</v>
      </c>
      <c r="G261" t="s">
        <v>1015</v>
      </c>
      <c r="H261" t="s">
        <v>1015</v>
      </c>
      <c r="I261" t="s">
        <v>12</v>
      </c>
      <c r="J261" t="s">
        <v>13</v>
      </c>
      <c r="K261" t="s">
        <v>21</v>
      </c>
      <c r="L261">
        <v>45695</v>
      </c>
      <c r="M261" t="s">
        <v>107</v>
      </c>
    </row>
    <row r="262" spans="1:13" x14ac:dyDescent="0.3">
      <c r="A262" t="s">
        <v>1016</v>
      </c>
      <c r="B262" t="s">
        <v>46</v>
      </c>
      <c r="C262" t="s">
        <v>26</v>
      </c>
      <c r="D262" t="s">
        <v>207</v>
      </c>
      <c r="E262">
        <v>3041</v>
      </c>
      <c r="F262" t="s">
        <v>1017</v>
      </c>
      <c r="G262" t="s">
        <v>1018</v>
      </c>
      <c r="H262" t="s">
        <v>1018</v>
      </c>
      <c r="I262" t="s">
        <v>211</v>
      </c>
      <c r="J262" t="s">
        <v>14</v>
      </c>
      <c r="L262">
        <v>45717</v>
      </c>
      <c r="M262" t="s">
        <v>363</v>
      </c>
    </row>
    <row r="263" spans="1:13" x14ac:dyDescent="0.3">
      <c r="A263" t="s">
        <v>1019</v>
      </c>
      <c r="B263" t="s">
        <v>46</v>
      </c>
      <c r="C263" t="s">
        <v>24</v>
      </c>
      <c r="D263" t="s">
        <v>38</v>
      </c>
      <c r="E263">
        <v>3031</v>
      </c>
      <c r="F263" t="s">
        <v>1020</v>
      </c>
      <c r="G263" t="s">
        <v>1021</v>
      </c>
      <c r="H263" t="s">
        <v>1021</v>
      </c>
      <c r="I263" t="s">
        <v>42</v>
      </c>
      <c r="J263" t="s">
        <v>43</v>
      </c>
      <c r="K263" t="s">
        <v>21</v>
      </c>
      <c r="L263">
        <v>45708</v>
      </c>
      <c r="M263" t="s">
        <v>287</v>
      </c>
    </row>
    <row r="264" spans="1:13" x14ac:dyDescent="0.3">
      <c r="A264" t="s">
        <v>1022</v>
      </c>
      <c r="B264" t="s">
        <v>37</v>
      </c>
      <c r="C264" t="s">
        <v>22</v>
      </c>
      <c r="D264" t="s">
        <v>47</v>
      </c>
      <c r="E264">
        <v>3032</v>
      </c>
      <c r="F264" t="s">
        <v>387</v>
      </c>
      <c r="G264" t="s">
        <v>1023</v>
      </c>
      <c r="H264" t="s">
        <v>1024</v>
      </c>
      <c r="I264" t="s">
        <v>51</v>
      </c>
      <c r="J264" t="s">
        <v>52</v>
      </c>
      <c r="L264">
        <v>45684</v>
      </c>
      <c r="M264" t="s">
        <v>542</v>
      </c>
    </row>
    <row r="265" spans="1:13" x14ac:dyDescent="0.3">
      <c r="A265" t="s">
        <v>1025</v>
      </c>
      <c r="B265" t="s">
        <v>37</v>
      </c>
      <c r="C265" t="s">
        <v>22</v>
      </c>
      <c r="D265" t="s">
        <v>207</v>
      </c>
      <c r="E265">
        <v>3041</v>
      </c>
      <c r="F265" t="s">
        <v>1026</v>
      </c>
      <c r="G265" t="s">
        <v>1027</v>
      </c>
      <c r="H265" t="s">
        <v>1028</v>
      </c>
      <c r="I265" t="s">
        <v>211</v>
      </c>
      <c r="J265" t="s">
        <v>14</v>
      </c>
      <c r="L265">
        <v>45693</v>
      </c>
      <c r="M265" t="s">
        <v>300</v>
      </c>
    </row>
    <row r="266" spans="1:13" x14ac:dyDescent="0.3">
      <c r="A266" t="s">
        <v>1029</v>
      </c>
      <c r="B266" t="s">
        <v>46</v>
      </c>
      <c r="C266" t="s">
        <v>26</v>
      </c>
      <c r="D266" t="s">
        <v>38</v>
      </c>
      <c r="E266">
        <v>3031</v>
      </c>
      <c r="F266" t="s">
        <v>1030</v>
      </c>
      <c r="G266" t="s">
        <v>1031</v>
      </c>
      <c r="H266" t="s">
        <v>1032</v>
      </c>
      <c r="I266" t="s">
        <v>42</v>
      </c>
      <c r="J266" t="s">
        <v>43</v>
      </c>
      <c r="L266">
        <v>45662</v>
      </c>
      <c r="M266" t="s">
        <v>44</v>
      </c>
    </row>
    <row r="267" spans="1:13" x14ac:dyDescent="0.3">
      <c r="A267" t="s">
        <v>1033</v>
      </c>
      <c r="B267" t="s">
        <v>37</v>
      </c>
      <c r="C267" t="s">
        <v>25</v>
      </c>
      <c r="D267" t="s">
        <v>191</v>
      </c>
      <c r="E267">
        <v>3040</v>
      </c>
      <c r="F267" t="s">
        <v>1034</v>
      </c>
      <c r="G267" t="s">
        <v>1035</v>
      </c>
      <c r="H267" t="s">
        <v>1035</v>
      </c>
      <c r="I267" t="s">
        <v>194</v>
      </c>
      <c r="J267" t="s">
        <v>13</v>
      </c>
      <c r="K267" t="s">
        <v>21</v>
      </c>
      <c r="L267">
        <v>45698</v>
      </c>
      <c r="M267" t="s">
        <v>224</v>
      </c>
    </row>
    <row r="268" spans="1:13" x14ac:dyDescent="0.3">
      <c r="A268" t="s">
        <v>1036</v>
      </c>
      <c r="B268" t="s">
        <v>37</v>
      </c>
      <c r="C268" t="s">
        <v>24</v>
      </c>
      <c r="D268" t="s">
        <v>444</v>
      </c>
      <c r="E268">
        <v>3042</v>
      </c>
      <c r="F268" t="s">
        <v>1037</v>
      </c>
      <c r="G268" t="s">
        <v>1038</v>
      </c>
      <c r="H268" t="s">
        <v>1039</v>
      </c>
      <c r="I268" t="s">
        <v>448</v>
      </c>
      <c r="J268" t="s">
        <v>449</v>
      </c>
      <c r="L268">
        <v>45696</v>
      </c>
      <c r="M268" t="s">
        <v>107</v>
      </c>
    </row>
    <row r="269" spans="1:13" x14ac:dyDescent="0.3">
      <c r="A269" t="s">
        <v>1040</v>
      </c>
      <c r="B269" t="s">
        <v>46</v>
      </c>
      <c r="C269" t="s">
        <v>26</v>
      </c>
      <c r="D269" t="s">
        <v>38</v>
      </c>
      <c r="E269">
        <v>3031</v>
      </c>
      <c r="F269" t="s">
        <v>1041</v>
      </c>
      <c r="G269" t="s">
        <v>1042</v>
      </c>
      <c r="H269" t="s">
        <v>1042</v>
      </c>
      <c r="I269" t="s">
        <v>42</v>
      </c>
      <c r="J269" t="s">
        <v>43</v>
      </c>
      <c r="K269" t="s">
        <v>21</v>
      </c>
      <c r="L269">
        <v>45712</v>
      </c>
      <c r="M269" t="s">
        <v>287</v>
      </c>
    </row>
    <row r="270" spans="1:13" x14ac:dyDescent="0.3">
      <c r="A270" t="s">
        <v>1043</v>
      </c>
      <c r="B270" t="s">
        <v>37</v>
      </c>
      <c r="C270" t="s">
        <v>26</v>
      </c>
      <c r="D270" t="s">
        <v>38</v>
      </c>
      <c r="E270">
        <v>3031</v>
      </c>
      <c r="F270" t="s">
        <v>919</v>
      </c>
      <c r="G270" t="s">
        <v>1044</v>
      </c>
      <c r="H270" t="s">
        <v>1045</v>
      </c>
      <c r="I270" t="s">
        <v>42</v>
      </c>
      <c r="J270" t="s">
        <v>43</v>
      </c>
      <c r="L270">
        <v>45697</v>
      </c>
      <c r="M270" t="s">
        <v>128</v>
      </c>
    </row>
    <row r="271" spans="1:13" x14ac:dyDescent="0.3">
      <c r="A271" t="s">
        <v>1046</v>
      </c>
      <c r="B271" t="s">
        <v>46</v>
      </c>
      <c r="C271" t="s">
        <v>25</v>
      </c>
      <c r="D271" t="s">
        <v>78</v>
      </c>
      <c r="E271">
        <v>3035</v>
      </c>
      <c r="F271" t="s">
        <v>1047</v>
      </c>
      <c r="G271" t="s">
        <v>1048</v>
      </c>
      <c r="H271" t="s">
        <v>1049</v>
      </c>
      <c r="I271" t="s">
        <v>81</v>
      </c>
      <c r="J271" t="s">
        <v>82</v>
      </c>
      <c r="K271" t="s">
        <v>21</v>
      </c>
      <c r="L271">
        <v>45709</v>
      </c>
      <c r="M271" t="s">
        <v>69</v>
      </c>
    </row>
    <row r="272" spans="1:13" x14ac:dyDescent="0.3">
      <c r="A272" t="s">
        <v>1050</v>
      </c>
      <c r="B272" t="s">
        <v>37</v>
      </c>
      <c r="C272" t="s">
        <v>24</v>
      </c>
      <c r="D272" t="s">
        <v>55</v>
      </c>
      <c r="E272">
        <v>3033</v>
      </c>
      <c r="F272" t="s">
        <v>1051</v>
      </c>
      <c r="G272" t="s">
        <v>1052</v>
      </c>
      <c r="H272" t="s">
        <v>1053</v>
      </c>
      <c r="I272" t="s">
        <v>58</v>
      </c>
      <c r="J272" t="s">
        <v>59</v>
      </c>
      <c r="K272" t="s">
        <v>21</v>
      </c>
      <c r="L272">
        <v>45702</v>
      </c>
      <c r="M272" t="s">
        <v>86</v>
      </c>
    </row>
    <row r="273" spans="1:13" x14ac:dyDescent="0.3">
      <c r="A273" t="s">
        <v>1054</v>
      </c>
      <c r="B273" t="s">
        <v>37</v>
      </c>
      <c r="C273" t="s">
        <v>26</v>
      </c>
      <c r="D273" t="s">
        <v>47</v>
      </c>
      <c r="E273">
        <v>3032</v>
      </c>
      <c r="F273" t="s">
        <v>1055</v>
      </c>
      <c r="G273" t="s">
        <v>1056</v>
      </c>
      <c r="H273" t="s">
        <v>1056</v>
      </c>
      <c r="I273" t="s">
        <v>51</v>
      </c>
      <c r="J273" t="s">
        <v>52</v>
      </c>
      <c r="K273" t="s">
        <v>21</v>
      </c>
      <c r="L273">
        <v>45680</v>
      </c>
      <c r="M273" t="s">
        <v>656</v>
      </c>
    </row>
    <row r="274" spans="1:13" x14ac:dyDescent="0.3">
      <c r="A274" t="s">
        <v>1057</v>
      </c>
      <c r="B274" t="s">
        <v>37</v>
      </c>
      <c r="C274" t="s">
        <v>22</v>
      </c>
      <c r="D274" t="s">
        <v>136</v>
      </c>
      <c r="E274">
        <v>3039</v>
      </c>
      <c r="F274" t="s">
        <v>1058</v>
      </c>
      <c r="G274" t="s">
        <v>1059</v>
      </c>
      <c r="H274" t="s">
        <v>1060</v>
      </c>
      <c r="I274" t="s">
        <v>15</v>
      </c>
      <c r="J274" t="s">
        <v>14</v>
      </c>
      <c r="K274" t="s">
        <v>21</v>
      </c>
      <c r="L274">
        <v>45733</v>
      </c>
      <c r="M274" t="s">
        <v>987</v>
      </c>
    </row>
    <row r="275" spans="1:13" x14ac:dyDescent="0.3">
      <c r="A275" t="s">
        <v>1061</v>
      </c>
      <c r="B275" t="s">
        <v>37</v>
      </c>
      <c r="C275" t="s">
        <v>24</v>
      </c>
      <c r="D275" t="s">
        <v>136</v>
      </c>
      <c r="E275">
        <v>3039</v>
      </c>
      <c r="F275" t="s">
        <v>1062</v>
      </c>
      <c r="G275" t="s">
        <v>1063</v>
      </c>
      <c r="H275" t="s">
        <v>1064</v>
      </c>
      <c r="I275" t="s">
        <v>15</v>
      </c>
      <c r="J275" t="s">
        <v>14</v>
      </c>
      <c r="K275" t="s">
        <v>21</v>
      </c>
      <c r="L275">
        <v>45732</v>
      </c>
      <c r="M275" t="s">
        <v>200</v>
      </c>
    </row>
    <row r="276" spans="1:13" x14ac:dyDescent="0.3">
      <c r="A276" t="s">
        <v>1065</v>
      </c>
      <c r="B276" t="s">
        <v>46</v>
      </c>
      <c r="C276" t="s">
        <v>26</v>
      </c>
      <c r="D276" t="s">
        <v>191</v>
      </c>
      <c r="E276">
        <v>3040</v>
      </c>
      <c r="F276" t="s">
        <v>1066</v>
      </c>
      <c r="G276" t="s">
        <v>1067</v>
      </c>
      <c r="H276" t="s">
        <v>1068</v>
      </c>
      <c r="I276" t="s">
        <v>194</v>
      </c>
      <c r="J276" t="s">
        <v>13</v>
      </c>
      <c r="K276" t="s">
        <v>21</v>
      </c>
      <c r="L276">
        <v>45672</v>
      </c>
      <c r="M276" t="s">
        <v>321</v>
      </c>
    </row>
    <row r="277" spans="1:13" x14ac:dyDescent="0.3">
      <c r="A277" t="s">
        <v>1069</v>
      </c>
      <c r="B277" t="s">
        <v>37</v>
      </c>
      <c r="C277" t="s">
        <v>22</v>
      </c>
      <c r="D277" t="s">
        <v>55</v>
      </c>
      <c r="E277">
        <v>3033</v>
      </c>
      <c r="F277" t="s">
        <v>1070</v>
      </c>
      <c r="G277" t="s">
        <v>1071</v>
      </c>
      <c r="H277" t="s">
        <v>1071</v>
      </c>
      <c r="I277" t="s">
        <v>58</v>
      </c>
      <c r="J277" t="s">
        <v>59</v>
      </c>
      <c r="L277">
        <v>45740</v>
      </c>
      <c r="M277" t="s">
        <v>95</v>
      </c>
    </row>
    <row r="278" spans="1:13" x14ac:dyDescent="0.3">
      <c r="A278" t="s">
        <v>1072</v>
      </c>
      <c r="B278" t="s">
        <v>37</v>
      </c>
      <c r="C278" t="s">
        <v>24</v>
      </c>
      <c r="D278" t="s">
        <v>118</v>
      </c>
      <c r="E278">
        <v>3038</v>
      </c>
      <c r="F278" t="s">
        <v>1073</v>
      </c>
      <c r="G278" t="s">
        <v>1074</v>
      </c>
      <c r="H278" t="s">
        <v>1074</v>
      </c>
      <c r="I278" t="s">
        <v>122</v>
      </c>
      <c r="J278" t="s">
        <v>123</v>
      </c>
      <c r="K278" t="s">
        <v>21</v>
      </c>
      <c r="L278">
        <v>45670</v>
      </c>
      <c r="M278" t="s">
        <v>389</v>
      </c>
    </row>
    <row r="279" spans="1:13" x14ac:dyDescent="0.3">
      <c r="A279" t="s">
        <v>1075</v>
      </c>
      <c r="B279" t="s">
        <v>46</v>
      </c>
      <c r="C279" t="s">
        <v>24</v>
      </c>
      <c r="D279" t="s">
        <v>191</v>
      </c>
      <c r="E279">
        <v>3040</v>
      </c>
      <c r="F279" t="s">
        <v>119</v>
      </c>
      <c r="G279" t="s">
        <v>1076</v>
      </c>
      <c r="H279" t="s">
        <v>1076</v>
      </c>
      <c r="I279" t="s">
        <v>194</v>
      </c>
      <c r="J279" t="s">
        <v>13</v>
      </c>
      <c r="L279">
        <v>45745</v>
      </c>
      <c r="M279" t="s">
        <v>321</v>
      </c>
    </row>
    <row r="280" spans="1:13" x14ac:dyDescent="0.3">
      <c r="A280" t="s">
        <v>1077</v>
      </c>
      <c r="B280" t="s">
        <v>46</v>
      </c>
      <c r="C280" t="s">
        <v>26</v>
      </c>
      <c r="D280" t="s">
        <v>38</v>
      </c>
      <c r="E280">
        <v>3031</v>
      </c>
      <c r="F280" t="s">
        <v>1078</v>
      </c>
      <c r="G280" t="s">
        <v>1079</v>
      </c>
      <c r="H280" t="s">
        <v>1079</v>
      </c>
      <c r="I280" t="s">
        <v>42</v>
      </c>
      <c r="J280" t="s">
        <v>43</v>
      </c>
      <c r="K280" t="s">
        <v>21</v>
      </c>
      <c r="L280">
        <v>45724</v>
      </c>
      <c r="M280" t="s">
        <v>65</v>
      </c>
    </row>
    <row r="281" spans="1:13" x14ac:dyDescent="0.3">
      <c r="A281" t="s">
        <v>1080</v>
      </c>
      <c r="B281" t="s">
        <v>46</v>
      </c>
      <c r="C281" t="s">
        <v>25</v>
      </c>
      <c r="D281" t="s">
        <v>78</v>
      </c>
      <c r="E281">
        <v>3035</v>
      </c>
      <c r="F281" t="s">
        <v>1081</v>
      </c>
      <c r="G281" t="s">
        <v>1082</v>
      </c>
      <c r="H281" t="s">
        <v>1083</v>
      </c>
      <c r="I281" t="s">
        <v>81</v>
      </c>
      <c r="J281" t="s">
        <v>82</v>
      </c>
      <c r="L281">
        <v>45720</v>
      </c>
      <c r="M281" t="s">
        <v>205</v>
      </c>
    </row>
    <row r="282" spans="1:13" x14ac:dyDescent="0.3">
      <c r="A282" t="s">
        <v>1084</v>
      </c>
      <c r="B282" t="s">
        <v>37</v>
      </c>
      <c r="C282" t="s">
        <v>22</v>
      </c>
      <c r="D282" t="s">
        <v>444</v>
      </c>
      <c r="E282">
        <v>3042</v>
      </c>
      <c r="F282" t="s">
        <v>1085</v>
      </c>
      <c r="G282" t="s">
        <v>1086</v>
      </c>
      <c r="H282" t="s">
        <v>1087</v>
      </c>
      <c r="I282" t="s">
        <v>448</v>
      </c>
      <c r="J282" t="s">
        <v>449</v>
      </c>
      <c r="L282">
        <v>45720</v>
      </c>
      <c r="M282" t="s">
        <v>722</v>
      </c>
    </row>
    <row r="283" spans="1:13" x14ac:dyDescent="0.3">
      <c r="A283" t="s">
        <v>1088</v>
      </c>
      <c r="B283" t="s">
        <v>37</v>
      </c>
      <c r="C283" t="s">
        <v>25</v>
      </c>
      <c r="D283" t="s">
        <v>136</v>
      </c>
      <c r="E283">
        <v>3039</v>
      </c>
      <c r="F283" t="s">
        <v>1089</v>
      </c>
      <c r="G283" t="s">
        <v>1090</v>
      </c>
      <c r="H283" t="s">
        <v>1091</v>
      </c>
      <c r="I283" t="s">
        <v>15</v>
      </c>
      <c r="J283" t="s">
        <v>14</v>
      </c>
      <c r="K283" t="s">
        <v>21</v>
      </c>
      <c r="L283">
        <v>45695</v>
      </c>
      <c r="M283" t="s">
        <v>987</v>
      </c>
    </row>
    <row r="284" spans="1:13" x14ac:dyDescent="0.3">
      <c r="A284" t="s">
        <v>1092</v>
      </c>
      <c r="B284" t="s">
        <v>37</v>
      </c>
      <c r="C284" t="s">
        <v>26</v>
      </c>
      <c r="D284" t="s">
        <v>207</v>
      </c>
      <c r="E284">
        <v>3041</v>
      </c>
      <c r="F284" t="s">
        <v>1093</v>
      </c>
      <c r="G284" t="s">
        <v>1094</v>
      </c>
      <c r="H284" t="s">
        <v>1095</v>
      </c>
      <c r="I284" t="s">
        <v>211</v>
      </c>
      <c r="J284" t="s">
        <v>14</v>
      </c>
      <c r="L284">
        <v>45732</v>
      </c>
      <c r="M284" t="s">
        <v>577</v>
      </c>
    </row>
    <row r="285" spans="1:13" x14ac:dyDescent="0.3">
      <c r="A285" t="s">
        <v>1096</v>
      </c>
      <c r="B285" t="s">
        <v>46</v>
      </c>
      <c r="C285" t="s">
        <v>26</v>
      </c>
      <c r="D285" t="s">
        <v>104</v>
      </c>
      <c r="E285">
        <v>3037</v>
      </c>
      <c r="F285" t="s">
        <v>1097</v>
      </c>
      <c r="G285" t="s">
        <v>1098</v>
      </c>
      <c r="H285" t="s">
        <v>1099</v>
      </c>
      <c r="I285" t="s">
        <v>12</v>
      </c>
      <c r="J285" t="s">
        <v>13</v>
      </c>
      <c r="L285">
        <v>45692</v>
      </c>
      <c r="M285" t="s">
        <v>287</v>
      </c>
    </row>
    <row r="286" spans="1:13" x14ac:dyDescent="0.3">
      <c r="A286" t="s">
        <v>1100</v>
      </c>
      <c r="B286" t="s">
        <v>37</v>
      </c>
      <c r="C286" t="s">
        <v>22</v>
      </c>
      <c r="D286" t="s">
        <v>118</v>
      </c>
      <c r="E286">
        <v>3038</v>
      </c>
      <c r="F286" t="s">
        <v>1101</v>
      </c>
      <c r="G286" t="s">
        <v>1102</v>
      </c>
      <c r="H286" t="s">
        <v>1102</v>
      </c>
      <c r="I286" t="s">
        <v>122</v>
      </c>
      <c r="J286" t="s">
        <v>123</v>
      </c>
      <c r="L286">
        <v>45739</v>
      </c>
      <c r="M286" t="s">
        <v>200</v>
      </c>
    </row>
    <row r="287" spans="1:13" x14ac:dyDescent="0.3">
      <c r="A287" t="s">
        <v>1103</v>
      </c>
      <c r="B287" t="s">
        <v>46</v>
      </c>
      <c r="C287" t="s">
        <v>26</v>
      </c>
      <c r="D287" t="s">
        <v>71</v>
      </c>
      <c r="E287">
        <v>3034</v>
      </c>
      <c r="F287" t="s">
        <v>1104</v>
      </c>
      <c r="G287" t="s">
        <v>1105</v>
      </c>
      <c r="H287" t="s">
        <v>1106</v>
      </c>
      <c r="I287" t="s">
        <v>74</v>
      </c>
      <c r="J287" t="s">
        <v>75</v>
      </c>
      <c r="K287" t="s">
        <v>21</v>
      </c>
      <c r="L287">
        <v>45658</v>
      </c>
      <c r="M287" t="s">
        <v>76</v>
      </c>
    </row>
    <row r="288" spans="1:13" x14ac:dyDescent="0.3">
      <c r="A288" t="s">
        <v>1107</v>
      </c>
      <c r="B288" t="s">
        <v>37</v>
      </c>
      <c r="C288" t="s">
        <v>26</v>
      </c>
      <c r="D288" t="s">
        <v>38</v>
      </c>
      <c r="E288">
        <v>3031</v>
      </c>
      <c r="F288" t="s">
        <v>1108</v>
      </c>
      <c r="G288" t="s">
        <v>1109</v>
      </c>
      <c r="H288" t="s">
        <v>1109</v>
      </c>
      <c r="I288" t="s">
        <v>42</v>
      </c>
      <c r="J288" t="s">
        <v>43</v>
      </c>
      <c r="K288" t="s">
        <v>21</v>
      </c>
      <c r="L288">
        <v>45665</v>
      </c>
      <c r="M288" t="s">
        <v>76</v>
      </c>
    </row>
    <row r="289" spans="1:13" x14ac:dyDescent="0.3">
      <c r="A289" t="s">
        <v>1110</v>
      </c>
      <c r="B289" t="s">
        <v>37</v>
      </c>
      <c r="C289" t="s">
        <v>24</v>
      </c>
      <c r="D289" t="s">
        <v>47</v>
      </c>
      <c r="E289">
        <v>3032</v>
      </c>
      <c r="F289" t="s">
        <v>1111</v>
      </c>
      <c r="G289" t="s">
        <v>1112</v>
      </c>
      <c r="H289" t="s">
        <v>1112</v>
      </c>
      <c r="I289" t="s">
        <v>51</v>
      </c>
      <c r="J289" t="s">
        <v>52</v>
      </c>
      <c r="L289">
        <v>45674</v>
      </c>
      <c r="M289" t="s">
        <v>53</v>
      </c>
    </row>
    <row r="290" spans="1:13" x14ac:dyDescent="0.3">
      <c r="A290" t="s">
        <v>1113</v>
      </c>
      <c r="B290" t="s">
        <v>46</v>
      </c>
      <c r="C290" t="s">
        <v>22</v>
      </c>
      <c r="D290" t="s">
        <v>444</v>
      </c>
      <c r="E290">
        <v>3042</v>
      </c>
      <c r="F290" t="s">
        <v>1114</v>
      </c>
      <c r="G290" t="s">
        <v>1115</v>
      </c>
      <c r="H290" t="s">
        <v>1115</v>
      </c>
      <c r="I290" t="s">
        <v>448</v>
      </c>
      <c r="J290" t="s">
        <v>449</v>
      </c>
      <c r="L290">
        <v>45726</v>
      </c>
      <c r="M290" t="s">
        <v>722</v>
      </c>
    </row>
    <row r="291" spans="1:13" x14ac:dyDescent="0.3">
      <c r="A291" t="s">
        <v>1116</v>
      </c>
      <c r="B291" t="s">
        <v>46</v>
      </c>
      <c r="C291" t="s">
        <v>25</v>
      </c>
      <c r="D291" t="s">
        <v>118</v>
      </c>
      <c r="E291">
        <v>3038</v>
      </c>
      <c r="F291" t="s">
        <v>1117</v>
      </c>
      <c r="G291" t="s">
        <v>1118</v>
      </c>
      <c r="H291" t="s">
        <v>1119</v>
      </c>
      <c r="I291" t="s">
        <v>122</v>
      </c>
      <c r="J291" t="s">
        <v>123</v>
      </c>
      <c r="L291">
        <v>45730</v>
      </c>
      <c r="M291" t="s">
        <v>124</v>
      </c>
    </row>
    <row r="292" spans="1:13" x14ac:dyDescent="0.3">
      <c r="A292" t="s">
        <v>1120</v>
      </c>
      <c r="B292" t="s">
        <v>46</v>
      </c>
      <c r="C292" t="s">
        <v>26</v>
      </c>
      <c r="D292" t="s">
        <v>444</v>
      </c>
      <c r="E292">
        <v>3042</v>
      </c>
      <c r="F292" t="s">
        <v>1121</v>
      </c>
      <c r="G292" t="s">
        <v>1122</v>
      </c>
      <c r="H292" t="s">
        <v>1123</v>
      </c>
      <c r="I292" t="s">
        <v>448</v>
      </c>
      <c r="J292" t="s">
        <v>449</v>
      </c>
      <c r="K292" t="s">
        <v>21</v>
      </c>
      <c r="L292">
        <v>45678</v>
      </c>
      <c r="M292" t="s">
        <v>450</v>
      </c>
    </row>
    <row r="293" spans="1:13" x14ac:dyDescent="0.3">
      <c r="A293" t="s">
        <v>1124</v>
      </c>
      <c r="B293" t="s">
        <v>37</v>
      </c>
      <c r="C293" t="s">
        <v>25</v>
      </c>
      <c r="D293" t="s">
        <v>191</v>
      </c>
      <c r="E293">
        <v>3040</v>
      </c>
      <c r="F293" t="s">
        <v>1125</v>
      </c>
      <c r="G293" t="s">
        <v>1126</v>
      </c>
      <c r="H293" t="s">
        <v>1127</v>
      </c>
      <c r="I293" t="s">
        <v>194</v>
      </c>
      <c r="J293" t="s">
        <v>13</v>
      </c>
      <c r="L293">
        <v>45674</v>
      </c>
      <c r="M293" t="s">
        <v>300</v>
      </c>
    </row>
    <row r="294" spans="1:13" x14ac:dyDescent="0.3">
      <c r="A294" t="s">
        <v>1128</v>
      </c>
      <c r="B294" t="s">
        <v>37</v>
      </c>
      <c r="C294" t="s">
        <v>25</v>
      </c>
      <c r="D294" t="s">
        <v>191</v>
      </c>
      <c r="E294">
        <v>3040</v>
      </c>
      <c r="F294" t="s">
        <v>1129</v>
      </c>
      <c r="G294" t="s">
        <v>1130</v>
      </c>
      <c r="H294" t="s">
        <v>1130</v>
      </c>
      <c r="I294" t="s">
        <v>194</v>
      </c>
      <c r="J294" t="s">
        <v>13</v>
      </c>
      <c r="K294" t="s">
        <v>21</v>
      </c>
      <c r="L294">
        <v>45665</v>
      </c>
      <c r="M294" t="s">
        <v>224</v>
      </c>
    </row>
    <row r="295" spans="1:13" x14ac:dyDescent="0.3">
      <c r="A295" t="s">
        <v>1131</v>
      </c>
      <c r="B295" t="s">
        <v>46</v>
      </c>
      <c r="C295" t="s">
        <v>25</v>
      </c>
      <c r="D295" t="s">
        <v>104</v>
      </c>
      <c r="E295">
        <v>3037</v>
      </c>
      <c r="F295" t="s">
        <v>1132</v>
      </c>
      <c r="G295" t="s">
        <v>1133</v>
      </c>
      <c r="H295" t="s">
        <v>1133</v>
      </c>
      <c r="I295" t="s">
        <v>12</v>
      </c>
      <c r="J295" t="s">
        <v>13</v>
      </c>
      <c r="L295">
        <v>45711</v>
      </c>
      <c r="M295" t="s">
        <v>287</v>
      </c>
    </row>
    <row r="296" spans="1:13" x14ac:dyDescent="0.3">
      <c r="A296" t="s">
        <v>1134</v>
      </c>
      <c r="B296" t="s">
        <v>37</v>
      </c>
      <c r="C296" t="s">
        <v>25</v>
      </c>
      <c r="D296" t="s">
        <v>55</v>
      </c>
      <c r="E296">
        <v>3033</v>
      </c>
      <c r="F296" t="s">
        <v>1135</v>
      </c>
      <c r="G296" t="s">
        <v>1136</v>
      </c>
      <c r="H296" t="s">
        <v>1136</v>
      </c>
      <c r="I296" t="s">
        <v>58</v>
      </c>
      <c r="J296" t="s">
        <v>59</v>
      </c>
      <c r="L296">
        <v>45677</v>
      </c>
      <c r="M296" t="s">
        <v>86</v>
      </c>
    </row>
    <row r="297" spans="1:13" x14ac:dyDescent="0.3">
      <c r="A297" t="s">
        <v>1137</v>
      </c>
      <c r="B297" t="s">
        <v>46</v>
      </c>
      <c r="C297" t="s">
        <v>24</v>
      </c>
      <c r="D297" t="s">
        <v>136</v>
      </c>
      <c r="E297">
        <v>3039</v>
      </c>
      <c r="F297" t="s">
        <v>1138</v>
      </c>
      <c r="G297" t="s">
        <v>1139</v>
      </c>
      <c r="H297" t="s">
        <v>1140</v>
      </c>
      <c r="I297" t="s">
        <v>15</v>
      </c>
      <c r="J297" t="s">
        <v>14</v>
      </c>
      <c r="K297" t="s">
        <v>21</v>
      </c>
      <c r="L297">
        <v>45672</v>
      </c>
      <c r="M297" t="s">
        <v>577</v>
      </c>
    </row>
    <row r="298" spans="1:13" x14ac:dyDescent="0.3">
      <c r="A298" t="s">
        <v>1141</v>
      </c>
      <c r="B298" t="s">
        <v>46</v>
      </c>
      <c r="C298" t="s">
        <v>25</v>
      </c>
      <c r="D298" t="s">
        <v>191</v>
      </c>
      <c r="E298">
        <v>3040</v>
      </c>
      <c r="F298" t="s">
        <v>1142</v>
      </c>
      <c r="G298" t="s">
        <v>1143</v>
      </c>
      <c r="H298" t="s">
        <v>1143</v>
      </c>
      <c r="I298" t="s">
        <v>194</v>
      </c>
      <c r="J298" t="s">
        <v>13</v>
      </c>
      <c r="L298">
        <v>45660</v>
      </c>
      <c r="M298" t="s">
        <v>321</v>
      </c>
    </row>
    <row r="299" spans="1:13" x14ac:dyDescent="0.3">
      <c r="A299" t="s">
        <v>1144</v>
      </c>
      <c r="B299" t="s">
        <v>37</v>
      </c>
      <c r="C299" t="s">
        <v>26</v>
      </c>
      <c r="D299" t="s">
        <v>97</v>
      </c>
      <c r="E299">
        <v>3036</v>
      </c>
      <c r="F299" t="s">
        <v>1145</v>
      </c>
      <c r="G299" t="s">
        <v>1146</v>
      </c>
      <c r="H299" t="s">
        <v>1146</v>
      </c>
      <c r="I299" t="s">
        <v>100</v>
      </c>
      <c r="J299" t="s">
        <v>101</v>
      </c>
      <c r="K299" t="s">
        <v>21</v>
      </c>
      <c r="L299">
        <v>45666</v>
      </c>
      <c r="M299" t="s">
        <v>128</v>
      </c>
    </row>
    <row r="300" spans="1:13" x14ac:dyDescent="0.3">
      <c r="A300" t="s">
        <v>1147</v>
      </c>
      <c r="B300" t="s">
        <v>46</v>
      </c>
      <c r="C300" t="s">
        <v>24</v>
      </c>
      <c r="D300" t="s">
        <v>97</v>
      </c>
      <c r="E300">
        <v>3036</v>
      </c>
      <c r="F300" t="s">
        <v>1148</v>
      </c>
      <c r="G300" t="s">
        <v>1149</v>
      </c>
      <c r="H300" t="s">
        <v>1149</v>
      </c>
      <c r="I300" t="s">
        <v>100</v>
      </c>
      <c r="J300" t="s">
        <v>101</v>
      </c>
      <c r="L300">
        <v>45703</v>
      </c>
      <c r="M300" t="s">
        <v>65</v>
      </c>
    </row>
    <row r="301" spans="1:13" x14ac:dyDescent="0.3">
      <c r="A301" t="s">
        <v>1150</v>
      </c>
      <c r="B301" t="s">
        <v>37</v>
      </c>
      <c r="C301" t="s">
        <v>24</v>
      </c>
      <c r="D301" t="s">
        <v>118</v>
      </c>
      <c r="E301">
        <v>3038</v>
      </c>
      <c r="F301" t="s">
        <v>1151</v>
      </c>
      <c r="G301" t="s">
        <v>1152</v>
      </c>
      <c r="H301" t="s">
        <v>1153</v>
      </c>
      <c r="I301" t="s">
        <v>122</v>
      </c>
      <c r="J301" t="s">
        <v>123</v>
      </c>
      <c r="L301">
        <v>45736</v>
      </c>
      <c r="M301" t="s">
        <v>200</v>
      </c>
    </row>
    <row r="302" spans="1:13" x14ac:dyDescent="0.3">
      <c r="A302" t="s">
        <v>1154</v>
      </c>
      <c r="B302" t="s">
        <v>46</v>
      </c>
      <c r="C302" t="s">
        <v>22</v>
      </c>
      <c r="D302" t="s">
        <v>47</v>
      </c>
      <c r="E302">
        <v>3032</v>
      </c>
      <c r="F302" t="s">
        <v>1155</v>
      </c>
      <c r="G302" t="s">
        <v>1156</v>
      </c>
      <c r="H302" t="s">
        <v>1156</v>
      </c>
      <c r="I302" t="s">
        <v>51</v>
      </c>
      <c r="J302" t="s">
        <v>52</v>
      </c>
      <c r="L302">
        <v>45704</v>
      </c>
      <c r="M302" t="s">
        <v>656</v>
      </c>
    </row>
    <row r="303" spans="1:13" x14ac:dyDescent="0.3">
      <c r="A303" t="s">
        <v>1157</v>
      </c>
      <c r="B303" t="s">
        <v>37</v>
      </c>
      <c r="C303" t="s">
        <v>24</v>
      </c>
      <c r="D303" t="s">
        <v>104</v>
      </c>
      <c r="E303">
        <v>3037</v>
      </c>
      <c r="F303" t="s">
        <v>1158</v>
      </c>
      <c r="G303" t="s">
        <v>1159</v>
      </c>
      <c r="H303" t="s">
        <v>1159</v>
      </c>
      <c r="I303" t="s">
        <v>12</v>
      </c>
      <c r="J303" t="s">
        <v>13</v>
      </c>
      <c r="L303">
        <v>45670</v>
      </c>
      <c r="M303" t="s">
        <v>107</v>
      </c>
    </row>
    <row r="304" spans="1:13" x14ac:dyDescent="0.3">
      <c r="A304" t="s">
        <v>1160</v>
      </c>
      <c r="B304" t="s">
        <v>37</v>
      </c>
      <c r="C304" t="s">
        <v>22</v>
      </c>
      <c r="D304" t="s">
        <v>207</v>
      </c>
      <c r="E304">
        <v>3041</v>
      </c>
      <c r="F304" t="s">
        <v>1161</v>
      </c>
      <c r="G304" t="s">
        <v>1162</v>
      </c>
      <c r="H304" t="s">
        <v>1162</v>
      </c>
      <c r="I304" t="s">
        <v>211</v>
      </c>
      <c r="J304" t="s">
        <v>14</v>
      </c>
      <c r="L304">
        <v>45666</v>
      </c>
      <c r="M304" t="s">
        <v>577</v>
      </c>
    </row>
    <row r="305" spans="1:13" x14ac:dyDescent="0.3">
      <c r="A305" t="s">
        <v>1163</v>
      </c>
      <c r="B305" t="s">
        <v>46</v>
      </c>
      <c r="C305" t="s">
        <v>22</v>
      </c>
      <c r="D305" t="s">
        <v>71</v>
      </c>
      <c r="E305">
        <v>3034</v>
      </c>
      <c r="F305" t="s">
        <v>1164</v>
      </c>
      <c r="G305" t="s">
        <v>1165</v>
      </c>
      <c r="H305" t="s">
        <v>1165</v>
      </c>
      <c r="I305" t="s">
        <v>74</v>
      </c>
      <c r="J305" t="s">
        <v>75</v>
      </c>
      <c r="K305" t="s">
        <v>21</v>
      </c>
      <c r="L305">
        <v>45672</v>
      </c>
      <c r="M305" t="s">
        <v>112</v>
      </c>
    </row>
    <row r="306" spans="1:13" x14ac:dyDescent="0.3">
      <c r="A306" t="s">
        <v>1166</v>
      </c>
      <c r="B306" t="s">
        <v>37</v>
      </c>
      <c r="C306" t="s">
        <v>24</v>
      </c>
      <c r="D306" t="s">
        <v>118</v>
      </c>
      <c r="E306">
        <v>3038</v>
      </c>
      <c r="F306" t="s">
        <v>1167</v>
      </c>
      <c r="G306" t="s">
        <v>1168</v>
      </c>
      <c r="H306" t="s">
        <v>1168</v>
      </c>
      <c r="I306" t="s">
        <v>122</v>
      </c>
      <c r="J306" t="s">
        <v>123</v>
      </c>
      <c r="L306">
        <v>45721</v>
      </c>
      <c r="M306" t="s">
        <v>200</v>
      </c>
    </row>
    <row r="307" spans="1:13" x14ac:dyDescent="0.3">
      <c r="A307" t="s">
        <v>1169</v>
      </c>
      <c r="B307" t="s">
        <v>46</v>
      </c>
      <c r="C307" t="s">
        <v>25</v>
      </c>
      <c r="D307" t="s">
        <v>38</v>
      </c>
      <c r="E307">
        <v>3031</v>
      </c>
      <c r="F307" t="s">
        <v>1170</v>
      </c>
      <c r="G307" t="s">
        <v>1171</v>
      </c>
      <c r="H307" t="s">
        <v>1172</v>
      </c>
      <c r="I307" t="s">
        <v>42</v>
      </c>
      <c r="J307" t="s">
        <v>43</v>
      </c>
      <c r="K307" t="s">
        <v>21</v>
      </c>
      <c r="L307">
        <v>45744</v>
      </c>
      <c r="M307" t="s">
        <v>44</v>
      </c>
    </row>
    <row r="308" spans="1:13" x14ac:dyDescent="0.3">
      <c r="A308" t="s">
        <v>1173</v>
      </c>
      <c r="B308" t="s">
        <v>37</v>
      </c>
      <c r="C308" t="s">
        <v>25</v>
      </c>
      <c r="D308" t="s">
        <v>118</v>
      </c>
      <c r="E308">
        <v>3038</v>
      </c>
      <c r="F308" t="s">
        <v>1174</v>
      </c>
      <c r="G308" t="s">
        <v>1175</v>
      </c>
      <c r="H308" t="s">
        <v>1175</v>
      </c>
      <c r="I308" t="s">
        <v>122</v>
      </c>
      <c r="J308" t="s">
        <v>123</v>
      </c>
      <c r="L308">
        <v>45742</v>
      </c>
      <c r="M308" t="s">
        <v>124</v>
      </c>
    </row>
    <row r="309" spans="1:13" x14ac:dyDescent="0.3">
      <c r="A309" t="s">
        <v>1176</v>
      </c>
      <c r="B309" t="s">
        <v>37</v>
      </c>
      <c r="C309" t="s">
        <v>24</v>
      </c>
      <c r="D309" t="s">
        <v>97</v>
      </c>
      <c r="E309">
        <v>3036</v>
      </c>
      <c r="F309" t="s">
        <v>1177</v>
      </c>
      <c r="G309" t="s">
        <v>1178</v>
      </c>
      <c r="H309" t="s">
        <v>1178</v>
      </c>
      <c r="I309" t="s">
        <v>100</v>
      </c>
      <c r="J309" t="s">
        <v>101</v>
      </c>
      <c r="L309">
        <v>45678</v>
      </c>
      <c r="M309" t="s">
        <v>165</v>
      </c>
    </row>
    <row r="310" spans="1:13" x14ac:dyDescent="0.3">
      <c r="A310" t="s">
        <v>1179</v>
      </c>
      <c r="B310" t="s">
        <v>46</v>
      </c>
      <c r="C310" t="s">
        <v>26</v>
      </c>
      <c r="D310" t="s">
        <v>118</v>
      </c>
      <c r="E310">
        <v>3038</v>
      </c>
      <c r="F310" t="s">
        <v>1180</v>
      </c>
      <c r="G310" t="s">
        <v>1181</v>
      </c>
      <c r="H310" t="s">
        <v>1182</v>
      </c>
      <c r="I310" t="s">
        <v>122</v>
      </c>
      <c r="J310" t="s">
        <v>123</v>
      </c>
      <c r="L310">
        <v>45671</v>
      </c>
      <c r="M310" t="s">
        <v>389</v>
      </c>
    </row>
    <row r="311" spans="1:13" x14ac:dyDescent="0.3">
      <c r="A311" t="s">
        <v>1183</v>
      </c>
      <c r="B311" t="s">
        <v>37</v>
      </c>
      <c r="C311" t="s">
        <v>26</v>
      </c>
      <c r="D311" t="s">
        <v>118</v>
      </c>
      <c r="E311">
        <v>3038</v>
      </c>
      <c r="F311" t="s">
        <v>1184</v>
      </c>
      <c r="G311" t="s">
        <v>1185</v>
      </c>
      <c r="H311" t="s">
        <v>1186</v>
      </c>
      <c r="I311" t="s">
        <v>122</v>
      </c>
      <c r="J311" t="s">
        <v>123</v>
      </c>
      <c r="L311">
        <v>45692</v>
      </c>
      <c r="M311" t="s">
        <v>124</v>
      </c>
    </row>
    <row r="312" spans="1:13" x14ac:dyDescent="0.3">
      <c r="A312" t="s">
        <v>1187</v>
      </c>
      <c r="B312" t="s">
        <v>37</v>
      </c>
      <c r="C312" t="s">
        <v>26</v>
      </c>
      <c r="D312" t="s">
        <v>71</v>
      </c>
      <c r="E312">
        <v>3034</v>
      </c>
      <c r="F312" t="s">
        <v>1188</v>
      </c>
      <c r="G312" t="s">
        <v>1189</v>
      </c>
      <c r="H312" t="s">
        <v>1189</v>
      </c>
      <c r="I312" t="s">
        <v>74</v>
      </c>
      <c r="J312" t="s">
        <v>75</v>
      </c>
      <c r="K312" t="s">
        <v>21</v>
      </c>
      <c r="L312">
        <v>45715</v>
      </c>
      <c r="M312" t="s">
        <v>205</v>
      </c>
    </row>
    <row r="313" spans="1:13" x14ac:dyDescent="0.3">
      <c r="A313" t="s">
        <v>1190</v>
      </c>
      <c r="B313" t="s">
        <v>37</v>
      </c>
      <c r="C313" t="s">
        <v>22</v>
      </c>
      <c r="D313" t="s">
        <v>55</v>
      </c>
      <c r="E313">
        <v>3033</v>
      </c>
      <c r="F313" t="s">
        <v>1191</v>
      </c>
      <c r="G313" t="s">
        <v>1192</v>
      </c>
      <c r="H313" t="s">
        <v>1192</v>
      </c>
      <c r="I313" t="s">
        <v>58</v>
      </c>
      <c r="J313" t="s">
        <v>59</v>
      </c>
      <c r="L313">
        <v>45695</v>
      </c>
      <c r="M313" t="s">
        <v>60</v>
      </c>
    </row>
    <row r="314" spans="1:13" x14ac:dyDescent="0.3">
      <c r="A314" t="s">
        <v>1193</v>
      </c>
      <c r="B314" t="s">
        <v>37</v>
      </c>
      <c r="C314" t="s">
        <v>24</v>
      </c>
      <c r="D314" t="s">
        <v>38</v>
      </c>
      <c r="E314">
        <v>3031</v>
      </c>
      <c r="F314" t="s">
        <v>1194</v>
      </c>
      <c r="G314" t="s">
        <v>1195</v>
      </c>
      <c r="H314" t="s">
        <v>1196</v>
      </c>
      <c r="I314" t="s">
        <v>42</v>
      </c>
      <c r="J314" t="s">
        <v>43</v>
      </c>
      <c r="K314" t="s">
        <v>21</v>
      </c>
      <c r="L314">
        <v>45704</v>
      </c>
      <c r="M314" t="s">
        <v>76</v>
      </c>
    </row>
    <row r="315" spans="1:13" x14ac:dyDescent="0.3">
      <c r="A315" t="s">
        <v>1197</v>
      </c>
      <c r="B315" t="s">
        <v>46</v>
      </c>
      <c r="C315" t="s">
        <v>25</v>
      </c>
      <c r="D315" t="s">
        <v>97</v>
      </c>
      <c r="E315">
        <v>3036</v>
      </c>
      <c r="F315" t="s">
        <v>1198</v>
      </c>
      <c r="G315" t="s">
        <v>1199</v>
      </c>
      <c r="H315" t="s">
        <v>1199</v>
      </c>
      <c r="I315" t="s">
        <v>100</v>
      </c>
      <c r="J315" t="s">
        <v>101</v>
      </c>
      <c r="L315">
        <v>45740</v>
      </c>
      <c r="M315" t="s">
        <v>165</v>
      </c>
    </row>
    <row r="316" spans="1:13" x14ac:dyDescent="0.3">
      <c r="A316" t="s">
        <v>1200</v>
      </c>
      <c r="B316" t="s">
        <v>46</v>
      </c>
      <c r="C316" t="s">
        <v>24</v>
      </c>
      <c r="D316" t="s">
        <v>191</v>
      </c>
      <c r="E316">
        <v>3040</v>
      </c>
      <c r="F316" t="s">
        <v>1201</v>
      </c>
      <c r="G316" t="s">
        <v>1202</v>
      </c>
      <c r="H316" t="s">
        <v>1202</v>
      </c>
      <c r="I316" t="s">
        <v>194</v>
      </c>
      <c r="J316" t="s">
        <v>13</v>
      </c>
      <c r="K316" t="s">
        <v>21</v>
      </c>
      <c r="L316">
        <v>45686</v>
      </c>
      <c r="M316" t="s">
        <v>321</v>
      </c>
    </row>
    <row r="317" spans="1:13" x14ac:dyDescent="0.3">
      <c r="A317" t="s">
        <v>1203</v>
      </c>
      <c r="B317" t="s">
        <v>46</v>
      </c>
      <c r="C317" t="s">
        <v>25</v>
      </c>
      <c r="D317" t="s">
        <v>444</v>
      </c>
      <c r="E317">
        <v>3042</v>
      </c>
      <c r="F317" t="s">
        <v>1204</v>
      </c>
      <c r="G317" t="s">
        <v>1205</v>
      </c>
      <c r="H317" t="s">
        <v>1205</v>
      </c>
      <c r="I317" t="s">
        <v>448</v>
      </c>
      <c r="J317" t="s">
        <v>449</v>
      </c>
      <c r="L317">
        <v>45676</v>
      </c>
      <c r="M317" t="s">
        <v>363</v>
      </c>
    </row>
    <row r="318" spans="1:13" x14ac:dyDescent="0.3">
      <c r="A318" t="s">
        <v>1206</v>
      </c>
      <c r="B318" t="s">
        <v>46</v>
      </c>
      <c r="C318" t="s">
        <v>25</v>
      </c>
      <c r="D318" t="s">
        <v>136</v>
      </c>
      <c r="E318">
        <v>3039</v>
      </c>
      <c r="F318" t="s">
        <v>1207</v>
      </c>
      <c r="G318" t="s">
        <v>1208</v>
      </c>
      <c r="H318" t="s">
        <v>1208</v>
      </c>
      <c r="I318" t="s">
        <v>15</v>
      </c>
      <c r="J318" t="s">
        <v>14</v>
      </c>
      <c r="L318">
        <v>45746</v>
      </c>
      <c r="M318" t="s">
        <v>140</v>
      </c>
    </row>
    <row r="319" spans="1:13" x14ac:dyDescent="0.3">
      <c r="A319" t="s">
        <v>1209</v>
      </c>
      <c r="B319" t="s">
        <v>46</v>
      </c>
      <c r="C319" t="s">
        <v>26</v>
      </c>
      <c r="D319" t="s">
        <v>136</v>
      </c>
      <c r="E319">
        <v>3039</v>
      </c>
      <c r="F319" t="s">
        <v>1210</v>
      </c>
      <c r="G319" t="s">
        <v>1211</v>
      </c>
      <c r="H319" t="s">
        <v>1211</v>
      </c>
      <c r="I319" t="s">
        <v>15</v>
      </c>
      <c r="J319" t="s">
        <v>14</v>
      </c>
      <c r="L319">
        <v>45707</v>
      </c>
      <c r="M319" t="s">
        <v>577</v>
      </c>
    </row>
    <row r="320" spans="1:13" x14ac:dyDescent="0.3">
      <c r="A320" t="s">
        <v>1212</v>
      </c>
      <c r="B320" t="s">
        <v>37</v>
      </c>
      <c r="C320" t="s">
        <v>25</v>
      </c>
      <c r="D320" t="s">
        <v>444</v>
      </c>
      <c r="E320">
        <v>3042</v>
      </c>
      <c r="F320" t="s">
        <v>1213</v>
      </c>
      <c r="G320" t="s">
        <v>1214</v>
      </c>
      <c r="H320" t="s">
        <v>1215</v>
      </c>
      <c r="I320" t="s">
        <v>448</v>
      </c>
      <c r="J320" t="s">
        <v>449</v>
      </c>
      <c r="L320">
        <v>45721</v>
      </c>
      <c r="M320" t="s">
        <v>107</v>
      </c>
    </row>
    <row r="321" spans="1:13" x14ac:dyDescent="0.3">
      <c r="A321" t="s">
        <v>1216</v>
      </c>
      <c r="B321" t="s">
        <v>46</v>
      </c>
      <c r="C321" t="s">
        <v>22</v>
      </c>
      <c r="D321" t="s">
        <v>71</v>
      </c>
      <c r="E321">
        <v>3034</v>
      </c>
      <c r="F321" t="s">
        <v>1217</v>
      </c>
      <c r="G321" t="s">
        <v>1218</v>
      </c>
      <c r="H321" t="s">
        <v>1218</v>
      </c>
      <c r="I321" t="s">
        <v>74</v>
      </c>
      <c r="J321" t="s">
        <v>75</v>
      </c>
      <c r="L321">
        <v>45703</v>
      </c>
      <c r="M321" t="s">
        <v>76</v>
      </c>
    </row>
    <row r="322" spans="1:13" x14ac:dyDescent="0.3">
      <c r="A322" t="s">
        <v>1219</v>
      </c>
      <c r="B322" t="s">
        <v>37</v>
      </c>
      <c r="C322" t="s">
        <v>26</v>
      </c>
      <c r="D322" t="s">
        <v>191</v>
      </c>
      <c r="E322">
        <v>3040</v>
      </c>
      <c r="F322" t="s">
        <v>1220</v>
      </c>
      <c r="G322" t="s">
        <v>1221</v>
      </c>
      <c r="H322" t="s">
        <v>1221</v>
      </c>
      <c r="I322" t="s">
        <v>194</v>
      </c>
      <c r="J322" t="s">
        <v>13</v>
      </c>
      <c r="L322">
        <v>45698</v>
      </c>
      <c r="M322" t="s">
        <v>195</v>
      </c>
    </row>
    <row r="323" spans="1:13" x14ac:dyDescent="0.3">
      <c r="A323" t="s">
        <v>1222</v>
      </c>
      <c r="B323" t="s">
        <v>46</v>
      </c>
      <c r="C323" t="s">
        <v>26</v>
      </c>
      <c r="D323" t="s">
        <v>104</v>
      </c>
      <c r="E323">
        <v>3037</v>
      </c>
      <c r="F323" t="s">
        <v>1223</v>
      </c>
      <c r="G323" t="s">
        <v>1224</v>
      </c>
      <c r="H323" t="s">
        <v>1225</v>
      </c>
      <c r="I323" t="s">
        <v>12</v>
      </c>
      <c r="J323" t="s">
        <v>13</v>
      </c>
      <c r="K323" t="s">
        <v>21</v>
      </c>
      <c r="L323">
        <v>45733</v>
      </c>
      <c r="M323" t="s">
        <v>287</v>
      </c>
    </row>
    <row r="324" spans="1:13" x14ac:dyDescent="0.3">
      <c r="A324" t="s">
        <v>1226</v>
      </c>
      <c r="B324" t="s">
        <v>46</v>
      </c>
      <c r="C324" t="s">
        <v>22</v>
      </c>
      <c r="D324" t="s">
        <v>71</v>
      </c>
      <c r="E324">
        <v>3034</v>
      </c>
      <c r="F324" t="s">
        <v>1227</v>
      </c>
      <c r="G324" t="s">
        <v>1228</v>
      </c>
      <c r="H324" t="s">
        <v>1228</v>
      </c>
      <c r="I324" t="s">
        <v>74</v>
      </c>
      <c r="J324" t="s">
        <v>75</v>
      </c>
      <c r="K324" t="s">
        <v>21</v>
      </c>
      <c r="L324">
        <v>45705</v>
      </c>
      <c r="M324" t="s">
        <v>112</v>
      </c>
    </row>
    <row r="325" spans="1:13" x14ac:dyDescent="0.3">
      <c r="A325" t="s">
        <v>1229</v>
      </c>
      <c r="B325" t="s">
        <v>37</v>
      </c>
      <c r="C325" t="s">
        <v>22</v>
      </c>
      <c r="D325" t="s">
        <v>78</v>
      </c>
      <c r="E325">
        <v>3035</v>
      </c>
      <c r="F325" t="s">
        <v>1230</v>
      </c>
      <c r="G325" t="s">
        <v>1231</v>
      </c>
      <c r="H325" t="s">
        <v>1231</v>
      </c>
      <c r="I325" t="s">
        <v>81</v>
      </c>
      <c r="J325" t="s">
        <v>82</v>
      </c>
      <c r="L325">
        <v>45728</v>
      </c>
      <c r="M325" t="s">
        <v>205</v>
      </c>
    </row>
    <row r="326" spans="1:13" x14ac:dyDescent="0.3">
      <c r="A326" t="s">
        <v>1232</v>
      </c>
      <c r="B326" t="s">
        <v>46</v>
      </c>
      <c r="C326" t="s">
        <v>25</v>
      </c>
      <c r="D326" t="s">
        <v>191</v>
      </c>
      <c r="E326">
        <v>3040</v>
      </c>
      <c r="F326" t="s">
        <v>1233</v>
      </c>
      <c r="G326" t="s">
        <v>1234</v>
      </c>
      <c r="H326" t="s">
        <v>1235</v>
      </c>
      <c r="I326" t="s">
        <v>194</v>
      </c>
      <c r="J326" t="s">
        <v>13</v>
      </c>
      <c r="K326" t="s">
        <v>21</v>
      </c>
      <c r="L326">
        <v>45688</v>
      </c>
      <c r="M326" t="s">
        <v>321</v>
      </c>
    </row>
    <row r="327" spans="1:13" x14ac:dyDescent="0.3">
      <c r="A327" t="s">
        <v>1236</v>
      </c>
      <c r="B327" t="s">
        <v>46</v>
      </c>
      <c r="C327" t="s">
        <v>22</v>
      </c>
      <c r="D327" t="s">
        <v>78</v>
      </c>
      <c r="E327">
        <v>3035</v>
      </c>
      <c r="F327" t="s">
        <v>1237</v>
      </c>
      <c r="G327" t="s">
        <v>1238</v>
      </c>
      <c r="H327" t="s">
        <v>1239</v>
      </c>
      <c r="I327" t="s">
        <v>81</v>
      </c>
      <c r="J327" t="s">
        <v>82</v>
      </c>
      <c r="K327" t="s">
        <v>21</v>
      </c>
      <c r="L327">
        <v>45700</v>
      </c>
      <c r="M327" t="s">
        <v>205</v>
      </c>
    </row>
    <row r="328" spans="1:13" x14ac:dyDescent="0.3">
      <c r="A328" t="s">
        <v>1240</v>
      </c>
      <c r="B328" t="s">
        <v>46</v>
      </c>
      <c r="C328" t="s">
        <v>26</v>
      </c>
      <c r="D328" t="s">
        <v>104</v>
      </c>
      <c r="E328">
        <v>3037</v>
      </c>
      <c r="F328" t="s">
        <v>1241</v>
      </c>
      <c r="G328" t="s">
        <v>1242</v>
      </c>
      <c r="H328" t="s">
        <v>1243</v>
      </c>
      <c r="I328" t="s">
        <v>12</v>
      </c>
      <c r="J328" t="s">
        <v>13</v>
      </c>
      <c r="K328" t="s">
        <v>21</v>
      </c>
      <c r="L328">
        <v>45678</v>
      </c>
      <c r="M328" t="s">
        <v>107</v>
      </c>
    </row>
    <row r="329" spans="1:13" x14ac:dyDescent="0.3">
      <c r="A329" t="s">
        <v>1244</v>
      </c>
      <c r="B329" t="s">
        <v>37</v>
      </c>
      <c r="C329" t="s">
        <v>22</v>
      </c>
      <c r="D329" t="s">
        <v>444</v>
      </c>
      <c r="E329">
        <v>3042</v>
      </c>
      <c r="F329" t="s">
        <v>1245</v>
      </c>
      <c r="G329" t="s">
        <v>1246</v>
      </c>
      <c r="H329" t="s">
        <v>1247</v>
      </c>
      <c r="I329" t="s">
        <v>448</v>
      </c>
      <c r="J329" t="s">
        <v>449</v>
      </c>
      <c r="L329">
        <v>45732</v>
      </c>
      <c r="M329" t="s">
        <v>722</v>
      </c>
    </row>
    <row r="330" spans="1:13" x14ac:dyDescent="0.3">
      <c r="A330" t="s">
        <v>1248</v>
      </c>
      <c r="B330" t="s">
        <v>37</v>
      </c>
      <c r="C330" t="s">
        <v>25</v>
      </c>
      <c r="D330" t="s">
        <v>444</v>
      </c>
      <c r="E330">
        <v>3042</v>
      </c>
      <c r="F330" t="s">
        <v>1249</v>
      </c>
      <c r="G330" t="s">
        <v>1250</v>
      </c>
      <c r="H330" t="s">
        <v>1250</v>
      </c>
      <c r="I330" t="s">
        <v>448</v>
      </c>
      <c r="J330" t="s">
        <v>449</v>
      </c>
      <c r="K330" t="s">
        <v>21</v>
      </c>
      <c r="L330">
        <v>45694</v>
      </c>
      <c r="M330" t="s">
        <v>363</v>
      </c>
    </row>
    <row r="331" spans="1:13" x14ac:dyDescent="0.3">
      <c r="A331" t="s">
        <v>1251</v>
      </c>
      <c r="B331" t="s">
        <v>37</v>
      </c>
      <c r="C331" t="s">
        <v>24</v>
      </c>
      <c r="D331" t="s">
        <v>136</v>
      </c>
      <c r="E331">
        <v>3039</v>
      </c>
      <c r="F331" t="s">
        <v>1252</v>
      </c>
      <c r="G331" t="s">
        <v>1253</v>
      </c>
      <c r="H331" t="s">
        <v>1253</v>
      </c>
      <c r="I331" t="s">
        <v>15</v>
      </c>
      <c r="J331" t="s">
        <v>14</v>
      </c>
      <c r="L331">
        <v>45722</v>
      </c>
      <c r="M331" t="s">
        <v>200</v>
      </c>
    </row>
    <row r="332" spans="1:13" x14ac:dyDescent="0.3">
      <c r="A332" t="s">
        <v>1254</v>
      </c>
      <c r="B332" t="s">
        <v>37</v>
      </c>
      <c r="C332" t="s">
        <v>26</v>
      </c>
      <c r="D332" t="s">
        <v>78</v>
      </c>
      <c r="E332">
        <v>3035</v>
      </c>
      <c r="F332" t="s">
        <v>1255</v>
      </c>
      <c r="G332" t="s">
        <v>1256</v>
      </c>
      <c r="H332" t="s">
        <v>1257</v>
      </c>
      <c r="I332" t="s">
        <v>81</v>
      </c>
      <c r="J332" t="s">
        <v>82</v>
      </c>
      <c r="K332" t="s">
        <v>21</v>
      </c>
      <c r="L332">
        <v>45733</v>
      </c>
      <c r="M332" t="s">
        <v>205</v>
      </c>
    </row>
    <row r="333" spans="1:13" x14ac:dyDescent="0.3">
      <c r="A333" t="s">
        <v>1258</v>
      </c>
      <c r="B333" t="s">
        <v>46</v>
      </c>
      <c r="C333" t="s">
        <v>25</v>
      </c>
      <c r="D333" t="s">
        <v>191</v>
      </c>
      <c r="E333">
        <v>3040</v>
      </c>
      <c r="F333" t="s">
        <v>1259</v>
      </c>
      <c r="G333" t="s">
        <v>1260</v>
      </c>
      <c r="H333" t="s">
        <v>1260</v>
      </c>
      <c r="I333" t="s">
        <v>194</v>
      </c>
      <c r="J333" t="s">
        <v>13</v>
      </c>
      <c r="L333">
        <v>45690</v>
      </c>
      <c r="M333" t="s">
        <v>717</v>
      </c>
    </row>
    <row r="334" spans="1:13" x14ac:dyDescent="0.3">
      <c r="A334" t="s">
        <v>1261</v>
      </c>
      <c r="B334" t="s">
        <v>37</v>
      </c>
      <c r="C334" t="s">
        <v>22</v>
      </c>
      <c r="D334" t="s">
        <v>104</v>
      </c>
      <c r="E334">
        <v>3037</v>
      </c>
      <c r="F334" t="s">
        <v>1262</v>
      </c>
      <c r="G334" t="s">
        <v>1263</v>
      </c>
      <c r="H334" t="s">
        <v>1263</v>
      </c>
      <c r="I334" t="s">
        <v>12</v>
      </c>
      <c r="J334" t="s">
        <v>13</v>
      </c>
      <c r="L334">
        <v>45745</v>
      </c>
      <c r="M334" t="s">
        <v>224</v>
      </c>
    </row>
    <row r="335" spans="1:13" x14ac:dyDescent="0.3">
      <c r="A335" t="s">
        <v>1264</v>
      </c>
      <c r="B335" t="s">
        <v>46</v>
      </c>
      <c r="C335" t="s">
        <v>25</v>
      </c>
      <c r="D335" t="s">
        <v>191</v>
      </c>
      <c r="E335">
        <v>3040</v>
      </c>
      <c r="F335" t="s">
        <v>1265</v>
      </c>
      <c r="G335" t="s">
        <v>1266</v>
      </c>
      <c r="H335" t="s">
        <v>1266</v>
      </c>
      <c r="I335" t="s">
        <v>194</v>
      </c>
      <c r="J335" t="s">
        <v>13</v>
      </c>
      <c r="L335">
        <v>45692</v>
      </c>
      <c r="M335" t="s">
        <v>195</v>
      </c>
    </row>
    <row r="336" spans="1:13" x14ac:dyDescent="0.3">
      <c r="A336" t="s">
        <v>1267</v>
      </c>
      <c r="B336" t="s">
        <v>37</v>
      </c>
      <c r="C336" t="s">
        <v>22</v>
      </c>
      <c r="D336" t="s">
        <v>207</v>
      </c>
      <c r="E336">
        <v>3041</v>
      </c>
      <c r="F336" t="s">
        <v>1268</v>
      </c>
      <c r="G336" t="s">
        <v>1269</v>
      </c>
      <c r="H336" t="s">
        <v>1269</v>
      </c>
      <c r="I336" t="s">
        <v>211</v>
      </c>
      <c r="J336" t="s">
        <v>14</v>
      </c>
      <c r="K336" t="s">
        <v>21</v>
      </c>
      <c r="L336">
        <v>45718</v>
      </c>
      <c r="M336" t="s">
        <v>212</v>
      </c>
    </row>
    <row r="337" spans="1:13" x14ac:dyDescent="0.3">
      <c r="A337" t="s">
        <v>1270</v>
      </c>
      <c r="B337" t="s">
        <v>46</v>
      </c>
      <c r="C337" t="s">
        <v>22</v>
      </c>
      <c r="D337" t="s">
        <v>78</v>
      </c>
      <c r="E337">
        <v>3035</v>
      </c>
      <c r="F337" t="s">
        <v>1271</v>
      </c>
      <c r="G337" t="s">
        <v>1272</v>
      </c>
      <c r="H337" t="s">
        <v>1272</v>
      </c>
      <c r="I337" t="s">
        <v>81</v>
      </c>
      <c r="J337" t="s">
        <v>82</v>
      </c>
      <c r="L337">
        <v>45724</v>
      </c>
      <c r="M337" t="s">
        <v>95</v>
      </c>
    </row>
    <row r="338" spans="1:13" x14ac:dyDescent="0.3">
      <c r="A338" t="s">
        <v>1273</v>
      </c>
      <c r="B338" t="s">
        <v>46</v>
      </c>
      <c r="C338" t="s">
        <v>26</v>
      </c>
      <c r="D338" t="s">
        <v>118</v>
      </c>
      <c r="E338">
        <v>3038</v>
      </c>
      <c r="F338" t="s">
        <v>1274</v>
      </c>
      <c r="G338" t="s">
        <v>1275</v>
      </c>
      <c r="H338" t="s">
        <v>1275</v>
      </c>
      <c r="I338" t="s">
        <v>122</v>
      </c>
      <c r="J338" t="s">
        <v>123</v>
      </c>
      <c r="L338">
        <v>45746</v>
      </c>
      <c r="M338" t="s">
        <v>389</v>
      </c>
    </row>
    <row r="339" spans="1:13" x14ac:dyDescent="0.3">
      <c r="A339" t="s">
        <v>1276</v>
      </c>
      <c r="B339" t="s">
        <v>37</v>
      </c>
      <c r="C339" t="s">
        <v>22</v>
      </c>
      <c r="D339" t="s">
        <v>55</v>
      </c>
      <c r="E339">
        <v>3033</v>
      </c>
      <c r="F339" t="s">
        <v>1277</v>
      </c>
      <c r="G339" t="s">
        <v>1278</v>
      </c>
      <c r="H339" t="s">
        <v>1279</v>
      </c>
      <c r="I339" t="s">
        <v>58</v>
      </c>
      <c r="J339" t="s">
        <v>59</v>
      </c>
      <c r="L339">
        <v>45744</v>
      </c>
      <c r="M339" t="s">
        <v>60</v>
      </c>
    </row>
    <row r="340" spans="1:13" x14ac:dyDescent="0.3">
      <c r="A340" t="s">
        <v>1280</v>
      </c>
      <c r="B340" t="s">
        <v>37</v>
      </c>
      <c r="C340" t="s">
        <v>26</v>
      </c>
      <c r="D340" t="s">
        <v>47</v>
      </c>
      <c r="E340">
        <v>3032</v>
      </c>
      <c r="F340" t="s">
        <v>1281</v>
      </c>
      <c r="G340" t="s">
        <v>1282</v>
      </c>
      <c r="H340" t="s">
        <v>1283</v>
      </c>
      <c r="I340" t="s">
        <v>51</v>
      </c>
      <c r="J340" t="s">
        <v>52</v>
      </c>
      <c r="K340" t="s">
        <v>21</v>
      </c>
      <c r="L340">
        <v>45708</v>
      </c>
      <c r="M340" t="s">
        <v>881</v>
      </c>
    </row>
    <row r="341" spans="1:13" x14ac:dyDescent="0.3">
      <c r="A341" t="s">
        <v>1284</v>
      </c>
      <c r="B341" t="s">
        <v>37</v>
      </c>
      <c r="C341" t="s">
        <v>22</v>
      </c>
      <c r="D341" t="s">
        <v>104</v>
      </c>
      <c r="E341">
        <v>3037</v>
      </c>
      <c r="F341" t="s">
        <v>1285</v>
      </c>
      <c r="G341" t="s">
        <v>1286</v>
      </c>
      <c r="H341" t="s">
        <v>1286</v>
      </c>
      <c r="I341" t="s">
        <v>12</v>
      </c>
      <c r="J341" t="s">
        <v>13</v>
      </c>
      <c r="L341">
        <v>45659</v>
      </c>
      <c r="M341" t="s">
        <v>107</v>
      </c>
    </row>
    <row r="342" spans="1:13" x14ac:dyDescent="0.3">
      <c r="A342" t="s">
        <v>1287</v>
      </c>
      <c r="B342" t="s">
        <v>46</v>
      </c>
      <c r="C342" t="s">
        <v>22</v>
      </c>
      <c r="D342" t="s">
        <v>38</v>
      </c>
      <c r="E342">
        <v>3031</v>
      </c>
      <c r="F342" t="s">
        <v>1288</v>
      </c>
      <c r="G342" t="s">
        <v>1289</v>
      </c>
      <c r="H342" t="s">
        <v>1290</v>
      </c>
      <c r="I342" t="s">
        <v>42</v>
      </c>
      <c r="J342" t="s">
        <v>43</v>
      </c>
      <c r="K342" t="s">
        <v>21</v>
      </c>
      <c r="L342">
        <v>45662</v>
      </c>
      <c r="M342" t="s">
        <v>44</v>
      </c>
    </row>
    <row r="343" spans="1:13" x14ac:dyDescent="0.3">
      <c r="A343" t="s">
        <v>1291</v>
      </c>
      <c r="B343" t="s">
        <v>46</v>
      </c>
      <c r="C343" t="s">
        <v>24</v>
      </c>
      <c r="D343" t="s">
        <v>55</v>
      </c>
      <c r="E343">
        <v>3033</v>
      </c>
      <c r="F343" t="s">
        <v>1292</v>
      </c>
      <c r="G343" t="s">
        <v>1293</v>
      </c>
      <c r="H343" t="s">
        <v>1293</v>
      </c>
      <c r="I343" t="s">
        <v>58</v>
      </c>
      <c r="J343" t="s">
        <v>59</v>
      </c>
      <c r="L343">
        <v>45701</v>
      </c>
      <c r="M343" t="s">
        <v>90</v>
      </c>
    </row>
    <row r="344" spans="1:13" x14ac:dyDescent="0.3">
      <c r="A344" t="s">
        <v>1294</v>
      </c>
      <c r="B344" t="s">
        <v>46</v>
      </c>
      <c r="C344" t="s">
        <v>25</v>
      </c>
      <c r="D344" t="s">
        <v>47</v>
      </c>
      <c r="E344">
        <v>3032</v>
      </c>
      <c r="F344" t="s">
        <v>1295</v>
      </c>
      <c r="G344" t="s">
        <v>1296</v>
      </c>
      <c r="H344" t="s">
        <v>1297</v>
      </c>
      <c r="I344" t="s">
        <v>51</v>
      </c>
      <c r="J344" t="s">
        <v>52</v>
      </c>
      <c r="K344" t="s">
        <v>21</v>
      </c>
      <c r="L344">
        <v>45744</v>
      </c>
      <c r="M344" t="s">
        <v>53</v>
      </c>
    </row>
    <row r="345" spans="1:13" x14ac:dyDescent="0.3">
      <c r="A345" t="s">
        <v>1298</v>
      </c>
      <c r="B345" t="s">
        <v>37</v>
      </c>
      <c r="C345" t="s">
        <v>24</v>
      </c>
      <c r="D345" t="s">
        <v>71</v>
      </c>
      <c r="E345">
        <v>3034</v>
      </c>
      <c r="F345" t="s">
        <v>1299</v>
      </c>
      <c r="G345" t="s">
        <v>1300</v>
      </c>
      <c r="H345" t="s">
        <v>1300</v>
      </c>
      <c r="I345" t="s">
        <v>74</v>
      </c>
      <c r="J345" t="s">
        <v>75</v>
      </c>
      <c r="L345">
        <v>45727</v>
      </c>
      <c r="M345" t="s">
        <v>205</v>
      </c>
    </row>
    <row r="346" spans="1:13" x14ac:dyDescent="0.3">
      <c r="A346" t="s">
        <v>1301</v>
      </c>
      <c r="B346" t="s">
        <v>46</v>
      </c>
      <c r="C346" t="s">
        <v>24</v>
      </c>
      <c r="D346" t="s">
        <v>207</v>
      </c>
      <c r="E346">
        <v>3041</v>
      </c>
      <c r="F346" t="s">
        <v>1302</v>
      </c>
      <c r="G346" t="s">
        <v>1303</v>
      </c>
      <c r="H346" t="s">
        <v>1303</v>
      </c>
      <c r="I346" t="s">
        <v>211</v>
      </c>
      <c r="J346" t="s">
        <v>14</v>
      </c>
      <c r="L346">
        <v>45726</v>
      </c>
      <c r="M346" t="s">
        <v>394</v>
      </c>
    </row>
    <row r="347" spans="1:13" x14ac:dyDescent="0.3">
      <c r="A347" t="s">
        <v>1304</v>
      </c>
      <c r="B347" t="s">
        <v>37</v>
      </c>
      <c r="C347" t="s">
        <v>26</v>
      </c>
      <c r="D347" t="s">
        <v>118</v>
      </c>
      <c r="E347">
        <v>3038</v>
      </c>
      <c r="F347" t="s">
        <v>1305</v>
      </c>
      <c r="G347" t="s">
        <v>1306</v>
      </c>
      <c r="H347" t="s">
        <v>1307</v>
      </c>
      <c r="I347" t="s">
        <v>122</v>
      </c>
      <c r="J347" t="s">
        <v>123</v>
      </c>
      <c r="L347">
        <v>45740</v>
      </c>
      <c r="M347" t="s">
        <v>200</v>
      </c>
    </row>
    <row r="348" spans="1:13" x14ac:dyDescent="0.3">
      <c r="A348" t="s">
        <v>1308</v>
      </c>
      <c r="B348" t="s">
        <v>37</v>
      </c>
      <c r="C348" t="s">
        <v>24</v>
      </c>
      <c r="D348" t="s">
        <v>444</v>
      </c>
      <c r="E348">
        <v>3042</v>
      </c>
      <c r="F348" t="s">
        <v>1309</v>
      </c>
      <c r="G348" t="s">
        <v>1310</v>
      </c>
      <c r="H348" t="s">
        <v>1310</v>
      </c>
      <c r="I348" t="s">
        <v>448</v>
      </c>
      <c r="J348" t="s">
        <v>449</v>
      </c>
      <c r="K348" t="s">
        <v>21</v>
      </c>
      <c r="L348">
        <v>45721</v>
      </c>
      <c r="M348" t="s">
        <v>107</v>
      </c>
    </row>
    <row r="349" spans="1:13" x14ac:dyDescent="0.3">
      <c r="A349" t="s">
        <v>1311</v>
      </c>
      <c r="B349" t="s">
        <v>37</v>
      </c>
      <c r="C349" t="s">
        <v>24</v>
      </c>
      <c r="D349" t="s">
        <v>118</v>
      </c>
      <c r="E349">
        <v>3038</v>
      </c>
      <c r="F349" t="s">
        <v>1312</v>
      </c>
      <c r="G349" t="s">
        <v>1313</v>
      </c>
      <c r="H349" t="s">
        <v>1314</v>
      </c>
      <c r="I349" t="s">
        <v>122</v>
      </c>
      <c r="J349" t="s">
        <v>123</v>
      </c>
      <c r="L349">
        <v>45725</v>
      </c>
      <c r="M349" t="s">
        <v>124</v>
      </c>
    </row>
    <row r="350" spans="1:13" x14ac:dyDescent="0.3">
      <c r="A350" t="s">
        <v>1315</v>
      </c>
      <c r="B350" t="s">
        <v>37</v>
      </c>
      <c r="C350" t="s">
        <v>25</v>
      </c>
      <c r="D350" t="s">
        <v>207</v>
      </c>
      <c r="E350">
        <v>3041</v>
      </c>
      <c r="F350" t="s">
        <v>1316</v>
      </c>
      <c r="G350" t="s">
        <v>1317</v>
      </c>
      <c r="H350" t="s">
        <v>1318</v>
      </c>
      <c r="I350" t="s">
        <v>211</v>
      </c>
      <c r="J350" t="s">
        <v>14</v>
      </c>
      <c r="L350">
        <v>45691</v>
      </c>
      <c r="M350" t="s">
        <v>128</v>
      </c>
    </row>
    <row r="351" spans="1:13" x14ac:dyDescent="0.3">
      <c r="A351" t="s">
        <v>1319</v>
      </c>
      <c r="B351" t="s">
        <v>46</v>
      </c>
      <c r="C351" t="s">
        <v>25</v>
      </c>
      <c r="D351" t="s">
        <v>97</v>
      </c>
      <c r="E351">
        <v>3036</v>
      </c>
      <c r="F351" t="s">
        <v>1320</v>
      </c>
      <c r="G351" t="s">
        <v>1321</v>
      </c>
      <c r="H351" t="s">
        <v>1322</v>
      </c>
      <c r="I351" t="s">
        <v>100</v>
      </c>
      <c r="J351" t="s">
        <v>101</v>
      </c>
      <c r="K351" t="s">
        <v>21</v>
      </c>
      <c r="L351">
        <v>45677</v>
      </c>
      <c r="M351" t="s">
        <v>65</v>
      </c>
    </row>
    <row r="352" spans="1:13" x14ac:dyDescent="0.3">
      <c r="A352" t="s">
        <v>1323</v>
      </c>
      <c r="B352" t="s">
        <v>37</v>
      </c>
      <c r="C352" t="s">
        <v>26</v>
      </c>
      <c r="D352" t="s">
        <v>97</v>
      </c>
      <c r="E352">
        <v>3036</v>
      </c>
      <c r="F352" t="s">
        <v>1324</v>
      </c>
      <c r="G352" t="s">
        <v>1325</v>
      </c>
      <c r="H352" t="s">
        <v>1325</v>
      </c>
      <c r="I352" t="s">
        <v>100</v>
      </c>
      <c r="J352" t="s">
        <v>101</v>
      </c>
      <c r="L352">
        <v>45714</v>
      </c>
      <c r="M352" t="s">
        <v>65</v>
      </c>
    </row>
    <row r="353" spans="1:13" x14ac:dyDescent="0.3">
      <c r="A353" t="s">
        <v>1326</v>
      </c>
      <c r="B353" t="s">
        <v>37</v>
      </c>
      <c r="C353" t="s">
        <v>25</v>
      </c>
      <c r="D353" t="s">
        <v>104</v>
      </c>
      <c r="E353">
        <v>3037</v>
      </c>
      <c r="F353" t="s">
        <v>1327</v>
      </c>
      <c r="G353" t="s">
        <v>1328</v>
      </c>
      <c r="H353" t="s">
        <v>1329</v>
      </c>
      <c r="I353" t="s">
        <v>12</v>
      </c>
      <c r="J353" t="s">
        <v>13</v>
      </c>
      <c r="L353">
        <v>45672</v>
      </c>
      <c r="M353" t="s">
        <v>189</v>
      </c>
    </row>
    <row r="354" spans="1:13" x14ac:dyDescent="0.3">
      <c r="A354" t="s">
        <v>1330</v>
      </c>
      <c r="B354" t="s">
        <v>37</v>
      </c>
      <c r="C354" t="s">
        <v>24</v>
      </c>
      <c r="D354" t="s">
        <v>71</v>
      </c>
      <c r="E354">
        <v>3034</v>
      </c>
      <c r="F354" t="s">
        <v>1331</v>
      </c>
      <c r="G354" t="s">
        <v>1332</v>
      </c>
      <c r="H354" t="s">
        <v>1333</v>
      </c>
      <c r="I354" t="s">
        <v>74</v>
      </c>
      <c r="J354" t="s">
        <v>75</v>
      </c>
      <c r="K354" t="s">
        <v>21</v>
      </c>
      <c r="L354">
        <v>45677</v>
      </c>
      <c r="M354" t="s">
        <v>165</v>
      </c>
    </row>
    <row r="355" spans="1:13" x14ac:dyDescent="0.3">
      <c r="A355" t="s">
        <v>1334</v>
      </c>
      <c r="B355" t="s">
        <v>46</v>
      </c>
      <c r="C355" t="s">
        <v>24</v>
      </c>
      <c r="D355" t="s">
        <v>47</v>
      </c>
      <c r="E355">
        <v>3032</v>
      </c>
      <c r="F355" t="s">
        <v>1335</v>
      </c>
      <c r="G355" t="s">
        <v>1336</v>
      </c>
      <c r="H355" t="s">
        <v>1337</v>
      </c>
      <c r="I355" t="s">
        <v>51</v>
      </c>
      <c r="J355" t="s">
        <v>52</v>
      </c>
      <c r="L355">
        <v>45725</v>
      </c>
      <c r="M355" t="s">
        <v>542</v>
      </c>
    </row>
    <row r="356" spans="1:13" x14ac:dyDescent="0.3">
      <c r="A356" t="s">
        <v>1338</v>
      </c>
      <c r="B356" t="s">
        <v>46</v>
      </c>
      <c r="C356" t="s">
        <v>24</v>
      </c>
      <c r="D356" t="s">
        <v>71</v>
      </c>
      <c r="E356">
        <v>3034</v>
      </c>
      <c r="F356" t="s">
        <v>1339</v>
      </c>
      <c r="G356" t="s">
        <v>1340</v>
      </c>
      <c r="H356" t="s">
        <v>1341</v>
      </c>
      <c r="I356" t="s">
        <v>74</v>
      </c>
      <c r="J356" t="s">
        <v>75</v>
      </c>
      <c r="L356">
        <v>45738</v>
      </c>
      <c r="M356" t="s">
        <v>212</v>
      </c>
    </row>
    <row r="357" spans="1:13" x14ac:dyDescent="0.3">
      <c r="A357" t="s">
        <v>1342</v>
      </c>
      <c r="B357" t="s">
        <v>37</v>
      </c>
      <c r="C357" t="s">
        <v>24</v>
      </c>
      <c r="D357" t="s">
        <v>118</v>
      </c>
      <c r="E357">
        <v>3038</v>
      </c>
      <c r="F357" t="s">
        <v>1343</v>
      </c>
      <c r="G357" t="s">
        <v>1344</v>
      </c>
      <c r="H357" t="s">
        <v>1345</v>
      </c>
      <c r="I357" t="s">
        <v>122</v>
      </c>
      <c r="J357" t="s">
        <v>123</v>
      </c>
      <c r="L357">
        <v>45724</v>
      </c>
      <c r="M357" t="s">
        <v>359</v>
      </c>
    </row>
    <row r="358" spans="1:13" x14ac:dyDescent="0.3">
      <c r="A358" t="s">
        <v>1346</v>
      </c>
      <c r="B358" t="s">
        <v>46</v>
      </c>
      <c r="C358" t="s">
        <v>26</v>
      </c>
      <c r="D358" t="s">
        <v>191</v>
      </c>
      <c r="E358">
        <v>3040</v>
      </c>
      <c r="F358" t="s">
        <v>1347</v>
      </c>
      <c r="G358" t="s">
        <v>1348</v>
      </c>
      <c r="H358" t="s">
        <v>1348</v>
      </c>
      <c r="I358" t="s">
        <v>194</v>
      </c>
      <c r="J358" t="s">
        <v>13</v>
      </c>
      <c r="K358" t="s">
        <v>21</v>
      </c>
      <c r="L358">
        <v>45714</v>
      </c>
      <c r="M358" t="s">
        <v>224</v>
      </c>
    </row>
    <row r="359" spans="1:13" x14ac:dyDescent="0.3">
      <c r="A359" t="s">
        <v>1349</v>
      </c>
      <c r="B359" t="s">
        <v>37</v>
      </c>
      <c r="C359" t="s">
        <v>25</v>
      </c>
      <c r="D359" t="s">
        <v>97</v>
      </c>
      <c r="E359">
        <v>3036</v>
      </c>
      <c r="F359" t="s">
        <v>1350</v>
      </c>
      <c r="G359" t="s">
        <v>1351</v>
      </c>
      <c r="H359" t="s">
        <v>1352</v>
      </c>
      <c r="I359" t="s">
        <v>100</v>
      </c>
      <c r="J359" t="s">
        <v>101</v>
      </c>
      <c r="L359">
        <v>45705</v>
      </c>
      <c r="M359" t="s">
        <v>292</v>
      </c>
    </row>
    <row r="360" spans="1:13" x14ac:dyDescent="0.3">
      <c r="A360" t="s">
        <v>1353</v>
      </c>
      <c r="B360" t="s">
        <v>37</v>
      </c>
      <c r="C360" t="s">
        <v>25</v>
      </c>
      <c r="D360" t="s">
        <v>444</v>
      </c>
      <c r="E360">
        <v>3042</v>
      </c>
      <c r="F360" t="s">
        <v>1354</v>
      </c>
      <c r="G360" t="s">
        <v>1355</v>
      </c>
      <c r="H360" t="s">
        <v>1356</v>
      </c>
      <c r="I360" t="s">
        <v>448</v>
      </c>
      <c r="J360" t="s">
        <v>449</v>
      </c>
      <c r="L360">
        <v>45666</v>
      </c>
      <c r="M360" t="s">
        <v>224</v>
      </c>
    </row>
    <row r="361" spans="1:13" x14ac:dyDescent="0.3">
      <c r="A361" t="s">
        <v>1357</v>
      </c>
      <c r="B361" t="s">
        <v>46</v>
      </c>
      <c r="C361" t="s">
        <v>26</v>
      </c>
      <c r="D361" t="s">
        <v>118</v>
      </c>
      <c r="E361">
        <v>3038</v>
      </c>
      <c r="F361" t="s">
        <v>1358</v>
      </c>
      <c r="G361" t="s">
        <v>1359</v>
      </c>
      <c r="H361" t="s">
        <v>1359</v>
      </c>
      <c r="I361" t="s">
        <v>122</v>
      </c>
      <c r="J361" t="s">
        <v>123</v>
      </c>
      <c r="K361" t="s">
        <v>21</v>
      </c>
      <c r="L361">
        <v>45669</v>
      </c>
      <c r="M361" t="s">
        <v>200</v>
      </c>
    </row>
    <row r="362" spans="1:13" x14ac:dyDescent="0.3">
      <c r="A362" t="s">
        <v>1360</v>
      </c>
      <c r="B362" t="s">
        <v>37</v>
      </c>
      <c r="C362" t="s">
        <v>26</v>
      </c>
      <c r="D362" t="s">
        <v>71</v>
      </c>
      <c r="E362">
        <v>3034</v>
      </c>
      <c r="F362" t="s">
        <v>1361</v>
      </c>
      <c r="G362" t="s">
        <v>1362</v>
      </c>
      <c r="H362" t="s">
        <v>1363</v>
      </c>
      <c r="I362" t="s">
        <v>74</v>
      </c>
      <c r="J362" t="s">
        <v>75</v>
      </c>
      <c r="L362">
        <v>45710</v>
      </c>
      <c r="M362" t="s">
        <v>212</v>
      </c>
    </row>
    <row r="363" spans="1:13" x14ac:dyDescent="0.3">
      <c r="A363" t="s">
        <v>1364</v>
      </c>
      <c r="B363" t="s">
        <v>37</v>
      </c>
      <c r="C363" t="s">
        <v>22</v>
      </c>
      <c r="D363" t="s">
        <v>38</v>
      </c>
      <c r="E363">
        <v>3031</v>
      </c>
      <c r="F363" t="s">
        <v>1365</v>
      </c>
      <c r="G363" t="s">
        <v>1366</v>
      </c>
      <c r="H363" t="s">
        <v>1367</v>
      </c>
      <c r="I363" t="s">
        <v>42</v>
      </c>
      <c r="J363" t="s">
        <v>43</v>
      </c>
      <c r="K363" t="s">
        <v>21</v>
      </c>
      <c r="L363">
        <v>45667</v>
      </c>
      <c r="M363" t="s">
        <v>76</v>
      </c>
    </row>
    <row r="364" spans="1:13" x14ac:dyDescent="0.3">
      <c r="A364" t="s">
        <v>1368</v>
      </c>
      <c r="B364" t="s">
        <v>37</v>
      </c>
      <c r="C364" t="s">
        <v>26</v>
      </c>
      <c r="D364" t="s">
        <v>207</v>
      </c>
      <c r="E364">
        <v>3041</v>
      </c>
      <c r="F364" t="s">
        <v>1369</v>
      </c>
      <c r="G364" t="s">
        <v>1370</v>
      </c>
      <c r="H364" t="s">
        <v>1371</v>
      </c>
      <c r="I364" t="s">
        <v>211</v>
      </c>
      <c r="J364" t="s">
        <v>14</v>
      </c>
      <c r="K364" t="s">
        <v>21</v>
      </c>
      <c r="L364">
        <v>45710</v>
      </c>
      <c r="M364" t="s">
        <v>394</v>
      </c>
    </row>
    <row r="365" spans="1:13" x14ac:dyDescent="0.3">
      <c r="A365" t="s">
        <v>1372</v>
      </c>
      <c r="B365" t="s">
        <v>46</v>
      </c>
      <c r="C365" t="s">
        <v>26</v>
      </c>
      <c r="D365" t="s">
        <v>55</v>
      </c>
      <c r="E365">
        <v>3033</v>
      </c>
      <c r="F365" t="s">
        <v>1373</v>
      </c>
      <c r="G365" t="s">
        <v>1374</v>
      </c>
      <c r="H365" t="s">
        <v>1375</v>
      </c>
      <c r="I365" t="s">
        <v>58</v>
      </c>
      <c r="J365" t="s">
        <v>59</v>
      </c>
      <c r="L365">
        <v>45663</v>
      </c>
      <c r="M365" t="s">
        <v>69</v>
      </c>
    </row>
    <row r="366" spans="1:13" x14ac:dyDescent="0.3">
      <c r="A366" t="s">
        <v>1376</v>
      </c>
      <c r="B366" t="s">
        <v>46</v>
      </c>
      <c r="C366" t="s">
        <v>24</v>
      </c>
      <c r="D366" t="s">
        <v>97</v>
      </c>
      <c r="E366">
        <v>3036</v>
      </c>
      <c r="F366" t="s">
        <v>1377</v>
      </c>
      <c r="G366" t="s">
        <v>1378</v>
      </c>
      <c r="H366" t="s">
        <v>1378</v>
      </c>
      <c r="I366" t="s">
        <v>100</v>
      </c>
      <c r="J366" t="s">
        <v>101</v>
      </c>
      <c r="K366" t="s">
        <v>21</v>
      </c>
      <c r="L366">
        <v>45659</v>
      </c>
      <c r="M366" t="s">
        <v>65</v>
      </c>
    </row>
    <row r="367" spans="1:13" x14ac:dyDescent="0.3">
      <c r="A367" t="s">
        <v>1379</v>
      </c>
      <c r="B367" t="s">
        <v>37</v>
      </c>
      <c r="C367" t="s">
        <v>24</v>
      </c>
      <c r="D367" t="s">
        <v>444</v>
      </c>
      <c r="E367">
        <v>3042</v>
      </c>
      <c r="F367" t="s">
        <v>1380</v>
      </c>
      <c r="G367" t="s">
        <v>1381</v>
      </c>
      <c r="H367" t="s">
        <v>1382</v>
      </c>
      <c r="I367" t="s">
        <v>448</v>
      </c>
      <c r="J367" t="s">
        <v>449</v>
      </c>
      <c r="K367" t="s">
        <v>21</v>
      </c>
      <c r="L367">
        <v>45692</v>
      </c>
      <c r="M367" t="s">
        <v>481</v>
      </c>
    </row>
    <row r="368" spans="1:13" x14ac:dyDescent="0.3">
      <c r="A368" t="s">
        <v>1383</v>
      </c>
      <c r="B368" t="s">
        <v>37</v>
      </c>
      <c r="C368" t="s">
        <v>26</v>
      </c>
      <c r="D368" t="s">
        <v>71</v>
      </c>
      <c r="E368">
        <v>3034</v>
      </c>
      <c r="F368" t="s">
        <v>1384</v>
      </c>
      <c r="G368" t="s">
        <v>1385</v>
      </c>
      <c r="H368" t="s">
        <v>1385</v>
      </c>
      <c r="I368" t="s">
        <v>74</v>
      </c>
      <c r="J368" t="s">
        <v>75</v>
      </c>
      <c r="L368">
        <v>45704</v>
      </c>
      <c r="M368" t="s">
        <v>212</v>
      </c>
    </row>
    <row r="369" spans="1:13" x14ac:dyDescent="0.3">
      <c r="A369" t="s">
        <v>1386</v>
      </c>
      <c r="B369" t="s">
        <v>46</v>
      </c>
      <c r="C369" t="s">
        <v>25</v>
      </c>
      <c r="D369" t="s">
        <v>118</v>
      </c>
      <c r="E369">
        <v>3038</v>
      </c>
      <c r="F369" t="s">
        <v>1387</v>
      </c>
      <c r="G369" t="s">
        <v>1388</v>
      </c>
      <c r="H369" t="s">
        <v>1388</v>
      </c>
      <c r="I369" t="s">
        <v>122</v>
      </c>
      <c r="J369" t="s">
        <v>123</v>
      </c>
      <c r="L369">
        <v>45669</v>
      </c>
      <c r="M369" t="s">
        <v>344</v>
      </c>
    </row>
    <row r="370" spans="1:13" x14ac:dyDescent="0.3">
      <c r="A370" t="s">
        <v>1389</v>
      </c>
      <c r="B370" t="s">
        <v>46</v>
      </c>
      <c r="C370" t="s">
        <v>25</v>
      </c>
      <c r="D370" t="s">
        <v>207</v>
      </c>
      <c r="E370">
        <v>3041</v>
      </c>
      <c r="F370" t="s">
        <v>1390</v>
      </c>
      <c r="G370" t="s">
        <v>1391</v>
      </c>
      <c r="H370" t="s">
        <v>1392</v>
      </c>
      <c r="I370" t="s">
        <v>211</v>
      </c>
      <c r="J370" t="s">
        <v>14</v>
      </c>
      <c r="L370">
        <v>45673</v>
      </c>
      <c r="M370" t="s">
        <v>300</v>
      </c>
    </row>
    <row r="371" spans="1:13" x14ac:dyDescent="0.3">
      <c r="A371" t="s">
        <v>1393</v>
      </c>
      <c r="B371" t="s">
        <v>37</v>
      </c>
      <c r="C371" t="s">
        <v>26</v>
      </c>
      <c r="D371" t="s">
        <v>97</v>
      </c>
      <c r="E371">
        <v>3036</v>
      </c>
      <c r="F371" t="s">
        <v>1394</v>
      </c>
      <c r="G371" t="s">
        <v>1395</v>
      </c>
      <c r="H371" t="s">
        <v>1396</v>
      </c>
      <c r="I371" t="s">
        <v>100</v>
      </c>
      <c r="J371" t="s">
        <v>101</v>
      </c>
      <c r="K371" t="s">
        <v>21</v>
      </c>
      <c r="L371">
        <v>45686</v>
      </c>
      <c r="M371" t="s">
        <v>292</v>
      </c>
    </row>
    <row r="372" spans="1:13" x14ac:dyDescent="0.3">
      <c r="A372" t="s">
        <v>1397</v>
      </c>
      <c r="B372" t="s">
        <v>46</v>
      </c>
      <c r="C372" t="s">
        <v>25</v>
      </c>
      <c r="D372" t="s">
        <v>136</v>
      </c>
      <c r="E372">
        <v>3039</v>
      </c>
      <c r="F372" t="s">
        <v>1398</v>
      </c>
      <c r="G372" t="s">
        <v>1399</v>
      </c>
      <c r="H372" t="s">
        <v>1399</v>
      </c>
      <c r="I372" t="s">
        <v>15</v>
      </c>
      <c r="J372" t="s">
        <v>14</v>
      </c>
      <c r="K372" t="s">
        <v>21</v>
      </c>
      <c r="L372">
        <v>45718</v>
      </c>
      <c r="M372" t="s">
        <v>200</v>
      </c>
    </row>
    <row r="373" spans="1:13" x14ac:dyDescent="0.3">
      <c r="A373" t="s">
        <v>1400</v>
      </c>
      <c r="B373" t="s">
        <v>46</v>
      </c>
      <c r="C373" t="s">
        <v>22</v>
      </c>
      <c r="D373" t="s">
        <v>55</v>
      </c>
      <c r="E373">
        <v>3033</v>
      </c>
      <c r="F373" t="s">
        <v>1401</v>
      </c>
      <c r="G373" t="s">
        <v>1402</v>
      </c>
      <c r="H373" t="s">
        <v>1403</v>
      </c>
      <c r="I373" t="s">
        <v>58</v>
      </c>
      <c r="J373" t="s">
        <v>59</v>
      </c>
      <c r="L373">
        <v>45736</v>
      </c>
      <c r="M373" t="s">
        <v>60</v>
      </c>
    </row>
    <row r="374" spans="1:13" x14ac:dyDescent="0.3">
      <c r="A374" t="s">
        <v>1404</v>
      </c>
      <c r="B374" t="s">
        <v>37</v>
      </c>
      <c r="C374" t="s">
        <v>26</v>
      </c>
      <c r="D374" t="s">
        <v>71</v>
      </c>
      <c r="E374">
        <v>3034</v>
      </c>
      <c r="F374" t="s">
        <v>1405</v>
      </c>
      <c r="G374" t="s">
        <v>1406</v>
      </c>
      <c r="H374" t="s">
        <v>1407</v>
      </c>
      <c r="I374" t="s">
        <v>74</v>
      </c>
      <c r="J374" t="s">
        <v>75</v>
      </c>
      <c r="L374">
        <v>45723</v>
      </c>
      <c r="M374" t="s">
        <v>165</v>
      </c>
    </row>
    <row r="375" spans="1:13" x14ac:dyDescent="0.3">
      <c r="A375" t="s">
        <v>1408</v>
      </c>
      <c r="B375" t="s">
        <v>46</v>
      </c>
      <c r="C375" t="s">
        <v>24</v>
      </c>
      <c r="D375" t="s">
        <v>97</v>
      </c>
      <c r="E375">
        <v>3036</v>
      </c>
      <c r="F375" t="s">
        <v>1409</v>
      </c>
      <c r="G375" t="s">
        <v>1410</v>
      </c>
      <c r="H375" t="s">
        <v>1411</v>
      </c>
      <c r="I375" t="s">
        <v>100</v>
      </c>
      <c r="J375" t="s">
        <v>101</v>
      </c>
      <c r="L375">
        <v>45739</v>
      </c>
      <c r="M375" t="s">
        <v>65</v>
      </c>
    </row>
    <row r="376" spans="1:13" x14ac:dyDescent="0.3">
      <c r="A376" t="s">
        <v>1412</v>
      </c>
      <c r="B376" t="s">
        <v>37</v>
      </c>
      <c r="C376" t="s">
        <v>24</v>
      </c>
      <c r="D376" t="s">
        <v>38</v>
      </c>
      <c r="E376">
        <v>3031</v>
      </c>
      <c r="F376" t="s">
        <v>1413</v>
      </c>
      <c r="G376" t="s">
        <v>1414</v>
      </c>
      <c r="H376" t="s">
        <v>1414</v>
      </c>
      <c r="I376" t="s">
        <v>42</v>
      </c>
      <c r="J376" t="s">
        <v>43</v>
      </c>
      <c r="L376">
        <v>45732</v>
      </c>
      <c r="M376" t="s">
        <v>128</v>
      </c>
    </row>
    <row r="377" spans="1:13" x14ac:dyDescent="0.3">
      <c r="A377" t="s">
        <v>1415</v>
      </c>
      <c r="B377" t="s">
        <v>37</v>
      </c>
      <c r="C377" t="s">
        <v>24</v>
      </c>
      <c r="D377" t="s">
        <v>444</v>
      </c>
      <c r="E377">
        <v>3042</v>
      </c>
      <c r="F377" t="s">
        <v>1416</v>
      </c>
      <c r="G377" t="s">
        <v>1417</v>
      </c>
      <c r="H377" t="s">
        <v>1417</v>
      </c>
      <c r="I377" t="s">
        <v>448</v>
      </c>
      <c r="J377" t="s">
        <v>449</v>
      </c>
      <c r="K377" t="s">
        <v>21</v>
      </c>
      <c r="L377">
        <v>45670</v>
      </c>
      <c r="M377" t="s">
        <v>450</v>
      </c>
    </row>
    <row r="378" spans="1:13" x14ac:dyDescent="0.3">
      <c r="A378" t="s">
        <v>1418</v>
      </c>
      <c r="B378" t="s">
        <v>46</v>
      </c>
      <c r="C378" t="s">
        <v>24</v>
      </c>
      <c r="D378" t="s">
        <v>55</v>
      </c>
      <c r="E378">
        <v>3033</v>
      </c>
      <c r="F378" t="s">
        <v>1419</v>
      </c>
      <c r="G378" t="s">
        <v>1420</v>
      </c>
      <c r="H378" t="s">
        <v>1420</v>
      </c>
      <c r="I378" t="s">
        <v>58</v>
      </c>
      <c r="J378" t="s">
        <v>59</v>
      </c>
      <c r="K378" t="s">
        <v>21</v>
      </c>
      <c r="L378">
        <v>45701</v>
      </c>
      <c r="M378" t="s">
        <v>60</v>
      </c>
    </row>
    <row r="379" spans="1:13" x14ac:dyDescent="0.3">
      <c r="A379" t="s">
        <v>1421</v>
      </c>
      <c r="B379" t="s">
        <v>46</v>
      </c>
      <c r="C379" t="s">
        <v>26</v>
      </c>
      <c r="D379" t="s">
        <v>55</v>
      </c>
      <c r="E379">
        <v>3033</v>
      </c>
      <c r="F379" t="s">
        <v>1422</v>
      </c>
      <c r="G379" t="s">
        <v>1423</v>
      </c>
      <c r="H379" t="s">
        <v>1424</v>
      </c>
      <c r="I379" t="s">
        <v>58</v>
      </c>
      <c r="J379" t="s">
        <v>59</v>
      </c>
      <c r="K379" t="s">
        <v>21</v>
      </c>
      <c r="L379">
        <v>45680</v>
      </c>
      <c r="M379" t="s">
        <v>86</v>
      </c>
    </row>
    <row r="380" spans="1:13" x14ac:dyDescent="0.3">
      <c r="A380" t="s">
        <v>1425</v>
      </c>
      <c r="B380" t="s">
        <v>46</v>
      </c>
      <c r="C380" t="s">
        <v>22</v>
      </c>
      <c r="D380" t="s">
        <v>71</v>
      </c>
      <c r="E380">
        <v>3034</v>
      </c>
      <c r="F380" t="s">
        <v>1426</v>
      </c>
      <c r="G380" t="s">
        <v>1427</v>
      </c>
      <c r="H380" t="s">
        <v>1427</v>
      </c>
      <c r="I380" t="s">
        <v>74</v>
      </c>
      <c r="J380" t="s">
        <v>75</v>
      </c>
      <c r="K380" t="s">
        <v>21</v>
      </c>
      <c r="L380">
        <v>45668</v>
      </c>
      <c r="M380" t="s">
        <v>76</v>
      </c>
    </row>
    <row r="381" spans="1:13" x14ac:dyDescent="0.3">
      <c r="A381" t="s">
        <v>1428</v>
      </c>
      <c r="B381" t="s">
        <v>46</v>
      </c>
      <c r="C381" t="s">
        <v>26</v>
      </c>
      <c r="D381" t="s">
        <v>55</v>
      </c>
      <c r="E381">
        <v>3033</v>
      </c>
      <c r="F381" t="s">
        <v>1429</v>
      </c>
      <c r="G381" t="s">
        <v>1430</v>
      </c>
      <c r="H381" t="s">
        <v>1431</v>
      </c>
      <c r="I381" t="s">
        <v>58</v>
      </c>
      <c r="J381" t="s">
        <v>59</v>
      </c>
      <c r="K381" t="s">
        <v>21</v>
      </c>
      <c r="L381">
        <v>45708</v>
      </c>
      <c r="M381" t="s">
        <v>90</v>
      </c>
    </row>
    <row r="382" spans="1:13" x14ac:dyDescent="0.3">
      <c r="A382" t="s">
        <v>1432</v>
      </c>
      <c r="B382" t="s">
        <v>37</v>
      </c>
      <c r="C382" t="s">
        <v>26</v>
      </c>
      <c r="D382" t="s">
        <v>55</v>
      </c>
      <c r="E382">
        <v>3033</v>
      </c>
      <c r="F382" t="s">
        <v>1433</v>
      </c>
      <c r="G382" t="s">
        <v>1434</v>
      </c>
      <c r="H382" t="s">
        <v>1434</v>
      </c>
      <c r="I382" t="s">
        <v>58</v>
      </c>
      <c r="J382" t="s">
        <v>59</v>
      </c>
      <c r="L382">
        <v>45706</v>
      </c>
      <c r="M382" t="s">
        <v>90</v>
      </c>
    </row>
    <row r="383" spans="1:13" x14ac:dyDescent="0.3">
      <c r="A383" t="s">
        <v>1435</v>
      </c>
      <c r="B383" t="s">
        <v>37</v>
      </c>
      <c r="C383" t="s">
        <v>22</v>
      </c>
      <c r="D383" t="s">
        <v>104</v>
      </c>
      <c r="E383">
        <v>3037</v>
      </c>
      <c r="F383" t="s">
        <v>1436</v>
      </c>
      <c r="G383" t="s">
        <v>1437</v>
      </c>
      <c r="H383" t="s">
        <v>1438</v>
      </c>
      <c r="I383" t="s">
        <v>12</v>
      </c>
      <c r="J383" t="s">
        <v>13</v>
      </c>
      <c r="L383">
        <v>45722</v>
      </c>
      <c r="M383" t="s">
        <v>287</v>
      </c>
    </row>
    <row r="384" spans="1:13" x14ac:dyDescent="0.3">
      <c r="A384" t="s">
        <v>1439</v>
      </c>
      <c r="B384" t="s">
        <v>37</v>
      </c>
      <c r="C384" t="s">
        <v>22</v>
      </c>
      <c r="D384" t="s">
        <v>71</v>
      </c>
      <c r="E384">
        <v>3034</v>
      </c>
      <c r="F384" t="s">
        <v>1440</v>
      </c>
      <c r="G384" t="s">
        <v>1441</v>
      </c>
      <c r="H384" t="s">
        <v>1441</v>
      </c>
      <c r="I384" t="s">
        <v>74</v>
      </c>
      <c r="J384" t="s">
        <v>75</v>
      </c>
      <c r="L384">
        <v>45660</v>
      </c>
      <c r="M384" t="s">
        <v>76</v>
      </c>
    </row>
    <row r="385" spans="1:13" x14ac:dyDescent="0.3">
      <c r="A385" t="s">
        <v>1442</v>
      </c>
      <c r="B385" t="s">
        <v>37</v>
      </c>
      <c r="C385" t="s">
        <v>24</v>
      </c>
      <c r="D385" t="s">
        <v>118</v>
      </c>
      <c r="E385">
        <v>3038</v>
      </c>
      <c r="F385" t="s">
        <v>1443</v>
      </c>
      <c r="G385" t="s">
        <v>1444</v>
      </c>
      <c r="H385" t="s">
        <v>1445</v>
      </c>
      <c r="I385" t="s">
        <v>122</v>
      </c>
      <c r="J385" t="s">
        <v>123</v>
      </c>
      <c r="L385">
        <v>45683</v>
      </c>
      <c r="M385" t="s">
        <v>124</v>
      </c>
    </row>
    <row r="386" spans="1:13" x14ac:dyDescent="0.3">
      <c r="A386" t="s">
        <v>1446</v>
      </c>
      <c r="B386" t="s">
        <v>46</v>
      </c>
      <c r="C386" t="s">
        <v>26</v>
      </c>
      <c r="D386" t="s">
        <v>104</v>
      </c>
      <c r="E386">
        <v>3037</v>
      </c>
      <c r="F386" t="s">
        <v>1447</v>
      </c>
      <c r="G386" t="s">
        <v>1448</v>
      </c>
      <c r="H386" t="s">
        <v>1448</v>
      </c>
      <c r="I386" t="s">
        <v>12</v>
      </c>
      <c r="J386" t="s">
        <v>13</v>
      </c>
      <c r="K386" t="s">
        <v>21</v>
      </c>
      <c r="L386">
        <v>45679</v>
      </c>
      <c r="M386" t="s">
        <v>224</v>
      </c>
    </row>
    <row r="387" spans="1:13" x14ac:dyDescent="0.3">
      <c r="A387" t="s">
        <v>1449</v>
      </c>
      <c r="B387" t="s">
        <v>37</v>
      </c>
      <c r="C387" t="s">
        <v>22</v>
      </c>
      <c r="D387" t="s">
        <v>136</v>
      </c>
      <c r="E387">
        <v>3039</v>
      </c>
      <c r="F387" t="s">
        <v>1450</v>
      </c>
      <c r="G387" t="s">
        <v>1451</v>
      </c>
      <c r="H387" t="s">
        <v>1451</v>
      </c>
      <c r="I387" t="s">
        <v>15</v>
      </c>
      <c r="J387" t="s">
        <v>14</v>
      </c>
      <c r="L387">
        <v>45680</v>
      </c>
      <c r="M387" t="s">
        <v>987</v>
      </c>
    </row>
    <row r="388" spans="1:13" x14ac:dyDescent="0.3">
      <c r="A388" t="s">
        <v>1452</v>
      </c>
      <c r="B388" t="s">
        <v>37</v>
      </c>
      <c r="C388" t="s">
        <v>24</v>
      </c>
      <c r="D388" t="s">
        <v>47</v>
      </c>
      <c r="E388">
        <v>3032</v>
      </c>
      <c r="F388" t="s">
        <v>1453</v>
      </c>
      <c r="G388" t="s">
        <v>1454</v>
      </c>
      <c r="H388" t="s">
        <v>1454</v>
      </c>
      <c r="I388" t="s">
        <v>51</v>
      </c>
      <c r="J388" t="s">
        <v>52</v>
      </c>
      <c r="K388" t="s">
        <v>21</v>
      </c>
      <c r="L388">
        <v>45675</v>
      </c>
      <c r="M388" t="s">
        <v>261</v>
      </c>
    </row>
    <row r="389" spans="1:13" x14ac:dyDescent="0.3">
      <c r="A389" t="s">
        <v>1455</v>
      </c>
      <c r="B389" t="s">
        <v>37</v>
      </c>
      <c r="C389" t="s">
        <v>24</v>
      </c>
      <c r="D389" t="s">
        <v>136</v>
      </c>
      <c r="E389">
        <v>3039</v>
      </c>
      <c r="F389" t="s">
        <v>1456</v>
      </c>
      <c r="G389" t="s">
        <v>1457</v>
      </c>
      <c r="H389" t="s">
        <v>1458</v>
      </c>
      <c r="I389" t="s">
        <v>15</v>
      </c>
      <c r="J389" t="s">
        <v>14</v>
      </c>
      <c r="L389">
        <v>45708</v>
      </c>
      <c r="M389" t="s">
        <v>987</v>
      </c>
    </row>
    <row r="390" spans="1:13" x14ac:dyDescent="0.3">
      <c r="A390" t="s">
        <v>1459</v>
      </c>
      <c r="B390" t="s">
        <v>37</v>
      </c>
      <c r="C390" t="s">
        <v>26</v>
      </c>
      <c r="D390" t="s">
        <v>71</v>
      </c>
      <c r="E390">
        <v>3034</v>
      </c>
      <c r="F390" t="s">
        <v>1460</v>
      </c>
      <c r="G390" t="s">
        <v>1461</v>
      </c>
      <c r="H390" t="s">
        <v>1462</v>
      </c>
      <c r="I390" t="s">
        <v>74</v>
      </c>
      <c r="J390" t="s">
        <v>75</v>
      </c>
      <c r="K390" t="s">
        <v>21</v>
      </c>
      <c r="L390">
        <v>45699</v>
      </c>
      <c r="M390" t="s">
        <v>212</v>
      </c>
    </row>
    <row r="391" spans="1:13" x14ac:dyDescent="0.3">
      <c r="A391" t="s">
        <v>1463</v>
      </c>
      <c r="B391" t="s">
        <v>37</v>
      </c>
      <c r="C391" t="s">
        <v>22</v>
      </c>
      <c r="D391" t="s">
        <v>38</v>
      </c>
      <c r="E391">
        <v>3031</v>
      </c>
      <c r="F391" t="s">
        <v>1464</v>
      </c>
      <c r="G391" t="s">
        <v>1465</v>
      </c>
      <c r="H391" t="s">
        <v>1465</v>
      </c>
      <c r="I391" t="s">
        <v>42</v>
      </c>
      <c r="J391" t="s">
        <v>43</v>
      </c>
      <c r="K391" t="s">
        <v>21</v>
      </c>
      <c r="L391">
        <v>45726</v>
      </c>
      <c r="M391" t="s">
        <v>76</v>
      </c>
    </row>
    <row r="392" spans="1:13" x14ac:dyDescent="0.3">
      <c r="A392" t="s">
        <v>1466</v>
      </c>
      <c r="B392" t="s">
        <v>37</v>
      </c>
      <c r="C392" t="s">
        <v>26</v>
      </c>
      <c r="D392" t="s">
        <v>118</v>
      </c>
      <c r="E392">
        <v>3038</v>
      </c>
      <c r="F392" t="s">
        <v>1467</v>
      </c>
      <c r="G392" t="s">
        <v>1468</v>
      </c>
      <c r="H392" t="s">
        <v>1468</v>
      </c>
      <c r="I392" t="s">
        <v>122</v>
      </c>
      <c r="J392" t="s">
        <v>123</v>
      </c>
      <c r="L392">
        <v>45668</v>
      </c>
      <c r="M392" t="s">
        <v>581</v>
      </c>
    </row>
    <row r="393" spans="1:13" x14ac:dyDescent="0.3">
      <c r="A393" t="s">
        <v>1469</v>
      </c>
      <c r="B393" t="s">
        <v>37</v>
      </c>
      <c r="C393" t="s">
        <v>25</v>
      </c>
      <c r="D393" t="s">
        <v>104</v>
      </c>
      <c r="E393">
        <v>3037</v>
      </c>
      <c r="F393" t="s">
        <v>1470</v>
      </c>
      <c r="G393" t="s">
        <v>1471</v>
      </c>
      <c r="H393" t="s">
        <v>1472</v>
      </c>
      <c r="I393" t="s">
        <v>12</v>
      </c>
      <c r="J393" t="s">
        <v>13</v>
      </c>
      <c r="K393" t="s">
        <v>21</v>
      </c>
      <c r="L393">
        <v>45731</v>
      </c>
      <c r="M393" t="s">
        <v>107</v>
      </c>
    </row>
    <row r="394" spans="1:13" x14ac:dyDescent="0.3">
      <c r="A394" t="s">
        <v>1473</v>
      </c>
      <c r="B394" t="s">
        <v>37</v>
      </c>
      <c r="C394" t="s">
        <v>22</v>
      </c>
      <c r="D394" t="s">
        <v>136</v>
      </c>
      <c r="E394">
        <v>3039</v>
      </c>
      <c r="F394" t="s">
        <v>1138</v>
      </c>
      <c r="G394" t="s">
        <v>1474</v>
      </c>
      <c r="H394" t="s">
        <v>1475</v>
      </c>
      <c r="I394" t="s">
        <v>15</v>
      </c>
      <c r="J394" t="s">
        <v>14</v>
      </c>
      <c r="L394">
        <v>45714</v>
      </c>
      <c r="M394" t="s">
        <v>200</v>
      </c>
    </row>
    <row r="395" spans="1:13" x14ac:dyDescent="0.3">
      <c r="A395" t="s">
        <v>1476</v>
      </c>
      <c r="B395" t="s">
        <v>37</v>
      </c>
      <c r="C395" t="s">
        <v>26</v>
      </c>
      <c r="D395" t="s">
        <v>38</v>
      </c>
      <c r="E395">
        <v>3031</v>
      </c>
      <c r="F395" t="s">
        <v>1477</v>
      </c>
      <c r="G395" t="s">
        <v>1478</v>
      </c>
      <c r="H395" t="s">
        <v>1478</v>
      </c>
      <c r="I395" t="s">
        <v>42</v>
      </c>
      <c r="J395" t="s">
        <v>43</v>
      </c>
      <c r="L395">
        <v>45734</v>
      </c>
      <c r="M395" t="s">
        <v>65</v>
      </c>
    </row>
    <row r="396" spans="1:13" x14ac:dyDescent="0.3">
      <c r="A396" t="s">
        <v>1479</v>
      </c>
      <c r="B396" t="s">
        <v>46</v>
      </c>
      <c r="C396" t="s">
        <v>22</v>
      </c>
      <c r="D396" t="s">
        <v>118</v>
      </c>
      <c r="E396">
        <v>3038</v>
      </c>
      <c r="F396" t="s">
        <v>1480</v>
      </c>
      <c r="G396" t="s">
        <v>1481</v>
      </c>
      <c r="H396" t="s">
        <v>1482</v>
      </c>
      <c r="I396" t="s">
        <v>122</v>
      </c>
      <c r="J396" t="s">
        <v>123</v>
      </c>
      <c r="L396">
        <v>45679</v>
      </c>
      <c r="M396" t="s">
        <v>359</v>
      </c>
    </row>
    <row r="397" spans="1:13" x14ac:dyDescent="0.3">
      <c r="A397" t="s">
        <v>1483</v>
      </c>
      <c r="B397" t="s">
        <v>37</v>
      </c>
      <c r="C397" t="s">
        <v>26</v>
      </c>
      <c r="D397" t="s">
        <v>444</v>
      </c>
      <c r="E397">
        <v>3042</v>
      </c>
      <c r="F397" t="s">
        <v>1484</v>
      </c>
      <c r="G397" t="s">
        <v>1485</v>
      </c>
      <c r="H397" t="s">
        <v>1486</v>
      </c>
      <c r="I397" t="s">
        <v>448</v>
      </c>
      <c r="J397" t="s">
        <v>449</v>
      </c>
      <c r="K397" t="s">
        <v>21</v>
      </c>
      <c r="L397">
        <v>45700</v>
      </c>
      <c r="M397" t="s">
        <v>363</v>
      </c>
    </row>
    <row r="398" spans="1:13" x14ac:dyDescent="0.3">
      <c r="A398" t="s">
        <v>1487</v>
      </c>
      <c r="B398" t="s">
        <v>37</v>
      </c>
      <c r="C398" t="s">
        <v>26</v>
      </c>
      <c r="D398" t="s">
        <v>191</v>
      </c>
      <c r="E398">
        <v>3040</v>
      </c>
      <c r="F398" t="s">
        <v>1488</v>
      </c>
      <c r="G398" t="s">
        <v>1489</v>
      </c>
      <c r="H398" t="s">
        <v>1489</v>
      </c>
      <c r="I398" t="s">
        <v>194</v>
      </c>
      <c r="J398" t="s">
        <v>13</v>
      </c>
      <c r="L398">
        <v>45723</v>
      </c>
      <c r="M398" t="s">
        <v>224</v>
      </c>
    </row>
    <row r="399" spans="1:13" x14ac:dyDescent="0.3">
      <c r="A399" t="s">
        <v>1490</v>
      </c>
      <c r="B399" t="s">
        <v>37</v>
      </c>
      <c r="C399" t="s">
        <v>25</v>
      </c>
      <c r="D399" t="s">
        <v>136</v>
      </c>
      <c r="E399">
        <v>3039</v>
      </c>
      <c r="F399" t="s">
        <v>1491</v>
      </c>
      <c r="G399" t="s">
        <v>1492</v>
      </c>
      <c r="H399" t="s">
        <v>1493</v>
      </c>
      <c r="I399" t="s">
        <v>15</v>
      </c>
      <c r="J399" t="s">
        <v>14</v>
      </c>
      <c r="L399">
        <v>45708</v>
      </c>
      <c r="M399" t="s">
        <v>577</v>
      </c>
    </row>
    <row r="400" spans="1:13" x14ac:dyDescent="0.3">
      <c r="A400" t="s">
        <v>1494</v>
      </c>
      <c r="B400" t="s">
        <v>37</v>
      </c>
      <c r="C400" t="s">
        <v>24</v>
      </c>
      <c r="D400" t="s">
        <v>47</v>
      </c>
      <c r="E400">
        <v>3032</v>
      </c>
      <c r="F400" t="s">
        <v>1495</v>
      </c>
      <c r="G400" t="s">
        <v>1496</v>
      </c>
      <c r="H400" t="s">
        <v>1496</v>
      </c>
      <c r="I400" t="s">
        <v>51</v>
      </c>
      <c r="J400" t="s">
        <v>52</v>
      </c>
      <c r="L400">
        <v>45679</v>
      </c>
      <c r="M400" t="s">
        <v>53</v>
      </c>
    </row>
    <row r="401" spans="1:13" x14ac:dyDescent="0.3">
      <c r="A401" t="s">
        <v>1497</v>
      </c>
      <c r="B401" t="s">
        <v>46</v>
      </c>
      <c r="C401" t="s">
        <v>26</v>
      </c>
      <c r="D401" t="s">
        <v>78</v>
      </c>
      <c r="E401">
        <v>3035</v>
      </c>
      <c r="F401" t="s">
        <v>1498</v>
      </c>
      <c r="G401" t="s">
        <v>1499</v>
      </c>
      <c r="H401" t="s">
        <v>1499</v>
      </c>
      <c r="I401" t="s">
        <v>81</v>
      </c>
      <c r="J401" t="s">
        <v>82</v>
      </c>
      <c r="L401">
        <v>45706</v>
      </c>
      <c r="M401" t="s">
        <v>95</v>
      </c>
    </row>
    <row r="402" spans="1:13" x14ac:dyDescent="0.3">
      <c r="A402" t="s">
        <v>1500</v>
      </c>
      <c r="B402" t="s">
        <v>46</v>
      </c>
      <c r="C402" t="s">
        <v>24</v>
      </c>
      <c r="D402" t="s">
        <v>118</v>
      </c>
      <c r="E402">
        <v>3038</v>
      </c>
      <c r="F402" t="s">
        <v>1501</v>
      </c>
      <c r="G402" t="s">
        <v>1502</v>
      </c>
      <c r="H402" t="s">
        <v>1503</v>
      </c>
      <c r="I402" t="s">
        <v>122</v>
      </c>
      <c r="J402" t="s">
        <v>123</v>
      </c>
      <c r="L402">
        <v>45733</v>
      </c>
      <c r="M402" t="s">
        <v>389</v>
      </c>
    </row>
    <row r="403" spans="1:13" x14ac:dyDescent="0.3">
      <c r="A403" t="s">
        <v>1504</v>
      </c>
      <c r="B403" t="s">
        <v>46</v>
      </c>
      <c r="C403" t="s">
        <v>26</v>
      </c>
      <c r="D403" t="s">
        <v>118</v>
      </c>
      <c r="E403">
        <v>3038</v>
      </c>
      <c r="F403" t="s">
        <v>1505</v>
      </c>
      <c r="G403" t="s">
        <v>1506</v>
      </c>
      <c r="H403" t="s">
        <v>1507</v>
      </c>
      <c r="I403" t="s">
        <v>122</v>
      </c>
      <c r="J403" t="s">
        <v>123</v>
      </c>
      <c r="L403">
        <v>45723</v>
      </c>
      <c r="M403" t="s">
        <v>359</v>
      </c>
    </row>
    <row r="404" spans="1:13" x14ac:dyDescent="0.3">
      <c r="A404" t="s">
        <v>1508</v>
      </c>
      <c r="B404" t="s">
        <v>37</v>
      </c>
      <c r="C404" t="s">
        <v>24</v>
      </c>
      <c r="D404" t="s">
        <v>55</v>
      </c>
      <c r="E404">
        <v>3033</v>
      </c>
      <c r="F404" t="s">
        <v>1509</v>
      </c>
      <c r="G404" t="s">
        <v>1510</v>
      </c>
      <c r="H404" t="s">
        <v>1510</v>
      </c>
      <c r="I404" t="s">
        <v>58</v>
      </c>
      <c r="J404" t="s">
        <v>59</v>
      </c>
      <c r="L404">
        <v>45723</v>
      </c>
      <c r="M404" t="s">
        <v>90</v>
      </c>
    </row>
    <row r="405" spans="1:13" x14ac:dyDescent="0.3">
      <c r="A405" t="s">
        <v>1511</v>
      </c>
      <c r="B405" t="s">
        <v>46</v>
      </c>
      <c r="C405" t="s">
        <v>22</v>
      </c>
      <c r="D405" t="s">
        <v>104</v>
      </c>
      <c r="E405">
        <v>3037</v>
      </c>
      <c r="F405" t="s">
        <v>1512</v>
      </c>
      <c r="G405" t="s">
        <v>1513</v>
      </c>
      <c r="H405" t="s">
        <v>1514</v>
      </c>
      <c r="I405" t="s">
        <v>12</v>
      </c>
      <c r="J405" t="s">
        <v>13</v>
      </c>
      <c r="L405">
        <v>45706</v>
      </c>
      <c r="M405" t="s">
        <v>76</v>
      </c>
    </row>
    <row r="406" spans="1:13" x14ac:dyDescent="0.3">
      <c r="A406" t="s">
        <v>1515</v>
      </c>
      <c r="B406" t="s">
        <v>46</v>
      </c>
      <c r="C406" t="s">
        <v>26</v>
      </c>
      <c r="D406" t="s">
        <v>118</v>
      </c>
      <c r="E406">
        <v>3038</v>
      </c>
      <c r="F406" t="s">
        <v>1516</v>
      </c>
      <c r="G406" t="s">
        <v>1517</v>
      </c>
      <c r="H406" t="s">
        <v>1517</v>
      </c>
      <c r="I406" t="s">
        <v>122</v>
      </c>
      <c r="J406" t="s">
        <v>123</v>
      </c>
      <c r="K406" t="s">
        <v>21</v>
      </c>
      <c r="L406">
        <v>45669</v>
      </c>
      <c r="M406" t="s">
        <v>359</v>
      </c>
    </row>
    <row r="407" spans="1:13" x14ac:dyDescent="0.3">
      <c r="A407" t="s">
        <v>1518</v>
      </c>
      <c r="B407" t="s">
        <v>46</v>
      </c>
      <c r="C407" t="s">
        <v>25</v>
      </c>
      <c r="D407" t="s">
        <v>55</v>
      </c>
      <c r="E407">
        <v>3033</v>
      </c>
      <c r="F407" t="s">
        <v>1519</v>
      </c>
      <c r="G407" t="s">
        <v>1520</v>
      </c>
      <c r="H407" t="s">
        <v>1521</v>
      </c>
      <c r="I407" t="s">
        <v>58</v>
      </c>
      <c r="J407" t="s">
        <v>59</v>
      </c>
      <c r="K407" t="s">
        <v>21</v>
      </c>
      <c r="L407">
        <v>45705</v>
      </c>
      <c r="M407" t="s">
        <v>69</v>
      </c>
    </row>
    <row r="408" spans="1:13" x14ac:dyDescent="0.3">
      <c r="A408" t="s">
        <v>1522</v>
      </c>
      <c r="B408" t="s">
        <v>46</v>
      </c>
      <c r="C408" t="s">
        <v>26</v>
      </c>
      <c r="D408" t="s">
        <v>97</v>
      </c>
      <c r="E408">
        <v>3036</v>
      </c>
      <c r="F408" t="s">
        <v>1523</v>
      </c>
      <c r="G408" t="s">
        <v>1524</v>
      </c>
      <c r="H408" t="s">
        <v>1525</v>
      </c>
      <c r="I408" t="s">
        <v>100</v>
      </c>
      <c r="J408" t="s">
        <v>101</v>
      </c>
      <c r="L408">
        <v>45704</v>
      </c>
      <c r="M408" t="s">
        <v>102</v>
      </c>
    </row>
    <row r="409" spans="1:13" x14ac:dyDescent="0.3">
      <c r="A409" t="s">
        <v>1526</v>
      </c>
      <c r="B409" t="s">
        <v>46</v>
      </c>
      <c r="C409" t="s">
        <v>26</v>
      </c>
      <c r="D409" t="s">
        <v>38</v>
      </c>
      <c r="E409">
        <v>3031</v>
      </c>
      <c r="F409" t="s">
        <v>1527</v>
      </c>
      <c r="G409" t="s">
        <v>1528</v>
      </c>
      <c r="H409" t="s">
        <v>1529</v>
      </c>
      <c r="I409" t="s">
        <v>42</v>
      </c>
      <c r="J409" t="s">
        <v>43</v>
      </c>
      <c r="L409">
        <v>45659</v>
      </c>
      <c r="M409" t="s">
        <v>287</v>
      </c>
    </row>
    <row r="410" spans="1:13" x14ac:dyDescent="0.3">
      <c r="A410" t="s">
        <v>1530</v>
      </c>
      <c r="B410" t="s">
        <v>37</v>
      </c>
      <c r="C410" t="s">
        <v>22</v>
      </c>
      <c r="D410" t="s">
        <v>71</v>
      </c>
      <c r="E410">
        <v>3034</v>
      </c>
      <c r="F410" t="s">
        <v>1531</v>
      </c>
      <c r="G410" t="s">
        <v>1532</v>
      </c>
      <c r="H410" t="s">
        <v>1532</v>
      </c>
      <c r="I410" t="s">
        <v>74</v>
      </c>
      <c r="J410" t="s">
        <v>75</v>
      </c>
      <c r="K410" t="s">
        <v>21</v>
      </c>
      <c r="L410">
        <v>45681</v>
      </c>
      <c r="M410" t="s">
        <v>212</v>
      </c>
    </row>
    <row r="411" spans="1:13" x14ac:dyDescent="0.3">
      <c r="A411" t="s">
        <v>1533</v>
      </c>
      <c r="B411" t="s">
        <v>37</v>
      </c>
      <c r="C411" t="s">
        <v>24</v>
      </c>
      <c r="D411" t="s">
        <v>118</v>
      </c>
      <c r="E411">
        <v>3038</v>
      </c>
      <c r="F411" t="s">
        <v>27</v>
      </c>
      <c r="G411" t="s">
        <v>1534</v>
      </c>
      <c r="H411" t="s">
        <v>1534</v>
      </c>
      <c r="I411" t="s">
        <v>122</v>
      </c>
      <c r="J411" t="s">
        <v>123</v>
      </c>
      <c r="L411">
        <v>45685</v>
      </c>
      <c r="M411" t="s">
        <v>359</v>
      </c>
    </row>
    <row r="412" spans="1:13" x14ac:dyDescent="0.3">
      <c r="A412" t="s">
        <v>1535</v>
      </c>
      <c r="B412" t="s">
        <v>46</v>
      </c>
      <c r="C412" t="s">
        <v>22</v>
      </c>
      <c r="D412" t="s">
        <v>38</v>
      </c>
      <c r="E412">
        <v>3031</v>
      </c>
      <c r="F412" t="s">
        <v>1536</v>
      </c>
      <c r="G412" t="s">
        <v>1537</v>
      </c>
      <c r="H412" t="s">
        <v>1537</v>
      </c>
      <c r="I412" t="s">
        <v>42</v>
      </c>
      <c r="J412" t="s">
        <v>43</v>
      </c>
      <c r="K412" t="s">
        <v>21</v>
      </c>
      <c r="L412">
        <v>45672</v>
      </c>
      <c r="M412" t="s">
        <v>102</v>
      </c>
    </row>
    <row r="413" spans="1:13" x14ac:dyDescent="0.3">
      <c r="A413" t="s">
        <v>1538</v>
      </c>
      <c r="B413" t="s">
        <v>46</v>
      </c>
      <c r="C413" t="s">
        <v>25</v>
      </c>
      <c r="D413" t="s">
        <v>47</v>
      </c>
      <c r="E413">
        <v>3032</v>
      </c>
      <c r="F413" t="s">
        <v>1539</v>
      </c>
      <c r="G413" t="s">
        <v>1540</v>
      </c>
      <c r="H413" t="s">
        <v>1540</v>
      </c>
      <c r="I413" t="s">
        <v>51</v>
      </c>
      <c r="J413" t="s">
        <v>52</v>
      </c>
      <c r="L413">
        <v>45682</v>
      </c>
      <c r="M413" t="s">
        <v>177</v>
      </c>
    </row>
    <row r="414" spans="1:13" x14ac:dyDescent="0.3">
      <c r="A414" t="s">
        <v>1541</v>
      </c>
      <c r="B414" t="s">
        <v>37</v>
      </c>
      <c r="C414" t="s">
        <v>25</v>
      </c>
      <c r="D414" t="s">
        <v>97</v>
      </c>
      <c r="E414">
        <v>3036</v>
      </c>
      <c r="F414" t="s">
        <v>1542</v>
      </c>
      <c r="G414" t="s">
        <v>1543</v>
      </c>
      <c r="H414" t="s">
        <v>1544</v>
      </c>
      <c r="I414" t="s">
        <v>100</v>
      </c>
      <c r="J414" t="s">
        <v>101</v>
      </c>
      <c r="L414">
        <v>45701</v>
      </c>
      <c r="M414" t="s">
        <v>128</v>
      </c>
    </row>
    <row r="415" spans="1:13" x14ac:dyDescent="0.3">
      <c r="A415" t="s">
        <v>1545</v>
      </c>
      <c r="B415" t="s">
        <v>46</v>
      </c>
      <c r="C415" t="s">
        <v>24</v>
      </c>
      <c r="D415" t="s">
        <v>38</v>
      </c>
      <c r="E415">
        <v>3031</v>
      </c>
      <c r="F415" t="s">
        <v>1546</v>
      </c>
      <c r="G415" t="s">
        <v>1547</v>
      </c>
      <c r="H415" t="s">
        <v>1547</v>
      </c>
      <c r="I415" t="s">
        <v>42</v>
      </c>
      <c r="J415" t="s">
        <v>43</v>
      </c>
      <c r="L415">
        <v>45714</v>
      </c>
      <c r="M415" t="s">
        <v>287</v>
      </c>
    </row>
    <row r="416" spans="1:13" x14ac:dyDescent="0.3">
      <c r="A416" t="s">
        <v>1548</v>
      </c>
      <c r="B416" t="s">
        <v>37</v>
      </c>
      <c r="C416" t="s">
        <v>25</v>
      </c>
      <c r="D416" t="s">
        <v>71</v>
      </c>
      <c r="E416">
        <v>3034</v>
      </c>
      <c r="F416" t="s">
        <v>1549</v>
      </c>
      <c r="G416" t="s">
        <v>1550</v>
      </c>
      <c r="H416" t="s">
        <v>1550</v>
      </c>
      <c r="I416" t="s">
        <v>74</v>
      </c>
      <c r="J416" t="s">
        <v>75</v>
      </c>
      <c r="L416">
        <v>45744</v>
      </c>
      <c r="M416" t="s">
        <v>165</v>
      </c>
    </row>
    <row r="417" spans="1:13" x14ac:dyDescent="0.3">
      <c r="A417" t="s">
        <v>1551</v>
      </c>
      <c r="B417" t="s">
        <v>37</v>
      </c>
      <c r="C417" t="s">
        <v>26</v>
      </c>
      <c r="D417" t="s">
        <v>78</v>
      </c>
      <c r="E417">
        <v>3035</v>
      </c>
      <c r="F417" t="s">
        <v>1552</v>
      </c>
      <c r="G417" t="s">
        <v>1553</v>
      </c>
      <c r="H417" t="s">
        <v>1553</v>
      </c>
      <c r="I417" t="s">
        <v>81</v>
      </c>
      <c r="J417" t="s">
        <v>82</v>
      </c>
      <c r="K417" t="s">
        <v>21</v>
      </c>
      <c r="L417">
        <v>45673</v>
      </c>
      <c r="M417" t="s">
        <v>95</v>
      </c>
    </row>
    <row r="418" spans="1:13" x14ac:dyDescent="0.3">
      <c r="A418" t="s">
        <v>1554</v>
      </c>
      <c r="B418" t="s">
        <v>37</v>
      </c>
      <c r="C418" t="s">
        <v>25</v>
      </c>
      <c r="D418" t="s">
        <v>97</v>
      </c>
      <c r="E418">
        <v>3036</v>
      </c>
      <c r="F418" t="s">
        <v>1555</v>
      </c>
      <c r="G418" t="s">
        <v>1556</v>
      </c>
      <c r="H418" t="s">
        <v>1557</v>
      </c>
      <c r="I418" t="s">
        <v>100</v>
      </c>
      <c r="J418" t="s">
        <v>101</v>
      </c>
      <c r="K418" t="s">
        <v>21</v>
      </c>
      <c r="L418">
        <v>45675</v>
      </c>
      <c r="M418" t="s">
        <v>128</v>
      </c>
    </row>
    <row r="419" spans="1:13" x14ac:dyDescent="0.3">
      <c r="A419" t="s">
        <v>1558</v>
      </c>
      <c r="B419" t="s">
        <v>37</v>
      </c>
      <c r="C419" t="s">
        <v>22</v>
      </c>
      <c r="D419" t="s">
        <v>71</v>
      </c>
      <c r="E419">
        <v>3034</v>
      </c>
      <c r="F419" t="s">
        <v>1559</v>
      </c>
      <c r="G419" t="s">
        <v>1560</v>
      </c>
      <c r="H419" t="s">
        <v>1561</v>
      </c>
      <c r="I419" t="s">
        <v>74</v>
      </c>
      <c r="J419" t="s">
        <v>75</v>
      </c>
      <c r="L419">
        <v>45711</v>
      </c>
      <c r="M419" t="s">
        <v>212</v>
      </c>
    </row>
    <row r="420" spans="1:13" x14ac:dyDescent="0.3">
      <c r="A420" t="s">
        <v>1562</v>
      </c>
      <c r="B420" t="s">
        <v>46</v>
      </c>
      <c r="C420" t="s">
        <v>25</v>
      </c>
      <c r="D420" t="s">
        <v>38</v>
      </c>
      <c r="E420">
        <v>3031</v>
      </c>
      <c r="F420" t="s">
        <v>1563</v>
      </c>
      <c r="G420" t="s">
        <v>1564</v>
      </c>
      <c r="H420" t="s">
        <v>1564</v>
      </c>
      <c r="I420" t="s">
        <v>42</v>
      </c>
      <c r="J420" t="s">
        <v>43</v>
      </c>
      <c r="K420" t="s">
        <v>21</v>
      </c>
      <c r="L420">
        <v>45688</v>
      </c>
      <c r="M420" t="s">
        <v>65</v>
      </c>
    </row>
    <row r="421" spans="1:13" x14ac:dyDescent="0.3">
      <c r="A421" t="s">
        <v>1565</v>
      </c>
      <c r="B421" t="s">
        <v>37</v>
      </c>
      <c r="C421" t="s">
        <v>26</v>
      </c>
      <c r="D421" t="s">
        <v>71</v>
      </c>
      <c r="E421">
        <v>3034</v>
      </c>
      <c r="F421" t="s">
        <v>1566</v>
      </c>
      <c r="G421" t="s">
        <v>1567</v>
      </c>
      <c r="H421" t="s">
        <v>1567</v>
      </c>
      <c r="I421" t="s">
        <v>74</v>
      </c>
      <c r="J421" t="s">
        <v>75</v>
      </c>
      <c r="L421">
        <v>45741</v>
      </c>
      <c r="M421" t="s">
        <v>165</v>
      </c>
    </row>
    <row r="422" spans="1:13" x14ac:dyDescent="0.3">
      <c r="A422" t="s">
        <v>1568</v>
      </c>
      <c r="B422" t="s">
        <v>46</v>
      </c>
      <c r="C422" t="s">
        <v>26</v>
      </c>
      <c r="D422" t="s">
        <v>444</v>
      </c>
      <c r="E422">
        <v>3042</v>
      </c>
      <c r="F422" t="s">
        <v>1569</v>
      </c>
      <c r="G422" t="s">
        <v>1570</v>
      </c>
      <c r="H422" t="s">
        <v>1571</v>
      </c>
      <c r="I422" t="s">
        <v>448</v>
      </c>
      <c r="J422" t="s">
        <v>449</v>
      </c>
      <c r="K422" t="s">
        <v>21</v>
      </c>
      <c r="L422">
        <v>45719</v>
      </c>
      <c r="M422" t="s">
        <v>363</v>
      </c>
    </row>
    <row r="423" spans="1:13" x14ac:dyDescent="0.3">
      <c r="A423" t="s">
        <v>1572</v>
      </c>
      <c r="B423" t="s">
        <v>46</v>
      </c>
      <c r="C423" t="s">
        <v>24</v>
      </c>
      <c r="D423" t="s">
        <v>55</v>
      </c>
      <c r="E423">
        <v>3033</v>
      </c>
      <c r="F423" t="s">
        <v>1573</v>
      </c>
      <c r="G423" t="s">
        <v>1574</v>
      </c>
      <c r="H423" t="s">
        <v>1575</v>
      </c>
      <c r="I423" t="s">
        <v>58</v>
      </c>
      <c r="J423" t="s">
        <v>59</v>
      </c>
      <c r="L423">
        <v>45687</v>
      </c>
      <c r="M423" t="s">
        <v>90</v>
      </c>
    </row>
    <row r="424" spans="1:13" x14ac:dyDescent="0.3">
      <c r="A424" t="s">
        <v>1576</v>
      </c>
      <c r="B424" t="s">
        <v>46</v>
      </c>
      <c r="C424" t="s">
        <v>25</v>
      </c>
      <c r="D424" t="s">
        <v>97</v>
      </c>
      <c r="E424">
        <v>3036</v>
      </c>
      <c r="F424" t="s">
        <v>1577</v>
      </c>
      <c r="G424" t="s">
        <v>1578</v>
      </c>
      <c r="H424" t="s">
        <v>1579</v>
      </c>
      <c r="I424" t="s">
        <v>100</v>
      </c>
      <c r="J424" t="s">
        <v>101</v>
      </c>
      <c r="L424">
        <v>45724</v>
      </c>
      <c r="M424" t="s">
        <v>102</v>
      </c>
    </row>
    <row r="425" spans="1:13" x14ac:dyDescent="0.3">
      <c r="A425" t="s">
        <v>1580</v>
      </c>
      <c r="B425" t="s">
        <v>46</v>
      </c>
      <c r="C425" t="s">
        <v>22</v>
      </c>
      <c r="D425" t="s">
        <v>207</v>
      </c>
      <c r="E425">
        <v>3041</v>
      </c>
      <c r="F425" t="s">
        <v>1581</v>
      </c>
      <c r="G425" t="s">
        <v>1582</v>
      </c>
      <c r="H425" t="s">
        <v>1583</v>
      </c>
      <c r="I425" t="s">
        <v>211</v>
      </c>
      <c r="J425" t="s">
        <v>14</v>
      </c>
      <c r="L425">
        <v>45676</v>
      </c>
      <c r="M425" t="s">
        <v>363</v>
      </c>
    </row>
    <row r="426" spans="1:13" x14ac:dyDescent="0.3">
      <c r="A426" t="s">
        <v>1584</v>
      </c>
      <c r="B426" t="s">
        <v>37</v>
      </c>
      <c r="C426" t="s">
        <v>26</v>
      </c>
      <c r="D426" t="s">
        <v>207</v>
      </c>
      <c r="E426">
        <v>3041</v>
      </c>
      <c r="F426" t="s">
        <v>1585</v>
      </c>
      <c r="G426" t="s">
        <v>1586</v>
      </c>
      <c r="H426" t="s">
        <v>1587</v>
      </c>
      <c r="I426" t="s">
        <v>211</v>
      </c>
      <c r="J426" t="s">
        <v>14</v>
      </c>
      <c r="L426">
        <v>45665</v>
      </c>
      <c r="M426" t="s">
        <v>300</v>
      </c>
    </row>
    <row r="427" spans="1:13" x14ac:dyDescent="0.3">
      <c r="A427" t="s">
        <v>1588</v>
      </c>
      <c r="B427" t="s">
        <v>37</v>
      </c>
      <c r="C427" t="s">
        <v>24</v>
      </c>
      <c r="D427" t="s">
        <v>118</v>
      </c>
      <c r="E427">
        <v>3038</v>
      </c>
      <c r="F427" t="s">
        <v>1589</v>
      </c>
      <c r="G427" t="s">
        <v>1590</v>
      </c>
      <c r="H427" t="s">
        <v>1590</v>
      </c>
      <c r="I427" t="s">
        <v>122</v>
      </c>
      <c r="J427" t="s">
        <v>123</v>
      </c>
      <c r="L427">
        <v>45740</v>
      </c>
      <c r="M427" t="s">
        <v>581</v>
      </c>
    </row>
    <row r="428" spans="1:13" x14ac:dyDescent="0.3">
      <c r="A428" t="s">
        <v>1591</v>
      </c>
      <c r="B428" t="s">
        <v>46</v>
      </c>
      <c r="C428" t="s">
        <v>24</v>
      </c>
      <c r="D428" t="s">
        <v>97</v>
      </c>
      <c r="E428">
        <v>3036</v>
      </c>
      <c r="F428" t="s">
        <v>1592</v>
      </c>
      <c r="G428" t="s">
        <v>1593</v>
      </c>
      <c r="H428" t="s">
        <v>1594</v>
      </c>
      <c r="I428" t="s">
        <v>100</v>
      </c>
      <c r="J428" t="s">
        <v>101</v>
      </c>
      <c r="L428">
        <v>45659</v>
      </c>
      <c r="M428" t="s">
        <v>102</v>
      </c>
    </row>
    <row r="429" spans="1:13" x14ac:dyDescent="0.3">
      <c r="A429" t="s">
        <v>1595</v>
      </c>
      <c r="B429" t="s">
        <v>46</v>
      </c>
      <c r="C429" t="s">
        <v>26</v>
      </c>
      <c r="D429" t="s">
        <v>78</v>
      </c>
      <c r="E429">
        <v>3035</v>
      </c>
      <c r="F429" t="s">
        <v>1596</v>
      </c>
      <c r="G429" t="s">
        <v>1597</v>
      </c>
      <c r="H429" t="s">
        <v>1598</v>
      </c>
      <c r="I429" t="s">
        <v>81</v>
      </c>
      <c r="J429" t="s">
        <v>82</v>
      </c>
      <c r="L429">
        <v>45680</v>
      </c>
      <c r="M429" t="s">
        <v>69</v>
      </c>
    </row>
    <row r="430" spans="1:13" x14ac:dyDescent="0.3">
      <c r="A430" t="s">
        <v>1599</v>
      </c>
      <c r="B430" t="s">
        <v>37</v>
      </c>
      <c r="C430" t="s">
        <v>26</v>
      </c>
      <c r="D430" t="s">
        <v>71</v>
      </c>
      <c r="E430">
        <v>3034</v>
      </c>
      <c r="F430" t="s">
        <v>1600</v>
      </c>
      <c r="G430" t="s">
        <v>1601</v>
      </c>
      <c r="H430" t="s">
        <v>1602</v>
      </c>
      <c r="I430" t="s">
        <v>74</v>
      </c>
      <c r="J430" t="s">
        <v>75</v>
      </c>
      <c r="L430">
        <v>45690</v>
      </c>
      <c r="M430" t="s">
        <v>112</v>
      </c>
    </row>
    <row r="431" spans="1:13" x14ac:dyDescent="0.3">
      <c r="A431" t="s">
        <v>1603</v>
      </c>
      <c r="B431" t="s">
        <v>37</v>
      </c>
      <c r="C431" t="s">
        <v>26</v>
      </c>
      <c r="D431" t="s">
        <v>118</v>
      </c>
      <c r="E431">
        <v>3038</v>
      </c>
      <c r="F431" t="s">
        <v>1604</v>
      </c>
      <c r="G431" t="s">
        <v>1605</v>
      </c>
      <c r="H431" t="s">
        <v>1606</v>
      </c>
      <c r="I431" t="s">
        <v>122</v>
      </c>
      <c r="J431" t="s">
        <v>123</v>
      </c>
      <c r="L431">
        <v>45737</v>
      </c>
      <c r="M431" t="s">
        <v>581</v>
      </c>
    </row>
    <row r="432" spans="1:13" x14ac:dyDescent="0.3">
      <c r="A432" t="s">
        <v>1607</v>
      </c>
      <c r="B432" t="s">
        <v>46</v>
      </c>
      <c r="C432" t="s">
        <v>26</v>
      </c>
      <c r="D432" t="s">
        <v>136</v>
      </c>
      <c r="E432">
        <v>3039</v>
      </c>
      <c r="F432" t="s">
        <v>1608</v>
      </c>
      <c r="G432" t="s">
        <v>1609</v>
      </c>
      <c r="H432" t="s">
        <v>1609</v>
      </c>
      <c r="I432" t="s">
        <v>15</v>
      </c>
      <c r="J432" t="s">
        <v>14</v>
      </c>
      <c r="K432" t="s">
        <v>21</v>
      </c>
      <c r="L432">
        <v>45708</v>
      </c>
      <c r="M432" t="s">
        <v>160</v>
      </c>
    </row>
    <row r="433" spans="1:13" x14ac:dyDescent="0.3">
      <c r="A433" t="s">
        <v>1610</v>
      </c>
      <c r="B433" t="s">
        <v>46</v>
      </c>
      <c r="C433" t="s">
        <v>26</v>
      </c>
      <c r="D433" t="s">
        <v>38</v>
      </c>
      <c r="E433">
        <v>3031</v>
      </c>
      <c r="F433" t="s">
        <v>1611</v>
      </c>
      <c r="G433" t="s">
        <v>1612</v>
      </c>
      <c r="H433" t="s">
        <v>1613</v>
      </c>
      <c r="I433" t="s">
        <v>42</v>
      </c>
      <c r="J433" t="s">
        <v>43</v>
      </c>
      <c r="K433" t="s">
        <v>21</v>
      </c>
      <c r="L433">
        <v>45719</v>
      </c>
      <c r="M433" t="s">
        <v>44</v>
      </c>
    </row>
    <row r="434" spans="1:13" x14ac:dyDescent="0.3">
      <c r="A434" t="s">
        <v>1614</v>
      </c>
      <c r="B434" t="s">
        <v>46</v>
      </c>
      <c r="C434" t="s">
        <v>22</v>
      </c>
      <c r="D434" t="s">
        <v>55</v>
      </c>
      <c r="E434">
        <v>3033</v>
      </c>
      <c r="F434" t="s">
        <v>1615</v>
      </c>
      <c r="G434" t="s">
        <v>1616</v>
      </c>
      <c r="H434" t="s">
        <v>1617</v>
      </c>
      <c r="I434" t="s">
        <v>58</v>
      </c>
      <c r="J434" t="s">
        <v>59</v>
      </c>
      <c r="K434" t="s">
        <v>21</v>
      </c>
      <c r="L434">
        <v>45735</v>
      </c>
      <c r="M434" t="s">
        <v>95</v>
      </c>
    </row>
    <row r="435" spans="1:13" x14ac:dyDescent="0.3">
      <c r="A435" t="s">
        <v>1618</v>
      </c>
      <c r="B435" t="s">
        <v>46</v>
      </c>
      <c r="C435" t="s">
        <v>26</v>
      </c>
      <c r="D435" t="s">
        <v>118</v>
      </c>
      <c r="E435">
        <v>3038</v>
      </c>
      <c r="F435" t="s">
        <v>1619</v>
      </c>
      <c r="G435" t="s">
        <v>1620</v>
      </c>
      <c r="H435" t="s">
        <v>1621</v>
      </c>
      <c r="I435" t="s">
        <v>122</v>
      </c>
      <c r="J435" t="s">
        <v>123</v>
      </c>
      <c r="L435">
        <v>45682</v>
      </c>
      <c r="M435" t="s">
        <v>344</v>
      </c>
    </row>
    <row r="436" spans="1:13" x14ac:dyDescent="0.3">
      <c r="A436" t="s">
        <v>1622</v>
      </c>
      <c r="B436" t="s">
        <v>37</v>
      </c>
      <c r="C436" t="s">
        <v>24</v>
      </c>
      <c r="D436" t="s">
        <v>191</v>
      </c>
      <c r="E436">
        <v>3040</v>
      </c>
      <c r="F436" t="s">
        <v>1623</v>
      </c>
      <c r="G436" t="s">
        <v>1624</v>
      </c>
      <c r="H436" t="s">
        <v>1625</v>
      </c>
      <c r="I436" t="s">
        <v>194</v>
      </c>
      <c r="J436" t="s">
        <v>13</v>
      </c>
      <c r="L436">
        <v>45680</v>
      </c>
      <c r="M436" t="s">
        <v>160</v>
      </c>
    </row>
    <row r="437" spans="1:13" x14ac:dyDescent="0.3">
      <c r="A437" t="s">
        <v>1626</v>
      </c>
      <c r="B437" t="s">
        <v>37</v>
      </c>
      <c r="C437" t="s">
        <v>25</v>
      </c>
      <c r="D437" t="s">
        <v>444</v>
      </c>
      <c r="E437">
        <v>3042</v>
      </c>
      <c r="F437" t="s">
        <v>1627</v>
      </c>
      <c r="G437" t="s">
        <v>1628</v>
      </c>
      <c r="H437" t="s">
        <v>1629</v>
      </c>
      <c r="I437" t="s">
        <v>448</v>
      </c>
      <c r="J437" t="s">
        <v>449</v>
      </c>
      <c r="L437">
        <v>45712</v>
      </c>
      <c r="M437" t="s">
        <v>450</v>
      </c>
    </row>
    <row r="438" spans="1:13" x14ac:dyDescent="0.3">
      <c r="A438" t="s">
        <v>1630</v>
      </c>
      <c r="B438" t="s">
        <v>46</v>
      </c>
      <c r="C438" t="s">
        <v>22</v>
      </c>
      <c r="D438" t="s">
        <v>118</v>
      </c>
      <c r="E438">
        <v>3038</v>
      </c>
      <c r="F438" t="s">
        <v>1631</v>
      </c>
      <c r="G438" t="s">
        <v>1632</v>
      </c>
      <c r="H438" t="s">
        <v>1633</v>
      </c>
      <c r="I438" t="s">
        <v>122</v>
      </c>
      <c r="J438" t="s">
        <v>123</v>
      </c>
      <c r="L438">
        <v>45664</v>
      </c>
      <c r="M438" t="s">
        <v>200</v>
      </c>
    </row>
    <row r="439" spans="1:13" x14ac:dyDescent="0.3">
      <c r="A439" t="s">
        <v>1634</v>
      </c>
      <c r="B439" t="s">
        <v>37</v>
      </c>
      <c r="C439" t="s">
        <v>26</v>
      </c>
      <c r="D439" t="s">
        <v>47</v>
      </c>
      <c r="E439">
        <v>3032</v>
      </c>
      <c r="F439" t="s">
        <v>1635</v>
      </c>
      <c r="G439" t="s">
        <v>1636</v>
      </c>
      <c r="H439" t="s">
        <v>1636</v>
      </c>
      <c r="I439" t="s">
        <v>51</v>
      </c>
      <c r="J439" t="s">
        <v>52</v>
      </c>
      <c r="L439">
        <v>45743</v>
      </c>
      <c r="M439" t="s">
        <v>656</v>
      </c>
    </row>
    <row r="440" spans="1:13" x14ac:dyDescent="0.3">
      <c r="A440" t="s">
        <v>1637</v>
      </c>
      <c r="B440" t="s">
        <v>37</v>
      </c>
      <c r="C440" t="s">
        <v>22</v>
      </c>
      <c r="D440" t="s">
        <v>191</v>
      </c>
      <c r="E440">
        <v>3040</v>
      </c>
      <c r="F440" t="s">
        <v>1638</v>
      </c>
      <c r="G440" t="s">
        <v>1639</v>
      </c>
      <c r="H440" t="s">
        <v>1639</v>
      </c>
      <c r="I440" t="s">
        <v>194</v>
      </c>
      <c r="J440" t="s">
        <v>13</v>
      </c>
      <c r="K440" t="s">
        <v>21</v>
      </c>
      <c r="L440">
        <v>45732</v>
      </c>
      <c r="M440" t="s">
        <v>717</v>
      </c>
    </row>
    <row r="441" spans="1:13" x14ac:dyDescent="0.3">
      <c r="A441" t="s">
        <v>1640</v>
      </c>
      <c r="B441" t="s">
        <v>37</v>
      </c>
      <c r="C441" t="s">
        <v>26</v>
      </c>
      <c r="D441" t="s">
        <v>191</v>
      </c>
      <c r="E441">
        <v>3040</v>
      </c>
      <c r="F441" t="s">
        <v>1641</v>
      </c>
      <c r="G441" t="s">
        <v>1642</v>
      </c>
      <c r="H441" t="s">
        <v>1643</v>
      </c>
      <c r="I441" t="s">
        <v>194</v>
      </c>
      <c r="J441" t="s">
        <v>13</v>
      </c>
      <c r="L441">
        <v>45675</v>
      </c>
      <c r="M441" t="s">
        <v>321</v>
      </c>
    </row>
    <row r="442" spans="1:13" x14ac:dyDescent="0.3">
      <c r="A442" t="s">
        <v>1644</v>
      </c>
      <c r="B442" t="s">
        <v>46</v>
      </c>
      <c r="C442" t="s">
        <v>24</v>
      </c>
      <c r="D442" t="s">
        <v>207</v>
      </c>
      <c r="E442">
        <v>3041</v>
      </c>
      <c r="F442" t="s">
        <v>1645</v>
      </c>
      <c r="G442" t="s">
        <v>1646</v>
      </c>
      <c r="H442" t="s">
        <v>1647</v>
      </c>
      <c r="I442" t="s">
        <v>211</v>
      </c>
      <c r="J442" t="s">
        <v>14</v>
      </c>
      <c r="L442">
        <v>45662</v>
      </c>
      <c r="M442" t="s">
        <v>128</v>
      </c>
    </row>
    <row r="443" spans="1:13" x14ac:dyDescent="0.3">
      <c r="A443" t="s">
        <v>1648</v>
      </c>
      <c r="B443" t="s">
        <v>46</v>
      </c>
      <c r="C443" t="s">
        <v>22</v>
      </c>
      <c r="D443" t="s">
        <v>118</v>
      </c>
      <c r="E443">
        <v>3038</v>
      </c>
      <c r="F443" t="s">
        <v>1649</v>
      </c>
      <c r="G443" t="s">
        <v>1650</v>
      </c>
      <c r="H443" t="s">
        <v>1650</v>
      </c>
      <c r="I443" t="s">
        <v>122</v>
      </c>
      <c r="J443" t="s">
        <v>123</v>
      </c>
      <c r="L443">
        <v>45737</v>
      </c>
      <c r="M443" t="s">
        <v>200</v>
      </c>
    </row>
    <row r="444" spans="1:13" x14ac:dyDescent="0.3">
      <c r="A444" t="s">
        <v>1651</v>
      </c>
      <c r="B444" t="s">
        <v>46</v>
      </c>
      <c r="C444" t="s">
        <v>25</v>
      </c>
      <c r="D444" t="s">
        <v>444</v>
      </c>
      <c r="E444">
        <v>3042</v>
      </c>
      <c r="F444" t="s">
        <v>1652</v>
      </c>
      <c r="G444" t="s">
        <v>1653</v>
      </c>
      <c r="H444" t="s">
        <v>1653</v>
      </c>
      <c r="I444" t="s">
        <v>448</v>
      </c>
      <c r="J444" t="s">
        <v>449</v>
      </c>
      <c r="K444" t="s">
        <v>21</v>
      </c>
      <c r="L444">
        <v>45667</v>
      </c>
      <c r="M444" t="s">
        <v>481</v>
      </c>
    </row>
    <row r="445" spans="1:13" x14ac:dyDescent="0.3">
      <c r="A445" t="s">
        <v>1654</v>
      </c>
      <c r="B445" t="s">
        <v>46</v>
      </c>
      <c r="C445" t="s">
        <v>24</v>
      </c>
      <c r="D445" t="s">
        <v>104</v>
      </c>
      <c r="E445">
        <v>3037</v>
      </c>
      <c r="F445" t="s">
        <v>1655</v>
      </c>
      <c r="G445" t="s">
        <v>1656</v>
      </c>
      <c r="H445" t="s">
        <v>1656</v>
      </c>
      <c r="I445" t="s">
        <v>12</v>
      </c>
      <c r="J445" t="s">
        <v>13</v>
      </c>
      <c r="L445">
        <v>45732</v>
      </c>
      <c r="M445" t="s">
        <v>107</v>
      </c>
    </row>
    <row r="446" spans="1:13" x14ac:dyDescent="0.3">
      <c r="A446" t="s">
        <v>1657</v>
      </c>
      <c r="B446" t="s">
        <v>37</v>
      </c>
      <c r="C446" t="s">
        <v>26</v>
      </c>
      <c r="D446" t="s">
        <v>97</v>
      </c>
      <c r="E446">
        <v>3036</v>
      </c>
      <c r="F446" t="s">
        <v>409</v>
      </c>
      <c r="G446" t="s">
        <v>1658</v>
      </c>
      <c r="H446" t="s">
        <v>1658</v>
      </c>
      <c r="I446" t="s">
        <v>100</v>
      </c>
      <c r="J446" t="s">
        <v>101</v>
      </c>
      <c r="L446">
        <v>45721</v>
      </c>
      <c r="M446" t="s">
        <v>292</v>
      </c>
    </row>
    <row r="447" spans="1:13" x14ac:dyDescent="0.3">
      <c r="A447" t="s">
        <v>1659</v>
      </c>
      <c r="B447" t="s">
        <v>46</v>
      </c>
      <c r="C447" t="s">
        <v>24</v>
      </c>
      <c r="D447" t="s">
        <v>38</v>
      </c>
      <c r="E447">
        <v>3031</v>
      </c>
      <c r="F447" t="s">
        <v>1660</v>
      </c>
      <c r="G447" t="s">
        <v>1661</v>
      </c>
      <c r="H447" t="s">
        <v>1662</v>
      </c>
      <c r="I447" t="s">
        <v>42</v>
      </c>
      <c r="J447" t="s">
        <v>43</v>
      </c>
      <c r="L447">
        <v>45717</v>
      </c>
      <c r="M447" t="s">
        <v>44</v>
      </c>
    </row>
    <row r="448" spans="1:13" x14ac:dyDescent="0.3">
      <c r="A448" t="s">
        <v>1663</v>
      </c>
      <c r="B448" t="s">
        <v>46</v>
      </c>
      <c r="C448" t="s">
        <v>24</v>
      </c>
      <c r="D448" t="s">
        <v>47</v>
      </c>
      <c r="E448">
        <v>3032</v>
      </c>
      <c r="F448" t="s">
        <v>1664</v>
      </c>
      <c r="G448" t="s">
        <v>1665</v>
      </c>
      <c r="H448" t="s">
        <v>1666</v>
      </c>
      <c r="I448" t="s">
        <v>51</v>
      </c>
      <c r="J448" t="s">
        <v>52</v>
      </c>
      <c r="K448" t="s">
        <v>21</v>
      </c>
      <c r="L448">
        <v>45685</v>
      </c>
      <c r="M448" t="s">
        <v>881</v>
      </c>
    </row>
    <row r="449" spans="1:13" x14ac:dyDescent="0.3">
      <c r="A449" t="s">
        <v>1667</v>
      </c>
      <c r="B449" t="s">
        <v>37</v>
      </c>
      <c r="C449" t="s">
        <v>26</v>
      </c>
      <c r="D449" t="s">
        <v>78</v>
      </c>
      <c r="E449">
        <v>3035</v>
      </c>
      <c r="F449" t="s">
        <v>1668</v>
      </c>
      <c r="G449" t="s">
        <v>1669</v>
      </c>
      <c r="H449" t="s">
        <v>1669</v>
      </c>
      <c r="I449" t="s">
        <v>81</v>
      </c>
      <c r="J449" t="s">
        <v>82</v>
      </c>
      <c r="L449">
        <v>45711</v>
      </c>
      <c r="M449" t="s">
        <v>205</v>
      </c>
    </row>
    <row r="450" spans="1:13" x14ac:dyDescent="0.3">
      <c r="A450" t="s">
        <v>1670</v>
      </c>
      <c r="B450" t="s">
        <v>37</v>
      </c>
      <c r="C450" t="s">
        <v>26</v>
      </c>
      <c r="D450" t="s">
        <v>136</v>
      </c>
      <c r="E450">
        <v>3039</v>
      </c>
      <c r="F450" t="s">
        <v>1671</v>
      </c>
      <c r="G450" t="s">
        <v>1672</v>
      </c>
      <c r="H450" t="s">
        <v>1673</v>
      </c>
      <c r="I450" t="s">
        <v>15</v>
      </c>
      <c r="J450" t="s">
        <v>14</v>
      </c>
      <c r="L450">
        <v>45680</v>
      </c>
      <c r="M450" t="s">
        <v>389</v>
      </c>
    </row>
    <row r="451" spans="1:13" x14ac:dyDescent="0.3">
      <c r="A451" t="s">
        <v>1674</v>
      </c>
      <c r="B451" t="s">
        <v>46</v>
      </c>
      <c r="C451" t="s">
        <v>22</v>
      </c>
      <c r="D451" t="s">
        <v>207</v>
      </c>
      <c r="E451">
        <v>3041</v>
      </c>
      <c r="F451" t="s">
        <v>1675</v>
      </c>
      <c r="G451" t="s">
        <v>1676</v>
      </c>
      <c r="H451" t="s">
        <v>1676</v>
      </c>
      <c r="I451" t="s">
        <v>211</v>
      </c>
      <c r="J451" t="s">
        <v>14</v>
      </c>
      <c r="L451">
        <v>45738</v>
      </c>
      <c r="M451" t="s">
        <v>300</v>
      </c>
    </row>
    <row r="452" spans="1:13" x14ac:dyDescent="0.3">
      <c r="A452" t="s">
        <v>1677</v>
      </c>
      <c r="B452" t="s">
        <v>37</v>
      </c>
      <c r="C452" t="s">
        <v>24</v>
      </c>
      <c r="D452" t="s">
        <v>207</v>
      </c>
      <c r="E452">
        <v>3041</v>
      </c>
      <c r="F452" t="s">
        <v>1678</v>
      </c>
      <c r="G452" t="s">
        <v>1679</v>
      </c>
      <c r="H452" t="s">
        <v>1679</v>
      </c>
      <c r="I452" t="s">
        <v>211</v>
      </c>
      <c r="J452" t="s">
        <v>14</v>
      </c>
      <c r="K452" t="s">
        <v>21</v>
      </c>
      <c r="L452">
        <v>45691</v>
      </c>
      <c r="M452" t="s">
        <v>577</v>
      </c>
    </row>
    <row r="453" spans="1:13" x14ac:dyDescent="0.3">
      <c r="A453" t="s">
        <v>1680</v>
      </c>
      <c r="B453" t="s">
        <v>46</v>
      </c>
      <c r="C453" t="s">
        <v>25</v>
      </c>
      <c r="D453" t="s">
        <v>104</v>
      </c>
      <c r="E453">
        <v>3037</v>
      </c>
      <c r="F453" t="s">
        <v>1681</v>
      </c>
      <c r="G453" t="s">
        <v>1682</v>
      </c>
      <c r="H453" t="s">
        <v>1683</v>
      </c>
      <c r="I453" t="s">
        <v>12</v>
      </c>
      <c r="J453" t="s">
        <v>13</v>
      </c>
      <c r="L453">
        <v>45689</v>
      </c>
      <c r="M453" t="s">
        <v>189</v>
      </c>
    </row>
    <row r="454" spans="1:13" x14ac:dyDescent="0.3">
      <c r="A454" t="s">
        <v>1684</v>
      </c>
      <c r="B454" t="s">
        <v>46</v>
      </c>
      <c r="C454" t="s">
        <v>22</v>
      </c>
      <c r="D454" t="s">
        <v>97</v>
      </c>
      <c r="E454">
        <v>3036</v>
      </c>
      <c r="F454" t="s">
        <v>1685</v>
      </c>
      <c r="G454" t="s">
        <v>1686</v>
      </c>
      <c r="H454" t="s">
        <v>1687</v>
      </c>
      <c r="I454" t="s">
        <v>100</v>
      </c>
      <c r="J454" t="s">
        <v>101</v>
      </c>
      <c r="L454">
        <v>45686</v>
      </c>
      <c r="M454" t="s">
        <v>102</v>
      </c>
    </row>
    <row r="455" spans="1:13" x14ac:dyDescent="0.3">
      <c r="A455" t="s">
        <v>1688</v>
      </c>
      <c r="B455" t="s">
        <v>46</v>
      </c>
      <c r="C455" t="s">
        <v>22</v>
      </c>
      <c r="D455" t="s">
        <v>207</v>
      </c>
      <c r="E455">
        <v>3041</v>
      </c>
      <c r="F455" t="s">
        <v>1689</v>
      </c>
      <c r="G455" t="s">
        <v>1690</v>
      </c>
      <c r="H455" t="s">
        <v>1691</v>
      </c>
      <c r="I455" t="s">
        <v>211</v>
      </c>
      <c r="J455" t="s">
        <v>14</v>
      </c>
      <c r="L455">
        <v>45696</v>
      </c>
      <c r="M455" t="s">
        <v>300</v>
      </c>
    </row>
    <row r="456" spans="1:13" x14ac:dyDescent="0.3">
      <c r="A456" t="s">
        <v>1692</v>
      </c>
      <c r="B456" t="s">
        <v>37</v>
      </c>
      <c r="C456" t="s">
        <v>22</v>
      </c>
      <c r="D456" t="s">
        <v>444</v>
      </c>
      <c r="E456">
        <v>3042</v>
      </c>
      <c r="F456" t="s">
        <v>1693</v>
      </c>
      <c r="G456" t="s">
        <v>1694</v>
      </c>
      <c r="H456" t="s">
        <v>1694</v>
      </c>
      <c r="I456" t="s">
        <v>448</v>
      </c>
      <c r="J456" t="s">
        <v>449</v>
      </c>
      <c r="L456">
        <v>45681</v>
      </c>
      <c r="M456" t="s">
        <v>481</v>
      </c>
    </row>
    <row r="457" spans="1:13" x14ac:dyDescent="0.3">
      <c r="A457" t="s">
        <v>1695</v>
      </c>
      <c r="B457" t="s">
        <v>37</v>
      </c>
      <c r="C457" t="s">
        <v>26</v>
      </c>
      <c r="D457" t="s">
        <v>78</v>
      </c>
      <c r="E457">
        <v>3035</v>
      </c>
      <c r="F457" t="s">
        <v>256</v>
      </c>
      <c r="G457" t="s">
        <v>1696</v>
      </c>
      <c r="H457" t="s">
        <v>1696</v>
      </c>
      <c r="I457" t="s">
        <v>81</v>
      </c>
      <c r="J457" t="s">
        <v>82</v>
      </c>
      <c r="L457">
        <v>45689</v>
      </c>
      <c r="M457" t="s">
        <v>287</v>
      </c>
    </row>
    <row r="458" spans="1:13" x14ac:dyDescent="0.3">
      <c r="A458" t="s">
        <v>1697</v>
      </c>
      <c r="B458" t="s">
        <v>46</v>
      </c>
      <c r="C458" t="s">
        <v>24</v>
      </c>
      <c r="D458" t="s">
        <v>136</v>
      </c>
      <c r="E458">
        <v>3039</v>
      </c>
      <c r="F458" t="s">
        <v>1698</v>
      </c>
      <c r="G458" t="s">
        <v>1699</v>
      </c>
      <c r="H458" t="s">
        <v>1699</v>
      </c>
      <c r="I458" t="s">
        <v>15</v>
      </c>
      <c r="J458" t="s">
        <v>14</v>
      </c>
      <c r="L458">
        <v>45724</v>
      </c>
      <c r="M458" t="s">
        <v>140</v>
      </c>
    </row>
    <row r="459" spans="1:13" x14ac:dyDescent="0.3">
      <c r="A459" t="s">
        <v>1700</v>
      </c>
      <c r="B459" t="s">
        <v>46</v>
      </c>
      <c r="C459" t="s">
        <v>25</v>
      </c>
      <c r="D459" t="s">
        <v>104</v>
      </c>
      <c r="E459">
        <v>3037</v>
      </c>
      <c r="F459" t="s">
        <v>1701</v>
      </c>
      <c r="G459" t="s">
        <v>1702</v>
      </c>
      <c r="H459" t="s">
        <v>1702</v>
      </c>
      <c r="I459" t="s">
        <v>12</v>
      </c>
      <c r="J459" t="s">
        <v>13</v>
      </c>
      <c r="K459" t="s">
        <v>21</v>
      </c>
      <c r="L459">
        <v>45687</v>
      </c>
      <c r="M459" t="s">
        <v>287</v>
      </c>
    </row>
    <row r="460" spans="1:13" x14ac:dyDescent="0.3">
      <c r="A460" t="s">
        <v>1703</v>
      </c>
      <c r="B460" t="s">
        <v>37</v>
      </c>
      <c r="C460" t="s">
        <v>24</v>
      </c>
      <c r="D460" t="s">
        <v>38</v>
      </c>
      <c r="E460">
        <v>3031</v>
      </c>
      <c r="F460" t="s">
        <v>1704</v>
      </c>
      <c r="G460" t="s">
        <v>1705</v>
      </c>
      <c r="H460" t="s">
        <v>1705</v>
      </c>
      <c r="I460" t="s">
        <v>42</v>
      </c>
      <c r="J460" t="s">
        <v>43</v>
      </c>
      <c r="L460">
        <v>45718</v>
      </c>
      <c r="M460" t="s">
        <v>128</v>
      </c>
    </row>
    <row r="461" spans="1:13" x14ac:dyDescent="0.3">
      <c r="A461" t="s">
        <v>1706</v>
      </c>
      <c r="B461" t="s">
        <v>37</v>
      </c>
      <c r="C461" t="s">
        <v>24</v>
      </c>
      <c r="D461" t="s">
        <v>136</v>
      </c>
      <c r="E461">
        <v>3039</v>
      </c>
      <c r="F461" t="s">
        <v>1707</v>
      </c>
      <c r="G461" t="s">
        <v>1708</v>
      </c>
      <c r="H461" t="s">
        <v>1709</v>
      </c>
      <c r="I461" t="s">
        <v>15</v>
      </c>
      <c r="J461" t="s">
        <v>14</v>
      </c>
      <c r="L461">
        <v>45663</v>
      </c>
      <c r="M461" t="s">
        <v>200</v>
      </c>
    </row>
    <row r="462" spans="1:13" x14ac:dyDescent="0.3">
      <c r="A462" t="s">
        <v>1710</v>
      </c>
      <c r="B462" t="s">
        <v>46</v>
      </c>
      <c r="C462" t="s">
        <v>26</v>
      </c>
      <c r="D462" t="s">
        <v>104</v>
      </c>
      <c r="E462">
        <v>3037</v>
      </c>
      <c r="F462" t="s">
        <v>1711</v>
      </c>
      <c r="G462" t="s">
        <v>1712</v>
      </c>
      <c r="H462" t="s">
        <v>1712</v>
      </c>
      <c r="I462" t="s">
        <v>12</v>
      </c>
      <c r="J462" t="s">
        <v>13</v>
      </c>
      <c r="K462" t="s">
        <v>21</v>
      </c>
      <c r="L462">
        <v>45742</v>
      </c>
      <c r="M462" t="s">
        <v>76</v>
      </c>
    </row>
    <row r="463" spans="1:13" x14ac:dyDescent="0.3">
      <c r="A463" t="s">
        <v>1713</v>
      </c>
      <c r="B463" t="s">
        <v>46</v>
      </c>
      <c r="C463" t="s">
        <v>25</v>
      </c>
      <c r="D463" t="s">
        <v>55</v>
      </c>
      <c r="E463">
        <v>3033</v>
      </c>
      <c r="F463" t="s">
        <v>1714</v>
      </c>
      <c r="G463" t="s">
        <v>1715</v>
      </c>
      <c r="H463" t="s">
        <v>1716</v>
      </c>
      <c r="I463" t="s">
        <v>58</v>
      </c>
      <c r="J463" t="s">
        <v>59</v>
      </c>
      <c r="K463" t="s">
        <v>21</v>
      </c>
      <c r="L463">
        <v>45706</v>
      </c>
      <c r="M463" t="s">
        <v>69</v>
      </c>
    </row>
    <row r="464" spans="1:13" x14ac:dyDescent="0.3">
      <c r="A464" t="s">
        <v>1717</v>
      </c>
      <c r="B464" t="s">
        <v>46</v>
      </c>
      <c r="C464" t="s">
        <v>25</v>
      </c>
      <c r="D464" t="s">
        <v>78</v>
      </c>
      <c r="E464">
        <v>3035</v>
      </c>
      <c r="F464" t="s">
        <v>1718</v>
      </c>
      <c r="G464" t="s">
        <v>1719</v>
      </c>
      <c r="H464" t="s">
        <v>1720</v>
      </c>
      <c r="I464" t="s">
        <v>81</v>
      </c>
      <c r="J464" t="s">
        <v>82</v>
      </c>
      <c r="L464">
        <v>45724</v>
      </c>
      <c r="M464" t="s">
        <v>69</v>
      </c>
    </row>
    <row r="465" spans="1:13" x14ac:dyDescent="0.3">
      <c r="A465" t="s">
        <v>1721</v>
      </c>
      <c r="B465" t="s">
        <v>46</v>
      </c>
      <c r="C465" t="s">
        <v>25</v>
      </c>
      <c r="D465" t="s">
        <v>207</v>
      </c>
      <c r="E465">
        <v>3041</v>
      </c>
      <c r="F465" t="s">
        <v>1722</v>
      </c>
      <c r="G465" t="s">
        <v>1723</v>
      </c>
      <c r="H465" t="s">
        <v>1724</v>
      </c>
      <c r="I465" t="s">
        <v>211</v>
      </c>
      <c r="J465" t="s">
        <v>14</v>
      </c>
      <c r="L465">
        <v>45679</v>
      </c>
      <c r="M465" t="s">
        <v>577</v>
      </c>
    </row>
    <row r="466" spans="1:13" x14ac:dyDescent="0.3">
      <c r="A466" t="s">
        <v>1725</v>
      </c>
      <c r="B466" t="s">
        <v>37</v>
      </c>
      <c r="C466" t="s">
        <v>22</v>
      </c>
      <c r="D466" t="s">
        <v>97</v>
      </c>
      <c r="E466">
        <v>3036</v>
      </c>
      <c r="F466" t="s">
        <v>1726</v>
      </c>
      <c r="G466" t="s">
        <v>1727</v>
      </c>
      <c r="H466" t="s">
        <v>1728</v>
      </c>
      <c r="I466" t="s">
        <v>100</v>
      </c>
      <c r="J466" t="s">
        <v>101</v>
      </c>
      <c r="L466">
        <v>45713</v>
      </c>
      <c r="M466" t="s">
        <v>292</v>
      </c>
    </row>
    <row r="467" spans="1:13" x14ac:dyDescent="0.3">
      <c r="A467" t="s">
        <v>1729</v>
      </c>
      <c r="B467" t="s">
        <v>37</v>
      </c>
      <c r="C467" t="s">
        <v>25</v>
      </c>
      <c r="D467" t="s">
        <v>97</v>
      </c>
      <c r="E467">
        <v>3036</v>
      </c>
      <c r="F467" t="s">
        <v>1730</v>
      </c>
      <c r="G467" t="s">
        <v>1731</v>
      </c>
      <c r="H467" t="s">
        <v>1731</v>
      </c>
      <c r="I467" t="s">
        <v>100</v>
      </c>
      <c r="J467" t="s">
        <v>101</v>
      </c>
      <c r="L467">
        <v>45741</v>
      </c>
      <c r="M467" t="s">
        <v>128</v>
      </c>
    </row>
    <row r="468" spans="1:13" x14ac:dyDescent="0.3">
      <c r="A468" t="s">
        <v>1732</v>
      </c>
      <c r="B468" t="s">
        <v>46</v>
      </c>
      <c r="C468" t="s">
        <v>25</v>
      </c>
      <c r="D468" t="s">
        <v>104</v>
      </c>
      <c r="E468">
        <v>3037</v>
      </c>
      <c r="F468" t="s">
        <v>1733</v>
      </c>
      <c r="G468" t="s">
        <v>1734</v>
      </c>
      <c r="H468" t="s">
        <v>1735</v>
      </c>
      <c r="I468" t="s">
        <v>12</v>
      </c>
      <c r="J468" t="s">
        <v>13</v>
      </c>
      <c r="K468" t="s">
        <v>21</v>
      </c>
      <c r="L468">
        <v>45675</v>
      </c>
      <c r="M468" t="s">
        <v>189</v>
      </c>
    </row>
    <row r="469" spans="1:13" x14ac:dyDescent="0.3">
      <c r="A469" t="s">
        <v>1736</v>
      </c>
      <c r="B469" t="s">
        <v>46</v>
      </c>
      <c r="C469" t="s">
        <v>25</v>
      </c>
      <c r="D469" t="s">
        <v>71</v>
      </c>
      <c r="E469">
        <v>3034</v>
      </c>
      <c r="F469" t="s">
        <v>1737</v>
      </c>
      <c r="G469" t="s">
        <v>1738</v>
      </c>
      <c r="H469" t="s">
        <v>1738</v>
      </c>
      <c r="I469" t="s">
        <v>74</v>
      </c>
      <c r="J469" t="s">
        <v>75</v>
      </c>
      <c r="L469">
        <v>45670</v>
      </c>
      <c r="M469" t="s">
        <v>212</v>
      </c>
    </row>
    <row r="470" spans="1:13" x14ac:dyDescent="0.3">
      <c r="A470" t="s">
        <v>1739</v>
      </c>
      <c r="B470" t="s">
        <v>46</v>
      </c>
      <c r="C470" t="s">
        <v>25</v>
      </c>
      <c r="D470" t="s">
        <v>78</v>
      </c>
      <c r="E470">
        <v>3035</v>
      </c>
      <c r="F470" t="s">
        <v>1740</v>
      </c>
      <c r="G470" t="s">
        <v>1741</v>
      </c>
      <c r="H470" t="s">
        <v>1741</v>
      </c>
      <c r="I470" t="s">
        <v>81</v>
      </c>
      <c r="J470" t="s">
        <v>82</v>
      </c>
      <c r="L470">
        <v>45671</v>
      </c>
      <c r="M470" t="s">
        <v>69</v>
      </c>
    </row>
    <row r="471" spans="1:13" x14ac:dyDescent="0.3">
      <c r="A471" t="s">
        <v>1742</v>
      </c>
      <c r="B471" t="s">
        <v>37</v>
      </c>
      <c r="C471" t="s">
        <v>26</v>
      </c>
      <c r="D471" t="s">
        <v>55</v>
      </c>
      <c r="E471">
        <v>3033</v>
      </c>
      <c r="F471" t="s">
        <v>1743</v>
      </c>
      <c r="G471" t="s">
        <v>1744</v>
      </c>
      <c r="H471" t="s">
        <v>1744</v>
      </c>
      <c r="I471" t="s">
        <v>58</v>
      </c>
      <c r="J471" t="s">
        <v>59</v>
      </c>
      <c r="K471" t="s">
        <v>21</v>
      </c>
      <c r="L471">
        <v>45661</v>
      </c>
      <c r="M471" t="s">
        <v>95</v>
      </c>
    </row>
    <row r="472" spans="1:13" x14ac:dyDescent="0.3">
      <c r="A472" t="s">
        <v>1745</v>
      </c>
      <c r="B472" t="s">
        <v>46</v>
      </c>
      <c r="C472" t="s">
        <v>26</v>
      </c>
      <c r="D472" t="s">
        <v>55</v>
      </c>
      <c r="E472">
        <v>3033</v>
      </c>
      <c r="F472" t="s">
        <v>1746</v>
      </c>
      <c r="G472" t="s">
        <v>1747</v>
      </c>
      <c r="H472" t="s">
        <v>1748</v>
      </c>
      <c r="I472" t="s">
        <v>58</v>
      </c>
      <c r="J472" t="s">
        <v>59</v>
      </c>
      <c r="L472">
        <v>45700</v>
      </c>
      <c r="M472" t="s">
        <v>69</v>
      </c>
    </row>
    <row r="473" spans="1:13" x14ac:dyDescent="0.3">
      <c r="A473" t="s">
        <v>1749</v>
      </c>
      <c r="B473" t="s">
        <v>37</v>
      </c>
      <c r="C473" t="s">
        <v>22</v>
      </c>
      <c r="D473" t="s">
        <v>191</v>
      </c>
      <c r="E473">
        <v>3040</v>
      </c>
      <c r="F473" t="s">
        <v>1750</v>
      </c>
      <c r="G473" t="s">
        <v>1751</v>
      </c>
      <c r="H473" t="s">
        <v>1752</v>
      </c>
      <c r="I473" t="s">
        <v>194</v>
      </c>
      <c r="J473" t="s">
        <v>13</v>
      </c>
      <c r="L473">
        <v>45696</v>
      </c>
      <c r="M473" t="s">
        <v>224</v>
      </c>
    </row>
    <row r="474" spans="1:13" x14ac:dyDescent="0.3">
      <c r="A474" t="s">
        <v>1753</v>
      </c>
      <c r="B474" t="s">
        <v>46</v>
      </c>
      <c r="C474" t="s">
        <v>24</v>
      </c>
      <c r="D474" t="s">
        <v>78</v>
      </c>
      <c r="E474">
        <v>3035</v>
      </c>
      <c r="F474" t="s">
        <v>1754</v>
      </c>
      <c r="G474" t="s">
        <v>1755</v>
      </c>
      <c r="H474" t="s">
        <v>1755</v>
      </c>
      <c r="I474" t="s">
        <v>81</v>
      </c>
      <c r="J474" t="s">
        <v>82</v>
      </c>
      <c r="K474" t="s">
        <v>21</v>
      </c>
      <c r="L474">
        <v>45729</v>
      </c>
      <c r="M474" t="s">
        <v>287</v>
      </c>
    </row>
    <row r="475" spans="1:13" x14ac:dyDescent="0.3">
      <c r="A475" t="s">
        <v>1756</v>
      </c>
      <c r="B475" t="s">
        <v>37</v>
      </c>
      <c r="C475" t="s">
        <v>25</v>
      </c>
      <c r="D475" t="s">
        <v>118</v>
      </c>
      <c r="E475">
        <v>3038</v>
      </c>
      <c r="F475" t="s">
        <v>1757</v>
      </c>
      <c r="G475" t="s">
        <v>1758</v>
      </c>
      <c r="H475" t="s">
        <v>1759</v>
      </c>
      <c r="I475" t="s">
        <v>122</v>
      </c>
      <c r="J475" t="s">
        <v>123</v>
      </c>
      <c r="L475">
        <v>45674</v>
      </c>
      <c r="M475" t="s">
        <v>95</v>
      </c>
    </row>
    <row r="476" spans="1:13" x14ac:dyDescent="0.3">
      <c r="A476" t="s">
        <v>1760</v>
      </c>
      <c r="B476" t="s">
        <v>37</v>
      </c>
      <c r="C476" t="s">
        <v>25</v>
      </c>
      <c r="D476" t="s">
        <v>104</v>
      </c>
      <c r="E476">
        <v>3037</v>
      </c>
      <c r="F476" t="s">
        <v>1003</v>
      </c>
      <c r="G476" t="s">
        <v>1761</v>
      </c>
      <c r="H476" t="s">
        <v>1761</v>
      </c>
      <c r="I476" t="s">
        <v>12</v>
      </c>
      <c r="J476" t="s">
        <v>13</v>
      </c>
      <c r="L476">
        <v>45675</v>
      </c>
      <c r="M476" t="s">
        <v>224</v>
      </c>
    </row>
    <row r="477" spans="1:13" x14ac:dyDescent="0.3">
      <c r="A477" t="s">
        <v>1762</v>
      </c>
      <c r="B477" t="s">
        <v>37</v>
      </c>
      <c r="C477" t="s">
        <v>26</v>
      </c>
      <c r="D477" t="s">
        <v>191</v>
      </c>
      <c r="E477">
        <v>3040</v>
      </c>
      <c r="F477" t="s">
        <v>1763</v>
      </c>
      <c r="G477" t="s">
        <v>1764</v>
      </c>
      <c r="H477" t="s">
        <v>1765</v>
      </c>
      <c r="I477" t="s">
        <v>194</v>
      </c>
      <c r="J477" t="s">
        <v>13</v>
      </c>
      <c r="L477">
        <v>45743</v>
      </c>
      <c r="M477" t="s">
        <v>717</v>
      </c>
    </row>
    <row r="478" spans="1:13" x14ac:dyDescent="0.3">
      <c r="A478" t="s">
        <v>1766</v>
      </c>
      <c r="B478" t="s">
        <v>37</v>
      </c>
      <c r="C478" t="s">
        <v>22</v>
      </c>
      <c r="D478" t="s">
        <v>444</v>
      </c>
      <c r="E478">
        <v>3042</v>
      </c>
      <c r="F478" t="s">
        <v>1767</v>
      </c>
      <c r="G478" t="s">
        <v>1768</v>
      </c>
      <c r="H478" t="s">
        <v>1768</v>
      </c>
      <c r="I478" t="s">
        <v>448</v>
      </c>
      <c r="J478" t="s">
        <v>449</v>
      </c>
      <c r="K478" t="s">
        <v>21</v>
      </c>
      <c r="L478">
        <v>45728</v>
      </c>
      <c r="M478" t="s">
        <v>363</v>
      </c>
    </row>
    <row r="479" spans="1:13" x14ac:dyDescent="0.3">
      <c r="A479" t="s">
        <v>1769</v>
      </c>
      <c r="B479" t="s">
        <v>37</v>
      </c>
      <c r="C479" t="s">
        <v>26</v>
      </c>
      <c r="D479" t="s">
        <v>97</v>
      </c>
      <c r="E479">
        <v>3036</v>
      </c>
      <c r="F479" t="s">
        <v>1770</v>
      </c>
      <c r="G479" t="s">
        <v>1771</v>
      </c>
      <c r="H479" t="s">
        <v>1772</v>
      </c>
      <c r="I479" t="s">
        <v>100</v>
      </c>
      <c r="J479" t="s">
        <v>101</v>
      </c>
      <c r="L479">
        <v>45675</v>
      </c>
      <c r="M479" t="s">
        <v>128</v>
      </c>
    </row>
    <row r="480" spans="1:13" x14ac:dyDescent="0.3">
      <c r="A480" t="s">
        <v>1773</v>
      </c>
      <c r="B480" t="s">
        <v>46</v>
      </c>
      <c r="C480" t="s">
        <v>22</v>
      </c>
      <c r="D480" t="s">
        <v>191</v>
      </c>
      <c r="E480">
        <v>3040</v>
      </c>
      <c r="F480" t="s">
        <v>1774</v>
      </c>
      <c r="G480" t="s">
        <v>1775</v>
      </c>
      <c r="H480" t="s">
        <v>1775</v>
      </c>
      <c r="I480" t="s">
        <v>194</v>
      </c>
      <c r="J480" t="s">
        <v>13</v>
      </c>
      <c r="K480" t="s">
        <v>21</v>
      </c>
      <c r="L480">
        <v>45718</v>
      </c>
      <c r="M480" t="s">
        <v>717</v>
      </c>
    </row>
    <row r="481" spans="1:13" x14ac:dyDescent="0.3">
      <c r="A481" t="s">
        <v>1776</v>
      </c>
      <c r="B481" t="s">
        <v>37</v>
      </c>
      <c r="C481" t="s">
        <v>26</v>
      </c>
      <c r="D481" t="s">
        <v>97</v>
      </c>
      <c r="E481">
        <v>3036</v>
      </c>
      <c r="F481" t="s">
        <v>1777</v>
      </c>
      <c r="G481" t="s">
        <v>1778</v>
      </c>
      <c r="H481" t="s">
        <v>1778</v>
      </c>
      <c r="I481" t="s">
        <v>100</v>
      </c>
      <c r="J481" t="s">
        <v>101</v>
      </c>
      <c r="L481">
        <v>45702</v>
      </c>
      <c r="M481" t="s">
        <v>165</v>
      </c>
    </row>
    <row r="482" spans="1:13" x14ac:dyDescent="0.3">
      <c r="A482" t="s">
        <v>1779</v>
      </c>
      <c r="B482" t="s">
        <v>46</v>
      </c>
      <c r="C482" t="s">
        <v>22</v>
      </c>
      <c r="D482" t="s">
        <v>118</v>
      </c>
      <c r="E482">
        <v>3038</v>
      </c>
      <c r="F482" t="s">
        <v>1780</v>
      </c>
      <c r="G482" t="s">
        <v>1781</v>
      </c>
      <c r="H482" t="s">
        <v>1781</v>
      </c>
      <c r="I482" t="s">
        <v>122</v>
      </c>
      <c r="J482" t="s">
        <v>123</v>
      </c>
      <c r="L482">
        <v>45672</v>
      </c>
      <c r="M482" t="s">
        <v>95</v>
      </c>
    </row>
    <row r="483" spans="1:13" x14ac:dyDescent="0.3">
      <c r="A483" t="s">
        <v>1782</v>
      </c>
      <c r="B483" t="s">
        <v>46</v>
      </c>
      <c r="C483" t="s">
        <v>24</v>
      </c>
      <c r="D483" t="s">
        <v>55</v>
      </c>
      <c r="E483">
        <v>3033</v>
      </c>
      <c r="F483" t="s">
        <v>1783</v>
      </c>
      <c r="G483" t="s">
        <v>1784</v>
      </c>
      <c r="H483" t="s">
        <v>1785</v>
      </c>
      <c r="I483" t="s">
        <v>58</v>
      </c>
      <c r="J483" t="s">
        <v>59</v>
      </c>
      <c r="K483" t="s">
        <v>21</v>
      </c>
      <c r="L483">
        <v>45662</v>
      </c>
      <c r="M483" t="s">
        <v>95</v>
      </c>
    </row>
    <row r="484" spans="1:13" x14ac:dyDescent="0.3">
      <c r="A484" t="s">
        <v>1786</v>
      </c>
      <c r="B484" t="s">
        <v>37</v>
      </c>
      <c r="C484" t="s">
        <v>26</v>
      </c>
      <c r="D484" t="s">
        <v>38</v>
      </c>
      <c r="E484">
        <v>3031</v>
      </c>
      <c r="F484" t="s">
        <v>737</v>
      </c>
      <c r="G484" t="s">
        <v>1787</v>
      </c>
      <c r="H484" t="s">
        <v>1787</v>
      </c>
      <c r="I484" t="s">
        <v>42</v>
      </c>
      <c r="J484" t="s">
        <v>43</v>
      </c>
      <c r="L484">
        <v>45732</v>
      </c>
      <c r="M484" t="s">
        <v>44</v>
      </c>
    </row>
    <row r="485" spans="1:13" x14ac:dyDescent="0.3">
      <c r="A485" t="s">
        <v>1788</v>
      </c>
      <c r="B485" t="s">
        <v>46</v>
      </c>
      <c r="C485" t="s">
        <v>25</v>
      </c>
      <c r="D485" t="s">
        <v>444</v>
      </c>
      <c r="E485">
        <v>3042</v>
      </c>
      <c r="F485" t="s">
        <v>1789</v>
      </c>
      <c r="G485" t="s">
        <v>1790</v>
      </c>
      <c r="H485" t="s">
        <v>1790</v>
      </c>
      <c r="I485" t="s">
        <v>448</v>
      </c>
      <c r="J485" t="s">
        <v>449</v>
      </c>
      <c r="L485">
        <v>45669</v>
      </c>
      <c r="M485" t="s">
        <v>224</v>
      </c>
    </row>
    <row r="486" spans="1:13" x14ac:dyDescent="0.3">
      <c r="A486" t="s">
        <v>1791</v>
      </c>
      <c r="B486" t="s">
        <v>46</v>
      </c>
      <c r="C486" t="s">
        <v>25</v>
      </c>
      <c r="D486" t="s">
        <v>55</v>
      </c>
      <c r="E486">
        <v>3033</v>
      </c>
      <c r="F486" t="s">
        <v>1792</v>
      </c>
      <c r="G486" t="s">
        <v>1793</v>
      </c>
      <c r="H486" t="s">
        <v>1794</v>
      </c>
      <c r="I486" t="s">
        <v>58</v>
      </c>
      <c r="J486" t="s">
        <v>59</v>
      </c>
      <c r="K486" t="s">
        <v>21</v>
      </c>
      <c r="L486">
        <v>45704</v>
      </c>
      <c r="M486" t="s">
        <v>90</v>
      </c>
    </row>
    <row r="487" spans="1:13" x14ac:dyDescent="0.3">
      <c r="A487" t="s">
        <v>1795</v>
      </c>
      <c r="B487" t="s">
        <v>37</v>
      </c>
      <c r="C487" t="s">
        <v>22</v>
      </c>
      <c r="D487" t="s">
        <v>78</v>
      </c>
      <c r="E487">
        <v>3035</v>
      </c>
      <c r="F487" t="s">
        <v>1796</v>
      </c>
      <c r="G487" t="s">
        <v>1797</v>
      </c>
      <c r="H487" t="s">
        <v>1797</v>
      </c>
      <c r="I487" t="s">
        <v>81</v>
      </c>
      <c r="J487" t="s">
        <v>82</v>
      </c>
      <c r="K487" t="s">
        <v>21</v>
      </c>
      <c r="L487">
        <v>45708</v>
      </c>
      <c r="M487" t="s">
        <v>95</v>
      </c>
    </row>
    <row r="488" spans="1:13" x14ac:dyDescent="0.3">
      <c r="A488" t="s">
        <v>1798</v>
      </c>
      <c r="B488" t="s">
        <v>46</v>
      </c>
      <c r="C488" t="s">
        <v>26</v>
      </c>
      <c r="D488" t="s">
        <v>136</v>
      </c>
      <c r="E488">
        <v>3039</v>
      </c>
      <c r="F488" t="s">
        <v>1799</v>
      </c>
      <c r="G488" t="s">
        <v>1800</v>
      </c>
      <c r="H488" t="s">
        <v>1800</v>
      </c>
      <c r="I488" t="s">
        <v>15</v>
      </c>
      <c r="J488" t="s">
        <v>14</v>
      </c>
      <c r="L488">
        <v>45729</v>
      </c>
      <c r="M488" t="s">
        <v>160</v>
      </c>
    </row>
    <row r="489" spans="1:13" x14ac:dyDescent="0.3">
      <c r="A489" t="s">
        <v>1801</v>
      </c>
      <c r="B489" t="s">
        <v>37</v>
      </c>
      <c r="C489" t="s">
        <v>24</v>
      </c>
      <c r="D489" t="s">
        <v>191</v>
      </c>
      <c r="E489">
        <v>3040</v>
      </c>
      <c r="F489" t="s">
        <v>1802</v>
      </c>
      <c r="G489" t="s">
        <v>1803</v>
      </c>
      <c r="H489" t="s">
        <v>1803</v>
      </c>
      <c r="I489" t="s">
        <v>194</v>
      </c>
      <c r="J489" t="s">
        <v>13</v>
      </c>
      <c r="L489">
        <v>45724</v>
      </c>
      <c r="M489" t="s">
        <v>160</v>
      </c>
    </row>
    <row r="490" spans="1:13" x14ac:dyDescent="0.3">
      <c r="A490" t="s">
        <v>1804</v>
      </c>
      <c r="B490" t="s">
        <v>37</v>
      </c>
      <c r="C490" t="s">
        <v>24</v>
      </c>
      <c r="D490" t="s">
        <v>71</v>
      </c>
      <c r="E490">
        <v>3034</v>
      </c>
      <c r="F490" t="s">
        <v>1805</v>
      </c>
      <c r="G490" t="s">
        <v>1806</v>
      </c>
      <c r="H490" t="s">
        <v>1807</v>
      </c>
      <c r="I490" t="s">
        <v>74</v>
      </c>
      <c r="J490" t="s">
        <v>75</v>
      </c>
      <c r="K490" t="s">
        <v>21</v>
      </c>
      <c r="L490">
        <v>45728</v>
      </c>
      <c r="M490" t="s">
        <v>212</v>
      </c>
    </row>
    <row r="491" spans="1:13" x14ac:dyDescent="0.3">
      <c r="A491" t="s">
        <v>1808</v>
      </c>
      <c r="B491" t="s">
        <v>37</v>
      </c>
      <c r="C491" t="s">
        <v>24</v>
      </c>
      <c r="D491" t="s">
        <v>104</v>
      </c>
      <c r="E491">
        <v>3037</v>
      </c>
      <c r="F491" t="s">
        <v>1809</v>
      </c>
      <c r="G491" t="s">
        <v>1810</v>
      </c>
      <c r="H491" t="s">
        <v>1811</v>
      </c>
      <c r="I491" t="s">
        <v>12</v>
      </c>
      <c r="J491" t="s">
        <v>13</v>
      </c>
      <c r="L491">
        <v>45704</v>
      </c>
      <c r="M491" t="s">
        <v>189</v>
      </c>
    </row>
    <row r="492" spans="1:13" x14ac:dyDescent="0.3">
      <c r="A492" t="s">
        <v>1812</v>
      </c>
      <c r="B492" t="s">
        <v>37</v>
      </c>
      <c r="C492" t="s">
        <v>26</v>
      </c>
      <c r="D492" t="s">
        <v>136</v>
      </c>
      <c r="E492">
        <v>3039</v>
      </c>
      <c r="F492" t="s">
        <v>976</v>
      </c>
      <c r="G492" t="s">
        <v>1813</v>
      </c>
      <c r="H492" t="s">
        <v>1814</v>
      </c>
      <c r="I492" t="s">
        <v>15</v>
      </c>
      <c r="J492" t="s">
        <v>14</v>
      </c>
      <c r="L492">
        <v>45711</v>
      </c>
      <c r="M492" t="s">
        <v>389</v>
      </c>
    </row>
    <row r="493" spans="1:13" x14ac:dyDescent="0.3">
      <c r="A493" t="s">
        <v>1815</v>
      </c>
      <c r="B493" t="s">
        <v>46</v>
      </c>
      <c r="C493" t="s">
        <v>26</v>
      </c>
      <c r="D493" t="s">
        <v>191</v>
      </c>
      <c r="E493">
        <v>3040</v>
      </c>
      <c r="F493" t="s">
        <v>1816</v>
      </c>
      <c r="G493" t="s">
        <v>1817</v>
      </c>
      <c r="H493" t="s">
        <v>1817</v>
      </c>
      <c r="I493" t="s">
        <v>194</v>
      </c>
      <c r="J493" t="s">
        <v>13</v>
      </c>
      <c r="L493">
        <v>45718</v>
      </c>
      <c r="M493" t="s">
        <v>224</v>
      </c>
    </row>
    <row r="494" spans="1:13" x14ac:dyDescent="0.3">
      <c r="A494" t="s">
        <v>1818</v>
      </c>
      <c r="B494" t="s">
        <v>46</v>
      </c>
      <c r="C494" t="s">
        <v>22</v>
      </c>
      <c r="D494" t="s">
        <v>47</v>
      </c>
      <c r="E494">
        <v>3032</v>
      </c>
      <c r="F494" t="s">
        <v>1819</v>
      </c>
      <c r="G494" t="s">
        <v>1820</v>
      </c>
      <c r="H494" t="s">
        <v>1821</v>
      </c>
      <c r="I494" t="s">
        <v>51</v>
      </c>
      <c r="J494" t="s">
        <v>52</v>
      </c>
      <c r="L494">
        <v>45706</v>
      </c>
      <c r="M494" t="s">
        <v>261</v>
      </c>
    </row>
    <row r="495" spans="1:13" x14ac:dyDescent="0.3">
      <c r="A495" t="s">
        <v>1822</v>
      </c>
      <c r="B495" t="s">
        <v>37</v>
      </c>
      <c r="C495" t="s">
        <v>24</v>
      </c>
      <c r="D495" t="s">
        <v>118</v>
      </c>
      <c r="E495">
        <v>3038</v>
      </c>
      <c r="F495" t="s">
        <v>1823</v>
      </c>
      <c r="G495" t="s">
        <v>1824</v>
      </c>
      <c r="H495" t="s">
        <v>1825</v>
      </c>
      <c r="I495" t="s">
        <v>122</v>
      </c>
      <c r="J495" t="s">
        <v>123</v>
      </c>
      <c r="K495" t="s">
        <v>21</v>
      </c>
      <c r="L495">
        <v>45701</v>
      </c>
      <c r="M495" t="s">
        <v>200</v>
      </c>
    </row>
    <row r="496" spans="1:13" x14ac:dyDescent="0.3">
      <c r="A496" t="s">
        <v>1826</v>
      </c>
      <c r="B496" t="s">
        <v>46</v>
      </c>
      <c r="C496" t="s">
        <v>26</v>
      </c>
      <c r="D496" t="s">
        <v>97</v>
      </c>
      <c r="E496">
        <v>3036</v>
      </c>
      <c r="F496" t="s">
        <v>1827</v>
      </c>
      <c r="G496" t="s">
        <v>1828</v>
      </c>
      <c r="H496" t="s">
        <v>1828</v>
      </c>
      <c r="I496" t="s">
        <v>100</v>
      </c>
      <c r="J496" t="s">
        <v>101</v>
      </c>
      <c r="L496">
        <v>45732</v>
      </c>
      <c r="M496" t="s">
        <v>128</v>
      </c>
    </row>
    <row r="497" spans="1:13" x14ac:dyDescent="0.3">
      <c r="A497" t="s">
        <v>1829</v>
      </c>
      <c r="B497" t="s">
        <v>46</v>
      </c>
      <c r="C497" t="s">
        <v>22</v>
      </c>
      <c r="D497" t="s">
        <v>136</v>
      </c>
      <c r="E497">
        <v>3039</v>
      </c>
      <c r="F497" t="s">
        <v>1830</v>
      </c>
      <c r="G497" t="s">
        <v>1831</v>
      </c>
      <c r="H497" t="s">
        <v>1831</v>
      </c>
      <c r="I497" t="s">
        <v>15</v>
      </c>
      <c r="J497" t="s">
        <v>14</v>
      </c>
      <c r="L497">
        <v>45662</v>
      </c>
      <c r="M497" t="s">
        <v>140</v>
      </c>
    </row>
    <row r="498" spans="1:13" x14ac:dyDescent="0.3">
      <c r="A498" t="s">
        <v>1832</v>
      </c>
      <c r="B498" t="s">
        <v>46</v>
      </c>
      <c r="C498" t="s">
        <v>24</v>
      </c>
      <c r="D498" t="s">
        <v>207</v>
      </c>
      <c r="E498">
        <v>3041</v>
      </c>
      <c r="F498" t="s">
        <v>1833</v>
      </c>
      <c r="G498" t="s">
        <v>1834</v>
      </c>
      <c r="H498" t="s">
        <v>1834</v>
      </c>
      <c r="I498" t="s">
        <v>211</v>
      </c>
      <c r="J498" t="s">
        <v>14</v>
      </c>
      <c r="K498" t="s">
        <v>21</v>
      </c>
      <c r="L498">
        <v>45720</v>
      </c>
      <c r="M498" t="s">
        <v>212</v>
      </c>
    </row>
    <row r="499" spans="1:13" x14ac:dyDescent="0.3">
      <c r="A499" t="s">
        <v>1835</v>
      </c>
      <c r="B499" t="s">
        <v>37</v>
      </c>
      <c r="C499" t="s">
        <v>26</v>
      </c>
      <c r="D499" t="s">
        <v>207</v>
      </c>
      <c r="E499">
        <v>3041</v>
      </c>
      <c r="F499" t="s">
        <v>1836</v>
      </c>
      <c r="G499" t="s">
        <v>1837</v>
      </c>
      <c r="H499" t="s">
        <v>1837</v>
      </c>
      <c r="I499" t="s">
        <v>211</v>
      </c>
      <c r="J499" t="s">
        <v>14</v>
      </c>
      <c r="L499">
        <v>45673</v>
      </c>
      <c r="M499" t="s">
        <v>300</v>
      </c>
    </row>
    <row r="500" spans="1:13" x14ac:dyDescent="0.3">
      <c r="A500" t="s">
        <v>1838</v>
      </c>
      <c r="B500" t="s">
        <v>37</v>
      </c>
      <c r="C500" t="s">
        <v>22</v>
      </c>
      <c r="D500" t="s">
        <v>97</v>
      </c>
      <c r="E500">
        <v>3036</v>
      </c>
      <c r="F500" t="s">
        <v>1839</v>
      </c>
      <c r="G500" t="s">
        <v>1840</v>
      </c>
      <c r="H500" t="s">
        <v>1840</v>
      </c>
      <c r="I500" t="s">
        <v>100</v>
      </c>
      <c r="J500" t="s">
        <v>101</v>
      </c>
      <c r="L500">
        <v>45726</v>
      </c>
      <c r="M500" t="s">
        <v>65</v>
      </c>
    </row>
    <row r="501" spans="1:13" x14ac:dyDescent="0.3">
      <c r="A501" t="s">
        <v>1841</v>
      </c>
      <c r="B501" t="s">
        <v>46</v>
      </c>
      <c r="C501" t="s">
        <v>26</v>
      </c>
      <c r="D501" t="s">
        <v>118</v>
      </c>
      <c r="E501">
        <v>3038</v>
      </c>
      <c r="F501" t="s">
        <v>1842</v>
      </c>
      <c r="G501" t="s">
        <v>1843</v>
      </c>
      <c r="H501" t="s">
        <v>1844</v>
      </c>
      <c r="I501" t="s">
        <v>122</v>
      </c>
      <c r="J501" t="s">
        <v>123</v>
      </c>
      <c r="L501">
        <v>45660</v>
      </c>
      <c r="M501" t="s">
        <v>200</v>
      </c>
    </row>
    <row r="502" spans="1:13" x14ac:dyDescent="0.3">
      <c r="A502" t="s">
        <v>1845</v>
      </c>
      <c r="B502" t="s">
        <v>46</v>
      </c>
      <c r="C502" t="s">
        <v>22</v>
      </c>
      <c r="D502" t="s">
        <v>97</v>
      </c>
      <c r="E502">
        <v>3036</v>
      </c>
      <c r="F502" t="s">
        <v>1846</v>
      </c>
      <c r="G502" t="s">
        <v>1847</v>
      </c>
      <c r="H502" t="s">
        <v>1848</v>
      </c>
      <c r="I502" t="s">
        <v>100</v>
      </c>
      <c r="J502" t="s">
        <v>101</v>
      </c>
      <c r="L502">
        <v>45717</v>
      </c>
      <c r="M502" t="s">
        <v>292</v>
      </c>
    </row>
    <row r="503" spans="1:13" x14ac:dyDescent="0.3">
      <c r="A503" t="s">
        <v>1849</v>
      </c>
      <c r="B503" t="s">
        <v>37</v>
      </c>
      <c r="C503" t="s">
        <v>26</v>
      </c>
      <c r="D503" t="s">
        <v>38</v>
      </c>
      <c r="E503">
        <v>3031</v>
      </c>
      <c r="F503" t="s">
        <v>1850</v>
      </c>
      <c r="G503" t="s">
        <v>1851</v>
      </c>
      <c r="H503" t="s">
        <v>1852</v>
      </c>
      <c r="I503" t="s">
        <v>42</v>
      </c>
      <c r="J503" t="s">
        <v>43</v>
      </c>
      <c r="K503" t="s">
        <v>21</v>
      </c>
      <c r="L503">
        <v>45688</v>
      </c>
      <c r="M503" t="s">
        <v>44</v>
      </c>
    </row>
    <row r="504" spans="1:13" x14ac:dyDescent="0.3">
      <c r="A504" t="s">
        <v>1853</v>
      </c>
      <c r="B504" t="s">
        <v>37</v>
      </c>
      <c r="C504" t="s">
        <v>22</v>
      </c>
      <c r="D504" t="s">
        <v>136</v>
      </c>
      <c r="E504">
        <v>3039</v>
      </c>
      <c r="F504" t="s">
        <v>1854</v>
      </c>
      <c r="G504" t="s">
        <v>1855</v>
      </c>
      <c r="H504" t="s">
        <v>1855</v>
      </c>
      <c r="I504" t="s">
        <v>15</v>
      </c>
      <c r="J504" t="s">
        <v>14</v>
      </c>
      <c r="L504">
        <v>45725</v>
      </c>
      <c r="M504" t="s">
        <v>987</v>
      </c>
    </row>
    <row r="505" spans="1:13" x14ac:dyDescent="0.3">
      <c r="A505" t="s">
        <v>1856</v>
      </c>
      <c r="B505" t="s">
        <v>37</v>
      </c>
      <c r="C505" t="s">
        <v>24</v>
      </c>
      <c r="D505" t="s">
        <v>47</v>
      </c>
      <c r="E505">
        <v>3032</v>
      </c>
      <c r="F505" t="s">
        <v>1857</v>
      </c>
      <c r="G505" t="s">
        <v>1858</v>
      </c>
      <c r="H505" t="s">
        <v>1858</v>
      </c>
      <c r="I505" t="s">
        <v>51</v>
      </c>
      <c r="J505" t="s">
        <v>52</v>
      </c>
      <c r="L505">
        <v>45740</v>
      </c>
      <c r="M505" t="s">
        <v>144</v>
      </c>
    </row>
    <row r="506" spans="1:13" x14ac:dyDescent="0.3">
      <c r="A506" t="s">
        <v>1859</v>
      </c>
      <c r="B506" t="s">
        <v>46</v>
      </c>
      <c r="C506" t="s">
        <v>26</v>
      </c>
      <c r="D506" t="s">
        <v>97</v>
      </c>
      <c r="E506">
        <v>3036</v>
      </c>
      <c r="F506" t="s">
        <v>1860</v>
      </c>
      <c r="G506" t="s">
        <v>1861</v>
      </c>
      <c r="H506" t="s">
        <v>1862</v>
      </c>
      <c r="I506" t="s">
        <v>100</v>
      </c>
      <c r="J506" t="s">
        <v>101</v>
      </c>
      <c r="L506">
        <v>45734</v>
      </c>
      <c r="M506" t="s">
        <v>65</v>
      </c>
    </row>
    <row r="507" spans="1:13" x14ac:dyDescent="0.3">
      <c r="A507" t="s">
        <v>1863</v>
      </c>
      <c r="B507" t="s">
        <v>46</v>
      </c>
      <c r="C507" t="s">
        <v>26</v>
      </c>
      <c r="D507" t="s">
        <v>71</v>
      </c>
      <c r="E507">
        <v>3034</v>
      </c>
      <c r="F507" t="s">
        <v>1864</v>
      </c>
      <c r="G507" t="s">
        <v>1865</v>
      </c>
      <c r="H507" t="s">
        <v>1865</v>
      </c>
      <c r="I507" t="s">
        <v>74</v>
      </c>
      <c r="J507" t="s">
        <v>75</v>
      </c>
      <c r="K507" t="s">
        <v>21</v>
      </c>
      <c r="L507">
        <v>45664</v>
      </c>
      <c r="M507" t="s">
        <v>76</v>
      </c>
    </row>
    <row r="508" spans="1:13" x14ac:dyDescent="0.3">
      <c r="A508" t="s">
        <v>1866</v>
      </c>
      <c r="B508" t="s">
        <v>46</v>
      </c>
      <c r="C508" t="s">
        <v>22</v>
      </c>
      <c r="D508" t="s">
        <v>55</v>
      </c>
      <c r="E508">
        <v>3033</v>
      </c>
      <c r="F508" t="s">
        <v>1867</v>
      </c>
      <c r="G508" t="s">
        <v>1868</v>
      </c>
      <c r="H508" t="s">
        <v>1869</v>
      </c>
      <c r="I508" t="s">
        <v>58</v>
      </c>
      <c r="J508" t="s">
        <v>59</v>
      </c>
      <c r="L508">
        <v>45689</v>
      </c>
      <c r="M508" t="s">
        <v>86</v>
      </c>
    </row>
    <row r="509" spans="1:13" x14ac:dyDescent="0.3">
      <c r="A509" t="s">
        <v>1870</v>
      </c>
      <c r="B509" t="s">
        <v>37</v>
      </c>
      <c r="C509" t="s">
        <v>22</v>
      </c>
      <c r="D509" t="s">
        <v>47</v>
      </c>
      <c r="E509">
        <v>3032</v>
      </c>
      <c r="F509" t="s">
        <v>915</v>
      </c>
      <c r="G509" t="s">
        <v>1871</v>
      </c>
      <c r="H509" t="s">
        <v>1872</v>
      </c>
      <c r="I509" t="s">
        <v>51</v>
      </c>
      <c r="J509" t="s">
        <v>52</v>
      </c>
      <c r="K509" t="s">
        <v>21</v>
      </c>
      <c r="L509">
        <v>45720</v>
      </c>
      <c r="M509" t="s">
        <v>476</v>
      </c>
    </row>
    <row r="510" spans="1:13" x14ac:dyDescent="0.3">
      <c r="A510" t="s">
        <v>1873</v>
      </c>
      <c r="B510" t="s">
        <v>46</v>
      </c>
      <c r="C510" t="s">
        <v>22</v>
      </c>
      <c r="D510" t="s">
        <v>47</v>
      </c>
      <c r="E510">
        <v>3032</v>
      </c>
      <c r="F510" t="s">
        <v>1874</v>
      </c>
      <c r="G510" t="s">
        <v>1875</v>
      </c>
      <c r="H510" t="s">
        <v>1875</v>
      </c>
      <c r="I510" t="s">
        <v>51</v>
      </c>
      <c r="J510" t="s">
        <v>52</v>
      </c>
      <c r="K510" t="s">
        <v>21</v>
      </c>
      <c r="L510">
        <v>45695</v>
      </c>
      <c r="M510" t="s">
        <v>212</v>
      </c>
    </row>
    <row r="511" spans="1:13" x14ac:dyDescent="0.3">
      <c r="A511" t="s">
        <v>1876</v>
      </c>
      <c r="B511" t="s">
        <v>37</v>
      </c>
      <c r="C511" t="s">
        <v>26</v>
      </c>
      <c r="D511" t="s">
        <v>55</v>
      </c>
      <c r="E511">
        <v>3033</v>
      </c>
      <c r="F511" t="s">
        <v>1877</v>
      </c>
      <c r="G511" t="s">
        <v>1878</v>
      </c>
      <c r="H511" t="s">
        <v>1879</v>
      </c>
      <c r="I511" t="s">
        <v>58</v>
      </c>
      <c r="J511" t="s">
        <v>59</v>
      </c>
      <c r="L511">
        <v>45666</v>
      </c>
      <c r="M511" t="s">
        <v>69</v>
      </c>
    </row>
    <row r="512" spans="1:13" x14ac:dyDescent="0.3">
      <c r="A512" t="s">
        <v>1880</v>
      </c>
      <c r="B512" t="s">
        <v>46</v>
      </c>
      <c r="C512" t="s">
        <v>24</v>
      </c>
      <c r="D512" t="s">
        <v>38</v>
      </c>
      <c r="E512">
        <v>3031</v>
      </c>
      <c r="F512" t="s">
        <v>1881</v>
      </c>
      <c r="G512" t="s">
        <v>1882</v>
      </c>
      <c r="H512" t="s">
        <v>1883</v>
      </c>
      <c r="I512" t="s">
        <v>42</v>
      </c>
      <c r="J512" t="s">
        <v>43</v>
      </c>
      <c r="K512" t="s">
        <v>21</v>
      </c>
      <c r="L512">
        <v>45668</v>
      </c>
      <c r="M512" t="s">
        <v>65</v>
      </c>
    </row>
    <row r="513" spans="1:13" x14ac:dyDescent="0.3">
      <c r="A513" t="s">
        <v>1884</v>
      </c>
      <c r="B513" t="s">
        <v>37</v>
      </c>
      <c r="C513" t="s">
        <v>26</v>
      </c>
      <c r="D513" t="s">
        <v>55</v>
      </c>
      <c r="E513">
        <v>3033</v>
      </c>
      <c r="F513" t="s">
        <v>1885</v>
      </c>
      <c r="G513" t="s">
        <v>1886</v>
      </c>
      <c r="H513" t="s">
        <v>1887</v>
      </c>
      <c r="I513" t="s">
        <v>58</v>
      </c>
      <c r="J513" t="s">
        <v>59</v>
      </c>
      <c r="L513">
        <v>45722</v>
      </c>
      <c r="M513" t="s">
        <v>69</v>
      </c>
    </row>
    <row r="514" spans="1:13" x14ac:dyDescent="0.3">
      <c r="A514" t="s">
        <v>1888</v>
      </c>
      <c r="B514" t="s">
        <v>37</v>
      </c>
      <c r="C514" t="s">
        <v>22</v>
      </c>
      <c r="D514" t="s">
        <v>55</v>
      </c>
      <c r="E514">
        <v>3033</v>
      </c>
      <c r="F514" t="s">
        <v>1889</v>
      </c>
      <c r="G514" t="s">
        <v>1890</v>
      </c>
      <c r="H514" t="s">
        <v>1890</v>
      </c>
      <c r="I514" t="s">
        <v>58</v>
      </c>
      <c r="J514" t="s">
        <v>59</v>
      </c>
      <c r="L514">
        <v>45671</v>
      </c>
      <c r="M514" t="s">
        <v>90</v>
      </c>
    </row>
    <row r="515" spans="1:13" x14ac:dyDescent="0.3">
      <c r="A515" t="s">
        <v>1891</v>
      </c>
      <c r="B515" t="s">
        <v>37</v>
      </c>
      <c r="C515" t="s">
        <v>25</v>
      </c>
      <c r="D515" t="s">
        <v>78</v>
      </c>
      <c r="E515">
        <v>3035</v>
      </c>
      <c r="F515" t="s">
        <v>1892</v>
      </c>
      <c r="G515" t="s">
        <v>1893</v>
      </c>
      <c r="H515" t="s">
        <v>1893</v>
      </c>
      <c r="I515" t="s">
        <v>81</v>
      </c>
      <c r="J515" t="s">
        <v>82</v>
      </c>
      <c r="L515">
        <v>45718</v>
      </c>
      <c r="M515" t="s">
        <v>95</v>
      </c>
    </row>
    <row r="516" spans="1:13" x14ac:dyDescent="0.3">
      <c r="A516" t="s">
        <v>1894</v>
      </c>
      <c r="B516" t="s">
        <v>37</v>
      </c>
      <c r="C516" t="s">
        <v>24</v>
      </c>
      <c r="D516" t="s">
        <v>136</v>
      </c>
      <c r="E516">
        <v>3039</v>
      </c>
      <c r="F516" t="s">
        <v>1895</v>
      </c>
      <c r="G516" t="s">
        <v>1896</v>
      </c>
      <c r="H516" t="s">
        <v>1896</v>
      </c>
      <c r="I516" t="s">
        <v>15</v>
      </c>
      <c r="J516" t="s">
        <v>14</v>
      </c>
      <c r="L516">
        <v>45714</v>
      </c>
      <c r="M516" t="s">
        <v>140</v>
      </c>
    </row>
    <row r="517" spans="1:13" x14ac:dyDescent="0.3">
      <c r="A517" t="s">
        <v>1897</v>
      </c>
      <c r="B517" t="s">
        <v>37</v>
      </c>
      <c r="C517" t="s">
        <v>22</v>
      </c>
      <c r="D517" t="s">
        <v>207</v>
      </c>
      <c r="E517">
        <v>3041</v>
      </c>
      <c r="F517" t="s">
        <v>1898</v>
      </c>
      <c r="G517" t="s">
        <v>1899</v>
      </c>
      <c r="H517" t="s">
        <v>1900</v>
      </c>
      <c r="I517" t="s">
        <v>211</v>
      </c>
      <c r="J517" t="s">
        <v>14</v>
      </c>
      <c r="L517">
        <v>45726</v>
      </c>
      <c r="M517" t="s">
        <v>212</v>
      </c>
    </row>
    <row r="518" spans="1:13" x14ac:dyDescent="0.3">
      <c r="A518" t="s">
        <v>1901</v>
      </c>
      <c r="B518" t="s">
        <v>46</v>
      </c>
      <c r="C518" t="s">
        <v>22</v>
      </c>
      <c r="D518" t="s">
        <v>38</v>
      </c>
      <c r="E518">
        <v>3031</v>
      </c>
      <c r="F518" t="s">
        <v>1902</v>
      </c>
      <c r="G518" t="s">
        <v>1903</v>
      </c>
      <c r="H518" t="s">
        <v>1904</v>
      </c>
      <c r="I518" t="s">
        <v>42</v>
      </c>
      <c r="J518" t="s">
        <v>43</v>
      </c>
      <c r="L518">
        <v>45719</v>
      </c>
      <c r="M518" t="s">
        <v>76</v>
      </c>
    </row>
    <row r="519" spans="1:13" x14ac:dyDescent="0.3">
      <c r="A519" t="s">
        <v>1905</v>
      </c>
      <c r="B519" t="s">
        <v>46</v>
      </c>
      <c r="C519" t="s">
        <v>26</v>
      </c>
      <c r="D519" t="s">
        <v>104</v>
      </c>
      <c r="E519">
        <v>3037</v>
      </c>
      <c r="F519" t="s">
        <v>1906</v>
      </c>
      <c r="G519" t="s">
        <v>1907</v>
      </c>
      <c r="H519" t="s">
        <v>1908</v>
      </c>
      <c r="I519" t="s">
        <v>12</v>
      </c>
      <c r="J519" t="s">
        <v>13</v>
      </c>
      <c r="K519" t="s">
        <v>21</v>
      </c>
      <c r="L519">
        <v>45713</v>
      </c>
      <c r="M519" t="s">
        <v>224</v>
      </c>
    </row>
    <row r="520" spans="1:13" x14ac:dyDescent="0.3">
      <c r="A520" t="s">
        <v>1909</v>
      </c>
      <c r="B520" t="s">
        <v>37</v>
      </c>
      <c r="C520" t="s">
        <v>25</v>
      </c>
      <c r="D520" t="s">
        <v>444</v>
      </c>
      <c r="E520">
        <v>3042</v>
      </c>
      <c r="F520" t="s">
        <v>1910</v>
      </c>
      <c r="G520" t="s">
        <v>1911</v>
      </c>
      <c r="H520" t="s">
        <v>1912</v>
      </c>
      <c r="I520" t="s">
        <v>448</v>
      </c>
      <c r="J520" t="s">
        <v>449</v>
      </c>
      <c r="K520" t="s">
        <v>21</v>
      </c>
      <c r="L520">
        <v>45663</v>
      </c>
      <c r="M520" t="s">
        <v>224</v>
      </c>
    </row>
    <row r="521" spans="1:13" x14ac:dyDescent="0.3">
      <c r="A521" t="s">
        <v>1913</v>
      </c>
      <c r="B521" t="s">
        <v>37</v>
      </c>
      <c r="C521" t="s">
        <v>22</v>
      </c>
      <c r="D521" t="s">
        <v>444</v>
      </c>
      <c r="E521">
        <v>3042</v>
      </c>
      <c r="F521" t="s">
        <v>1914</v>
      </c>
      <c r="G521" t="s">
        <v>1915</v>
      </c>
      <c r="H521" t="s">
        <v>1915</v>
      </c>
      <c r="I521" t="s">
        <v>448</v>
      </c>
      <c r="J521" t="s">
        <v>449</v>
      </c>
      <c r="L521">
        <v>45666</v>
      </c>
      <c r="M521" t="s">
        <v>450</v>
      </c>
    </row>
    <row r="522" spans="1:13" x14ac:dyDescent="0.3">
      <c r="A522" t="s">
        <v>1916</v>
      </c>
      <c r="B522" t="s">
        <v>46</v>
      </c>
      <c r="C522" t="s">
        <v>25</v>
      </c>
      <c r="D522" t="s">
        <v>104</v>
      </c>
      <c r="E522">
        <v>3037</v>
      </c>
      <c r="F522" t="s">
        <v>1917</v>
      </c>
      <c r="G522" t="s">
        <v>1918</v>
      </c>
      <c r="H522" t="s">
        <v>1919</v>
      </c>
      <c r="I522" t="s">
        <v>12</v>
      </c>
      <c r="J522" t="s">
        <v>13</v>
      </c>
      <c r="L522">
        <v>45716</v>
      </c>
      <c r="M522" t="s">
        <v>287</v>
      </c>
    </row>
    <row r="523" spans="1:13" x14ac:dyDescent="0.3">
      <c r="A523" t="s">
        <v>1920</v>
      </c>
      <c r="B523" t="s">
        <v>37</v>
      </c>
      <c r="C523" t="s">
        <v>24</v>
      </c>
      <c r="D523" t="s">
        <v>97</v>
      </c>
      <c r="E523">
        <v>3036</v>
      </c>
      <c r="F523" t="s">
        <v>1921</v>
      </c>
      <c r="G523" t="s">
        <v>1922</v>
      </c>
      <c r="H523" t="s">
        <v>1923</v>
      </c>
      <c r="I523" t="s">
        <v>100</v>
      </c>
      <c r="J523" t="s">
        <v>101</v>
      </c>
      <c r="L523">
        <v>45691</v>
      </c>
      <c r="M523" t="s">
        <v>165</v>
      </c>
    </row>
    <row r="524" spans="1:13" x14ac:dyDescent="0.3">
      <c r="A524" t="s">
        <v>1924</v>
      </c>
      <c r="B524" t="s">
        <v>46</v>
      </c>
      <c r="C524" t="s">
        <v>22</v>
      </c>
      <c r="D524" t="s">
        <v>47</v>
      </c>
      <c r="E524">
        <v>3032</v>
      </c>
      <c r="F524" t="s">
        <v>1925</v>
      </c>
      <c r="G524" t="s">
        <v>1926</v>
      </c>
      <c r="H524" t="s">
        <v>1926</v>
      </c>
      <c r="I524" t="s">
        <v>51</v>
      </c>
      <c r="J524" t="s">
        <v>52</v>
      </c>
      <c r="K524" t="s">
        <v>21</v>
      </c>
      <c r="L524">
        <v>45663</v>
      </c>
      <c r="M524" t="s">
        <v>542</v>
      </c>
    </row>
    <row r="525" spans="1:13" x14ac:dyDescent="0.3">
      <c r="A525" t="s">
        <v>1927</v>
      </c>
      <c r="B525" t="s">
        <v>46</v>
      </c>
      <c r="C525" t="s">
        <v>26</v>
      </c>
      <c r="D525" t="s">
        <v>118</v>
      </c>
      <c r="E525">
        <v>3038</v>
      </c>
      <c r="F525" t="s">
        <v>1928</v>
      </c>
      <c r="G525" t="s">
        <v>1929</v>
      </c>
      <c r="H525" t="s">
        <v>1929</v>
      </c>
      <c r="I525" t="s">
        <v>122</v>
      </c>
      <c r="J525" t="s">
        <v>123</v>
      </c>
      <c r="L525">
        <v>45694</v>
      </c>
      <c r="M525" t="s">
        <v>389</v>
      </c>
    </row>
    <row r="526" spans="1:13" x14ac:dyDescent="0.3">
      <c r="A526" t="s">
        <v>1930</v>
      </c>
      <c r="B526" t="s">
        <v>37</v>
      </c>
      <c r="C526" t="s">
        <v>22</v>
      </c>
      <c r="D526" t="s">
        <v>97</v>
      </c>
      <c r="E526">
        <v>3036</v>
      </c>
      <c r="F526" t="s">
        <v>1931</v>
      </c>
      <c r="G526" t="s">
        <v>1932</v>
      </c>
      <c r="H526" t="s">
        <v>1933</v>
      </c>
      <c r="I526" t="s">
        <v>100</v>
      </c>
      <c r="J526" t="s">
        <v>101</v>
      </c>
      <c r="L526">
        <v>45723</v>
      </c>
      <c r="M526" t="s">
        <v>65</v>
      </c>
    </row>
    <row r="527" spans="1:13" x14ac:dyDescent="0.3">
      <c r="A527" t="s">
        <v>1934</v>
      </c>
      <c r="B527" t="s">
        <v>46</v>
      </c>
      <c r="C527" t="s">
        <v>24</v>
      </c>
      <c r="D527" t="s">
        <v>38</v>
      </c>
      <c r="E527">
        <v>3031</v>
      </c>
      <c r="F527" t="s">
        <v>1935</v>
      </c>
      <c r="G527" t="s">
        <v>1936</v>
      </c>
      <c r="H527" t="s">
        <v>1937</v>
      </c>
      <c r="I527" t="s">
        <v>42</v>
      </c>
      <c r="J527" t="s">
        <v>43</v>
      </c>
      <c r="L527">
        <v>45702</v>
      </c>
      <c r="M527" t="s">
        <v>420</v>
      </c>
    </row>
    <row r="528" spans="1:13" x14ac:dyDescent="0.3">
      <c r="A528" t="s">
        <v>1938</v>
      </c>
      <c r="B528" t="s">
        <v>46</v>
      </c>
      <c r="C528" t="s">
        <v>26</v>
      </c>
      <c r="D528" t="s">
        <v>118</v>
      </c>
      <c r="E528">
        <v>3038</v>
      </c>
      <c r="F528" t="s">
        <v>1939</v>
      </c>
      <c r="G528" t="s">
        <v>1940</v>
      </c>
      <c r="H528" t="s">
        <v>1940</v>
      </c>
      <c r="I528" t="s">
        <v>122</v>
      </c>
      <c r="J528" t="s">
        <v>123</v>
      </c>
      <c r="L528">
        <v>45723</v>
      </c>
      <c r="M528" t="s">
        <v>581</v>
      </c>
    </row>
    <row r="529" spans="1:13" x14ac:dyDescent="0.3">
      <c r="A529" t="s">
        <v>1941</v>
      </c>
      <c r="B529" t="s">
        <v>37</v>
      </c>
      <c r="C529" t="s">
        <v>26</v>
      </c>
      <c r="D529" t="s">
        <v>97</v>
      </c>
      <c r="E529">
        <v>3036</v>
      </c>
      <c r="F529" t="s">
        <v>1942</v>
      </c>
      <c r="G529" t="s">
        <v>1943</v>
      </c>
      <c r="H529" t="s">
        <v>1943</v>
      </c>
      <c r="I529" t="s">
        <v>100</v>
      </c>
      <c r="J529" t="s">
        <v>101</v>
      </c>
      <c r="K529" t="s">
        <v>21</v>
      </c>
      <c r="L529">
        <v>45682</v>
      </c>
      <c r="M529" t="s">
        <v>128</v>
      </c>
    </row>
    <row r="530" spans="1:13" x14ac:dyDescent="0.3">
      <c r="A530" t="s">
        <v>1944</v>
      </c>
      <c r="B530" t="s">
        <v>37</v>
      </c>
      <c r="C530" t="s">
        <v>24</v>
      </c>
      <c r="D530" t="s">
        <v>104</v>
      </c>
      <c r="E530">
        <v>3037</v>
      </c>
      <c r="F530" t="s">
        <v>1945</v>
      </c>
      <c r="G530" t="s">
        <v>1946</v>
      </c>
      <c r="H530" t="s">
        <v>1946</v>
      </c>
      <c r="I530" t="s">
        <v>12</v>
      </c>
      <c r="J530" t="s">
        <v>13</v>
      </c>
      <c r="K530" t="s">
        <v>21</v>
      </c>
      <c r="L530">
        <v>45666</v>
      </c>
      <c r="M530" t="s">
        <v>189</v>
      </c>
    </row>
    <row r="531" spans="1:13" x14ac:dyDescent="0.3">
      <c r="A531" t="s">
        <v>1947</v>
      </c>
      <c r="B531" t="s">
        <v>37</v>
      </c>
      <c r="C531" t="s">
        <v>24</v>
      </c>
      <c r="D531" t="s">
        <v>38</v>
      </c>
      <c r="E531">
        <v>3031</v>
      </c>
      <c r="F531" t="s">
        <v>558</v>
      </c>
      <c r="G531" t="s">
        <v>1948</v>
      </c>
      <c r="H531" t="s">
        <v>1948</v>
      </c>
      <c r="I531" t="s">
        <v>42</v>
      </c>
      <c r="J531" t="s">
        <v>43</v>
      </c>
      <c r="K531" t="s">
        <v>21</v>
      </c>
      <c r="L531">
        <v>45720</v>
      </c>
      <c r="M531" t="s">
        <v>287</v>
      </c>
    </row>
    <row r="532" spans="1:13" x14ac:dyDescent="0.3">
      <c r="A532" t="s">
        <v>1949</v>
      </c>
      <c r="B532" t="s">
        <v>37</v>
      </c>
      <c r="C532" t="s">
        <v>25</v>
      </c>
      <c r="D532" t="s">
        <v>47</v>
      </c>
      <c r="E532">
        <v>3032</v>
      </c>
      <c r="F532" t="s">
        <v>1950</v>
      </c>
      <c r="G532" t="s">
        <v>1951</v>
      </c>
      <c r="H532" t="s">
        <v>1951</v>
      </c>
      <c r="I532" t="s">
        <v>51</v>
      </c>
      <c r="J532" t="s">
        <v>52</v>
      </c>
      <c r="L532">
        <v>45690</v>
      </c>
      <c r="M532" t="s">
        <v>542</v>
      </c>
    </row>
    <row r="533" spans="1:13" x14ac:dyDescent="0.3">
      <c r="A533" t="s">
        <v>1952</v>
      </c>
      <c r="B533" t="s">
        <v>46</v>
      </c>
      <c r="C533" t="s">
        <v>22</v>
      </c>
      <c r="D533" t="s">
        <v>118</v>
      </c>
      <c r="E533">
        <v>3038</v>
      </c>
      <c r="F533" t="s">
        <v>1953</v>
      </c>
      <c r="G533" t="s">
        <v>1954</v>
      </c>
      <c r="H533" t="s">
        <v>1955</v>
      </c>
      <c r="I533" t="s">
        <v>122</v>
      </c>
      <c r="J533" t="s">
        <v>123</v>
      </c>
      <c r="L533">
        <v>45668</v>
      </c>
      <c r="M533" t="s">
        <v>359</v>
      </c>
    </row>
    <row r="534" spans="1:13" x14ac:dyDescent="0.3">
      <c r="A534" t="s">
        <v>1956</v>
      </c>
      <c r="B534" t="s">
        <v>37</v>
      </c>
      <c r="C534" t="s">
        <v>25</v>
      </c>
      <c r="D534" t="s">
        <v>47</v>
      </c>
      <c r="E534">
        <v>3032</v>
      </c>
      <c r="F534" t="s">
        <v>1957</v>
      </c>
      <c r="G534" t="s">
        <v>1958</v>
      </c>
      <c r="H534" t="s">
        <v>1958</v>
      </c>
      <c r="I534" t="s">
        <v>51</v>
      </c>
      <c r="J534" t="s">
        <v>52</v>
      </c>
      <c r="K534" t="s">
        <v>21</v>
      </c>
      <c r="L534">
        <v>45713</v>
      </c>
      <c r="M534" t="s">
        <v>881</v>
      </c>
    </row>
    <row r="535" spans="1:13" x14ac:dyDescent="0.3">
      <c r="A535" t="s">
        <v>1959</v>
      </c>
      <c r="B535" t="s">
        <v>37</v>
      </c>
      <c r="C535" t="s">
        <v>25</v>
      </c>
      <c r="D535" t="s">
        <v>136</v>
      </c>
      <c r="E535">
        <v>3039</v>
      </c>
      <c r="F535" t="s">
        <v>1960</v>
      </c>
      <c r="G535" t="s">
        <v>1961</v>
      </c>
      <c r="H535" t="s">
        <v>1962</v>
      </c>
      <c r="I535" t="s">
        <v>15</v>
      </c>
      <c r="J535" t="s">
        <v>14</v>
      </c>
      <c r="K535" t="s">
        <v>21</v>
      </c>
      <c r="L535">
        <v>45683</v>
      </c>
      <c r="M535" t="s">
        <v>95</v>
      </c>
    </row>
    <row r="536" spans="1:13" x14ac:dyDescent="0.3">
      <c r="A536" t="s">
        <v>1963</v>
      </c>
      <c r="B536" t="s">
        <v>46</v>
      </c>
      <c r="C536" t="s">
        <v>22</v>
      </c>
      <c r="D536" t="s">
        <v>47</v>
      </c>
      <c r="E536">
        <v>3032</v>
      </c>
      <c r="F536" t="s">
        <v>1964</v>
      </c>
      <c r="G536" t="s">
        <v>1965</v>
      </c>
      <c r="H536" t="s">
        <v>1966</v>
      </c>
      <c r="I536" t="s">
        <v>51</v>
      </c>
      <c r="J536" t="s">
        <v>52</v>
      </c>
      <c r="K536" t="s">
        <v>21</v>
      </c>
      <c r="L536">
        <v>45658</v>
      </c>
      <c r="M536" t="s">
        <v>90</v>
      </c>
    </row>
    <row r="537" spans="1:13" x14ac:dyDescent="0.3">
      <c r="A537" t="s">
        <v>1967</v>
      </c>
      <c r="B537" t="s">
        <v>37</v>
      </c>
      <c r="C537" t="s">
        <v>24</v>
      </c>
      <c r="D537" t="s">
        <v>104</v>
      </c>
      <c r="E537">
        <v>3037</v>
      </c>
      <c r="F537" t="s">
        <v>1968</v>
      </c>
      <c r="G537" t="s">
        <v>1969</v>
      </c>
      <c r="H537" t="s">
        <v>1970</v>
      </c>
      <c r="I537" t="s">
        <v>12</v>
      </c>
      <c r="J537" t="s">
        <v>13</v>
      </c>
      <c r="L537">
        <v>45693</v>
      </c>
      <c r="M537" t="s">
        <v>224</v>
      </c>
    </row>
    <row r="538" spans="1:13" x14ac:dyDescent="0.3">
      <c r="A538" t="s">
        <v>1971</v>
      </c>
      <c r="B538" t="s">
        <v>37</v>
      </c>
      <c r="C538" t="s">
        <v>25</v>
      </c>
      <c r="D538" t="s">
        <v>104</v>
      </c>
      <c r="E538">
        <v>3037</v>
      </c>
      <c r="F538" t="s">
        <v>1972</v>
      </c>
      <c r="G538" t="s">
        <v>1973</v>
      </c>
      <c r="H538" t="s">
        <v>1974</v>
      </c>
      <c r="I538" t="s">
        <v>12</v>
      </c>
      <c r="J538" t="s">
        <v>13</v>
      </c>
      <c r="L538">
        <v>45687</v>
      </c>
      <c r="M538" t="s">
        <v>76</v>
      </c>
    </row>
    <row r="539" spans="1:13" x14ac:dyDescent="0.3">
      <c r="A539" t="s">
        <v>1975</v>
      </c>
      <c r="B539" t="s">
        <v>46</v>
      </c>
      <c r="C539" t="s">
        <v>26</v>
      </c>
      <c r="D539" t="s">
        <v>55</v>
      </c>
      <c r="E539">
        <v>3033</v>
      </c>
      <c r="F539" t="s">
        <v>1976</v>
      </c>
      <c r="G539" t="s">
        <v>1977</v>
      </c>
      <c r="H539" t="s">
        <v>1978</v>
      </c>
      <c r="I539" t="s">
        <v>58</v>
      </c>
      <c r="J539" t="s">
        <v>59</v>
      </c>
      <c r="K539" t="s">
        <v>21</v>
      </c>
      <c r="L539">
        <v>45727</v>
      </c>
      <c r="M539" t="s">
        <v>60</v>
      </c>
    </row>
    <row r="540" spans="1:13" x14ac:dyDescent="0.3">
      <c r="A540" t="s">
        <v>1979</v>
      </c>
      <c r="B540" t="s">
        <v>37</v>
      </c>
      <c r="C540" t="s">
        <v>25</v>
      </c>
      <c r="D540" t="s">
        <v>55</v>
      </c>
      <c r="E540">
        <v>3033</v>
      </c>
      <c r="F540" t="s">
        <v>1980</v>
      </c>
      <c r="G540" t="s">
        <v>1981</v>
      </c>
      <c r="H540" t="s">
        <v>1981</v>
      </c>
      <c r="I540" t="s">
        <v>58</v>
      </c>
      <c r="J540" t="s">
        <v>59</v>
      </c>
      <c r="K540" t="s">
        <v>21</v>
      </c>
      <c r="L540">
        <v>45663</v>
      </c>
      <c r="M540" t="s">
        <v>86</v>
      </c>
    </row>
    <row r="541" spans="1:13" x14ac:dyDescent="0.3">
      <c r="A541" t="s">
        <v>1982</v>
      </c>
      <c r="B541" t="s">
        <v>37</v>
      </c>
      <c r="C541" t="s">
        <v>26</v>
      </c>
      <c r="D541" t="s">
        <v>78</v>
      </c>
      <c r="E541">
        <v>3035</v>
      </c>
      <c r="F541" t="s">
        <v>1983</v>
      </c>
      <c r="G541" t="s">
        <v>1984</v>
      </c>
      <c r="H541" t="s">
        <v>1985</v>
      </c>
      <c r="I541" t="s">
        <v>81</v>
      </c>
      <c r="J541" t="s">
        <v>82</v>
      </c>
      <c r="L541">
        <v>45729</v>
      </c>
      <c r="M541" t="s">
        <v>205</v>
      </c>
    </row>
    <row r="542" spans="1:13" x14ac:dyDescent="0.3">
      <c r="A542" t="s">
        <v>1986</v>
      </c>
      <c r="B542" t="s">
        <v>46</v>
      </c>
      <c r="C542" t="s">
        <v>24</v>
      </c>
      <c r="D542" t="s">
        <v>97</v>
      </c>
      <c r="E542">
        <v>3036</v>
      </c>
      <c r="F542" t="s">
        <v>1987</v>
      </c>
      <c r="G542" t="s">
        <v>1988</v>
      </c>
      <c r="H542" t="s">
        <v>1988</v>
      </c>
      <c r="I542" t="s">
        <v>100</v>
      </c>
      <c r="J542" t="s">
        <v>101</v>
      </c>
      <c r="K542" t="s">
        <v>21</v>
      </c>
      <c r="L542">
        <v>45745</v>
      </c>
      <c r="M542" t="s">
        <v>165</v>
      </c>
    </row>
    <row r="543" spans="1:13" x14ac:dyDescent="0.3">
      <c r="A543" t="s">
        <v>1989</v>
      </c>
      <c r="B543" t="s">
        <v>37</v>
      </c>
      <c r="C543" t="s">
        <v>24</v>
      </c>
      <c r="D543" t="s">
        <v>78</v>
      </c>
      <c r="E543">
        <v>3035</v>
      </c>
      <c r="F543" t="s">
        <v>1990</v>
      </c>
      <c r="G543" t="s">
        <v>1991</v>
      </c>
      <c r="H543" t="s">
        <v>1992</v>
      </c>
      <c r="I543" t="s">
        <v>81</v>
      </c>
      <c r="J543" t="s">
        <v>82</v>
      </c>
      <c r="K543" t="s">
        <v>21</v>
      </c>
      <c r="L543">
        <v>45664</v>
      </c>
      <c r="M543" t="s">
        <v>95</v>
      </c>
    </row>
    <row r="544" spans="1:13" x14ac:dyDescent="0.3">
      <c r="A544" t="s">
        <v>1993</v>
      </c>
      <c r="B544" t="s">
        <v>37</v>
      </c>
      <c r="C544" t="s">
        <v>26</v>
      </c>
      <c r="D544" t="s">
        <v>71</v>
      </c>
      <c r="E544">
        <v>3034</v>
      </c>
      <c r="F544" t="s">
        <v>1994</v>
      </c>
      <c r="G544" t="s">
        <v>1995</v>
      </c>
      <c r="H544" t="s">
        <v>1996</v>
      </c>
      <c r="I544" t="s">
        <v>74</v>
      </c>
      <c r="J544" t="s">
        <v>75</v>
      </c>
      <c r="L544">
        <v>45732</v>
      </c>
      <c r="M544" t="s">
        <v>205</v>
      </c>
    </row>
    <row r="545" spans="1:13" x14ac:dyDescent="0.3">
      <c r="A545" t="s">
        <v>1997</v>
      </c>
      <c r="B545" t="s">
        <v>37</v>
      </c>
      <c r="C545" t="s">
        <v>26</v>
      </c>
      <c r="D545" t="s">
        <v>444</v>
      </c>
      <c r="E545">
        <v>3042</v>
      </c>
      <c r="F545" t="s">
        <v>1998</v>
      </c>
      <c r="G545" t="s">
        <v>1999</v>
      </c>
      <c r="H545" t="s">
        <v>2000</v>
      </c>
      <c r="I545" t="s">
        <v>448</v>
      </c>
      <c r="J545" t="s">
        <v>449</v>
      </c>
      <c r="K545" t="s">
        <v>21</v>
      </c>
      <c r="L545">
        <v>45711</v>
      </c>
      <c r="M545" t="s">
        <v>224</v>
      </c>
    </row>
    <row r="546" spans="1:13" x14ac:dyDescent="0.3">
      <c r="A546" t="s">
        <v>2001</v>
      </c>
      <c r="B546" t="s">
        <v>37</v>
      </c>
      <c r="C546" t="s">
        <v>22</v>
      </c>
      <c r="D546" t="s">
        <v>47</v>
      </c>
      <c r="E546">
        <v>3032</v>
      </c>
      <c r="F546" t="s">
        <v>2002</v>
      </c>
      <c r="G546" t="s">
        <v>2003</v>
      </c>
      <c r="H546" t="s">
        <v>2003</v>
      </c>
      <c r="I546" t="s">
        <v>51</v>
      </c>
      <c r="J546" t="s">
        <v>52</v>
      </c>
      <c r="L546">
        <v>45743</v>
      </c>
      <c r="M546" t="s">
        <v>53</v>
      </c>
    </row>
    <row r="547" spans="1:13" x14ac:dyDescent="0.3">
      <c r="A547" t="s">
        <v>2004</v>
      </c>
      <c r="B547" t="s">
        <v>46</v>
      </c>
      <c r="C547" t="s">
        <v>26</v>
      </c>
      <c r="D547" t="s">
        <v>71</v>
      </c>
      <c r="E547">
        <v>3034</v>
      </c>
      <c r="F547" t="s">
        <v>2005</v>
      </c>
      <c r="G547" t="s">
        <v>2006</v>
      </c>
      <c r="H547" t="s">
        <v>2006</v>
      </c>
      <c r="I547" t="s">
        <v>74</v>
      </c>
      <c r="J547" t="s">
        <v>75</v>
      </c>
      <c r="K547" t="s">
        <v>21</v>
      </c>
      <c r="L547">
        <v>45725</v>
      </c>
      <c r="M547" t="s">
        <v>112</v>
      </c>
    </row>
    <row r="548" spans="1:13" x14ac:dyDescent="0.3">
      <c r="A548" t="s">
        <v>2007</v>
      </c>
      <c r="B548" t="s">
        <v>46</v>
      </c>
      <c r="C548" t="s">
        <v>22</v>
      </c>
      <c r="D548" t="s">
        <v>38</v>
      </c>
      <c r="E548">
        <v>3031</v>
      </c>
      <c r="F548" t="s">
        <v>2008</v>
      </c>
      <c r="G548" t="s">
        <v>2009</v>
      </c>
      <c r="H548" t="s">
        <v>2009</v>
      </c>
      <c r="I548" t="s">
        <v>42</v>
      </c>
      <c r="J548" t="s">
        <v>43</v>
      </c>
      <c r="L548">
        <v>45727</v>
      </c>
      <c r="M548" t="s">
        <v>65</v>
      </c>
    </row>
    <row r="549" spans="1:13" x14ac:dyDescent="0.3">
      <c r="A549" t="s">
        <v>2010</v>
      </c>
      <c r="B549" t="s">
        <v>46</v>
      </c>
      <c r="C549" t="s">
        <v>24</v>
      </c>
      <c r="D549" t="s">
        <v>78</v>
      </c>
      <c r="E549">
        <v>3035</v>
      </c>
      <c r="F549" t="s">
        <v>2011</v>
      </c>
      <c r="G549" t="s">
        <v>2012</v>
      </c>
      <c r="H549" t="s">
        <v>2013</v>
      </c>
      <c r="I549" t="s">
        <v>81</v>
      </c>
      <c r="J549" t="s">
        <v>82</v>
      </c>
      <c r="L549">
        <v>45718</v>
      </c>
      <c r="M549" t="s">
        <v>287</v>
      </c>
    </row>
    <row r="550" spans="1:13" x14ac:dyDescent="0.3">
      <c r="A550" t="s">
        <v>2014</v>
      </c>
      <c r="B550" t="s">
        <v>46</v>
      </c>
      <c r="C550" t="s">
        <v>24</v>
      </c>
      <c r="D550" t="s">
        <v>97</v>
      </c>
      <c r="E550">
        <v>3036</v>
      </c>
      <c r="F550" t="s">
        <v>2015</v>
      </c>
      <c r="G550" t="s">
        <v>2016</v>
      </c>
      <c r="H550" t="s">
        <v>2017</v>
      </c>
      <c r="I550" t="s">
        <v>100</v>
      </c>
      <c r="J550" t="s">
        <v>101</v>
      </c>
      <c r="L550">
        <v>45723</v>
      </c>
      <c r="M550" t="s">
        <v>292</v>
      </c>
    </row>
    <row r="551" spans="1:13" x14ac:dyDescent="0.3">
      <c r="A551" t="s">
        <v>2018</v>
      </c>
      <c r="B551" t="s">
        <v>37</v>
      </c>
      <c r="C551" t="s">
        <v>25</v>
      </c>
      <c r="D551" t="s">
        <v>118</v>
      </c>
      <c r="E551">
        <v>3038</v>
      </c>
      <c r="F551" t="s">
        <v>2019</v>
      </c>
      <c r="G551" t="s">
        <v>2020</v>
      </c>
      <c r="H551" t="s">
        <v>2020</v>
      </c>
      <c r="I551" t="s">
        <v>122</v>
      </c>
      <c r="J551" t="s">
        <v>123</v>
      </c>
      <c r="L551">
        <v>45729</v>
      </c>
      <c r="M551" t="s">
        <v>200</v>
      </c>
    </row>
    <row r="552" spans="1:13" x14ac:dyDescent="0.3">
      <c r="A552" t="s">
        <v>2021</v>
      </c>
      <c r="B552" t="s">
        <v>46</v>
      </c>
      <c r="C552" t="s">
        <v>24</v>
      </c>
      <c r="D552" t="s">
        <v>38</v>
      </c>
      <c r="E552">
        <v>3031</v>
      </c>
      <c r="F552" t="s">
        <v>2022</v>
      </c>
      <c r="G552" t="s">
        <v>2023</v>
      </c>
      <c r="H552" t="s">
        <v>2024</v>
      </c>
      <c r="I552" t="s">
        <v>42</v>
      </c>
      <c r="J552" t="s">
        <v>43</v>
      </c>
      <c r="K552" t="s">
        <v>21</v>
      </c>
      <c r="L552">
        <v>45715</v>
      </c>
      <c r="M552" t="s">
        <v>420</v>
      </c>
    </row>
    <row r="553" spans="1:13" x14ac:dyDescent="0.3">
      <c r="A553" t="s">
        <v>2025</v>
      </c>
      <c r="B553" t="s">
        <v>46</v>
      </c>
      <c r="C553" t="s">
        <v>24</v>
      </c>
      <c r="D553" t="s">
        <v>78</v>
      </c>
      <c r="E553">
        <v>3035</v>
      </c>
      <c r="F553" t="s">
        <v>2026</v>
      </c>
      <c r="G553" t="s">
        <v>2027</v>
      </c>
      <c r="H553" t="s">
        <v>2027</v>
      </c>
      <c r="I553" t="s">
        <v>81</v>
      </c>
      <c r="J553" t="s">
        <v>82</v>
      </c>
      <c r="K553" t="s">
        <v>21</v>
      </c>
      <c r="L553">
        <v>45729</v>
      </c>
      <c r="M553" t="s">
        <v>489</v>
      </c>
    </row>
    <row r="554" spans="1:13" x14ac:dyDescent="0.3">
      <c r="A554" t="s">
        <v>2028</v>
      </c>
      <c r="B554" t="s">
        <v>46</v>
      </c>
      <c r="C554" t="s">
        <v>26</v>
      </c>
      <c r="D554" t="s">
        <v>55</v>
      </c>
      <c r="E554">
        <v>3033</v>
      </c>
      <c r="F554" t="s">
        <v>2029</v>
      </c>
      <c r="G554" t="s">
        <v>2030</v>
      </c>
      <c r="H554" t="s">
        <v>2030</v>
      </c>
      <c r="I554" t="s">
        <v>58</v>
      </c>
      <c r="J554" t="s">
        <v>59</v>
      </c>
      <c r="K554" t="s">
        <v>21</v>
      </c>
      <c r="L554">
        <v>45717</v>
      </c>
      <c r="M554" t="s">
        <v>95</v>
      </c>
    </row>
    <row r="555" spans="1:13" x14ac:dyDescent="0.3">
      <c r="A555" t="s">
        <v>2031</v>
      </c>
      <c r="B555" t="s">
        <v>46</v>
      </c>
      <c r="C555" t="s">
        <v>22</v>
      </c>
      <c r="D555" t="s">
        <v>97</v>
      </c>
      <c r="E555">
        <v>3036</v>
      </c>
      <c r="F555" t="s">
        <v>2032</v>
      </c>
      <c r="G555" t="s">
        <v>2033</v>
      </c>
      <c r="H555" t="s">
        <v>2034</v>
      </c>
      <c r="I555" t="s">
        <v>100</v>
      </c>
      <c r="J555" t="s">
        <v>101</v>
      </c>
      <c r="L555">
        <v>45670</v>
      </c>
      <c r="M555" t="s">
        <v>65</v>
      </c>
    </row>
    <row r="556" spans="1:13" x14ac:dyDescent="0.3">
      <c r="A556" t="s">
        <v>2035</v>
      </c>
      <c r="B556" t="s">
        <v>46</v>
      </c>
      <c r="C556" t="s">
        <v>24</v>
      </c>
      <c r="D556" t="s">
        <v>97</v>
      </c>
      <c r="E556">
        <v>3036</v>
      </c>
      <c r="F556" t="s">
        <v>2036</v>
      </c>
      <c r="G556" t="s">
        <v>2037</v>
      </c>
      <c r="H556" t="s">
        <v>2037</v>
      </c>
      <c r="I556" t="s">
        <v>100</v>
      </c>
      <c r="J556" t="s">
        <v>101</v>
      </c>
      <c r="L556">
        <v>45679</v>
      </c>
      <c r="M556" t="s">
        <v>128</v>
      </c>
    </row>
    <row r="557" spans="1:13" x14ac:dyDescent="0.3">
      <c r="A557" t="s">
        <v>2038</v>
      </c>
      <c r="B557" t="s">
        <v>37</v>
      </c>
      <c r="C557" t="s">
        <v>25</v>
      </c>
      <c r="D557" t="s">
        <v>47</v>
      </c>
      <c r="E557">
        <v>3032</v>
      </c>
      <c r="F557" t="s">
        <v>2039</v>
      </c>
      <c r="G557" t="s">
        <v>2040</v>
      </c>
      <c r="H557" t="s">
        <v>2040</v>
      </c>
      <c r="I557" t="s">
        <v>51</v>
      </c>
      <c r="J557" t="s">
        <v>52</v>
      </c>
      <c r="K557" t="s">
        <v>21</v>
      </c>
      <c r="L557">
        <v>45739</v>
      </c>
      <c r="M557" t="s">
        <v>53</v>
      </c>
    </row>
    <row r="558" spans="1:13" x14ac:dyDescent="0.3">
      <c r="A558" t="s">
        <v>2041</v>
      </c>
      <c r="B558" t="s">
        <v>46</v>
      </c>
      <c r="C558" t="s">
        <v>25</v>
      </c>
      <c r="D558" t="s">
        <v>47</v>
      </c>
      <c r="E558">
        <v>3032</v>
      </c>
      <c r="F558" t="s">
        <v>2042</v>
      </c>
      <c r="G558" t="s">
        <v>2043</v>
      </c>
      <c r="H558" t="s">
        <v>2044</v>
      </c>
      <c r="I558" t="s">
        <v>51</v>
      </c>
      <c r="J558" t="s">
        <v>52</v>
      </c>
      <c r="K558" t="s">
        <v>21</v>
      </c>
      <c r="L558">
        <v>45746</v>
      </c>
      <c r="M558" t="s">
        <v>90</v>
      </c>
    </row>
    <row r="559" spans="1:13" x14ac:dyDescent="0.3">
      <c r="A559" t="s">
        <v>2045</v>
      </c>
      <c r="B559" t="s">
        <v>37</v>
      </c>
      <c r="C559" t="s">
        <v>26</v>
      </c>
      <c r="D559" t="s">
        <v>444</v>
      </c>
      <c r="E559">
        <v>3042</v>
      </c>
      <c r="F559" t="s">
        <v>2046</v>
      </c>
      <c r="G559" t="s">
        <v>2047</v>
      </c>
      <c r="H559" t="s">
        <v>2047</v>
      </c>
      <c r="I559" t="s">
        <v>448</v>
      </c>
      <c r="J559" t="s">
        <v>449</v>
      </c>
      <c r="L559">
        <v>45704</v>
      </c>
      <c r="M559" t="s">
        <v>363</v>
      </c>
    </row>
    <row r="560" spans="1:13" x14ac:dyDescent="0.3">
      <c r="A560" t="s">
        <v>2048</v>
      </c>
      <c r="B560" t="s">
        <v>46</v>
      </c>
      <c r="C560" t="s">
        <v>22</v>
      </c>
      <c r="D560" t="s">
        <v>97</v>
      </c>
      <c r="E560">
        <v>3036</v>
      </c>
      <c r="F560" t="s">
        <v>2049</v>
      </c>
      <c r="G560" t="s">
        <v>2050</v>
      </c>
      <c r="H560" t="s">
        <v>2051</v>
      </c>
      <c r="I560" t="s">
        <v>100</v>
      </c>
      <c r="J560" t="s">
        <v>101</v>
      </c>
      <c r="L560">
        <v>45686</v>
      </c>
      <c r="M560" t="s">
        <v>65</v>
      </c>
    </row>
    <row r="561" spans="1:13" x14ac:dyDescent="0.3">
      <c r="A561" t="s">
        <v>2052</v>
      </c>
      <c r="B561" t="s">
        <v>46</v>
      </c>
      <c r="C561" t="s">
        <v>24</v>
      </c>
      <c r="D561" t="s">
        <v>97</v>
      </c>
      <c r="E561">
        <v>3036</v>
      </c>
      <c r="F561" t="s">
        <v>2053</v>
      </c>
      <c r="G561" t="s">
        <v>2054</v>
      </c>
      <c r="H561" t="s">
        <v>2054</v>
      </c>
      <c r="I561" t="s">
        <v>100</v>
      </c>
      <c r="J561" t="s">
        <v>101</v>
      </c>
      <c r="K561" t="s">
        <v>21</v>
      </c>
      <c r="L561">
        <v>45732</v>
      </c>
      <c r="M561" t="s">
        <v>165</v>
      </c>
    </row>
    <row r="562" spans="1:13" x14ac:dyDescent="0.3">
      <c r="A562" t="s">
        <v>2055</v>
      </c>
      <c r="B562" t="s">
        <v>37</v>
      </c>
      <c r="C562" t="s">
        <v>22</v>
      </c>
      <c r="D562" t="s">
        <v>136</v>
      </c>
      <c r="E562">
        <v>3039</v>
      </c>
      <c r="F562" t="s">
        <v>2056</v>
      </c>
      <c r="G562" t="s">
        <v>2057</v>
      </c>
      <c r="H562" t="s">
        <v>2057</v>
      </c>
      <c r="I562" t="s">
        <v>15</v>
      </c>
      <c r="J562" t="s">
        <v>14</v>
      </c>
      <c r="K562" t="s">
        <v>21</v>
      </c>
      <c r="L562">
        <v>45709</v>
      </c>
      <c r="M562" t="s">
        <v>577</v>
      </c>
    </row>
    <row r="563" spans="1:13" x14ac:dyDescent="0.3">
      <c r="A563" t="s">
        <v>2058</v>
      </c>
      <c r="B563" t="s">
        <v>46</v>
      </c>
      <c r="C563" t="s">
        <v>26</v>
      </c>
      <c r="D563" t="s">
        <v>47</v>
      </c>
      <c r="E563">
        <v>3032</v>
      </c>
      <c r="F563" t="s">
        <v>2059</v>
      </c>
      <c r="G563" t="s">
        <v>2060</v>
      </c>
      <c r="H563" t="s">
        <v>2061</v>
      </c>
      <c r="I563" t="s">
        <v>51</v>
      </c>
      <c r="J563" t="s">
        <v>52</v>
      </c>
      <c r="L563">
        <v>45707</v>
      </c>
      <c r="M563" t="s">
        <v>881</v>
      </c>
    </row>
    <row r="564" spans="1:13" x14ac:dyDescent="0.3">
      <c r="A564" t="s">
        <v>2062</v>
      </c>
      <c r="B564" t="s">
        <v>37</v>
      </c>
      <c r="C564" t="s">
        <v>22</v>
      </c>
      <c r="D564" t="s">
        <v>104</v>
      </c>
      <c r="E564">
        <v>3037</v>
      </c>
      <c r="F564" t="s">
        <v>2063</v>
      </c>
      <c r="G564" t="s">
        <v>2064</v>
      </c>
      <c r="H564" t="s">
        <v>2065</v>
      </c>
      <c r="I564" t="s">
        <v>12</v>
      </c>
      <c r="J564" t="s">
        <v>13</v>
      </c>
      <c r="L564">
        <v>45720</v>
      </c>
      <c r="M564" t="s">
        <v>224</v>
      </c>
    </row>
    <row r="565" spans="1:13" x14ac:dyDescent="0.3">
      <c r="A565" t="s">
        <v>2066</v>
      </c>
      <c r="B565" t="s">
        <v>46</v>
      </c>
      <c r="C565" t="s">
        <v>22</v>
      </c>
      <c r="D565" t="s">
        <v>55</v>
      </c>
      <c r="E565">
        <v>3033</v>
      </c>
      <c r="F565" t="s">
        <v>2067</v>
      </c>
      <c r="G565" t="s">
        <v>2068</v>
      </c>
      <c r="H565" t="s">
        <v>2068</v>
      </c>
      <c r="I565" t="s">
        <v>58</v>
      </c>
      <c r="J565" t="s">
        <v>59</v>
      </c>
      <c r="K565" t="s">
        <v>21</v>
      </c>
      <c r="L565">
        <v>45729</v>
      </c>
      <c r="M565" t="s">
        <v>60</v>
      </c>
    </row>
    <row r="566" spans="1:13" x14ac:dyDescent="0.3">
      <c r="A566" t="s">
        <v>2069</v>
      </c>
      <c r="B566" t="s">
        <v>46</v>
      </c>
      <c r="C566" t="s">
        <v>26</v>
      </c>
      <c r="D566" t="s">
        <v>118</v>
      </c>
      <c r="E566">
        <v>3038</v>
      </c>
      <c r="F566" t="s">
        <v>2070</v>
      </c>
      <c r="G566" t="s">
        <v>2071</v>
      </c>
      <c r="H566" t="s">
        <v>2071</v>
      </c>
      <c r="I566" t="s">
        <v>122</v>
      </c>
      <c r="J566" t="s">
        <v>123</v>
      </c>
      <c r="L566">
        <v>45694</v>
      </c>
      <c r="M566" t="s">
        <v>581</v>
      </c>
    </row>
    <row r="567" spans="1:13" x14ac:dyDescent="0.3">
      <c r="A567" t="s">
        <v>2072</v>
      </c>
      <c r="B567" t="s">
        <v>37</v>
      </c>
      <c r="C567" t="s">
        <v>26</v>
      </c>
      <c r="D567" t="s">
        <v>55</v>
      </c>
      <c r="E567">
        <v>3033</v>
      </c>
      <c r="F567" t="s">
        <v>2073</v>
      </c>
      <c r="G567" t="s">
        <v>2074</v>
      </c>
      <c r="H567" t="s">
        <v>2074</v>
      </c>
      <c r="I567" t="s">
        <v>58</v>
      </c>
      <c r="J567" t="s">
        <v>59</v>
      </c>
      <c r="L567">
        <v>45735</v>
      </c>
      <c r="M567" t="s">
        <v>95</v>
      </c>
    </row>
    <row r="568" spans="1:13" x14ac:dyDescent="0.3">
      <c r="A568" t="s">
        <v>2075</v>
      </c>
      <c r="B568" t="s">
        <v>37</v>
      </c>
      <c r="C568" t="s">
        <v>24</v>
      </c>
      <c r="D568" t="s">
        <v>207</v>
      </c>
      <c r="E568">
        <v>3041</v>
      </c>
      <c r="F568" t="s">
        <v>2076</v>
      </c>
      <c r="G568" t="s">
        <v>2077</v>
      </c>
      <c r="H568" t="s">
        <v>2078</v>
      </c>
      <c r="I568" t="s">
        <v>211</v>
      </c>
      <c r="J568" t="s">
        <v>14</v>
      </c>
      <c r="L568">
        <v>45673</v>
      </c>
      <c r="M568" t="s">
        <v>212</v>
      </c>
    </row>
    <row r="569" spans="1:13" x14ac:dyDescent="0.3">
      <c r="A569" t="s">
        <v>2079</v>
      </c>
      <c r="B569" t="s">
        <v>37</v>
      </c>
      <c r="C569" t="s">
        <v>22</v>
      </c>
      <c r="D569" t="s">
        <v>71</v>
      </c>
      <c r="E569">
        <v>3034</v>
      </c>
      <c r="F569" t="s">
        <v>2080</v>
      </c>
      <c r="G569" t="s">
        <v>2081</v>
      </c>
      <c r="H569" t="s">
        <v>2082</v>
      </c>
      <c r="I569" t="s">
        <v>74</v>
      </c>
      <c r="J569" t="s">
        <v>75</v>
      </c>
      <c r="L569">
        <v>45704</v>
      </c>
      <c r="M569" t="s">
        <v>112</v>
      </c>
    </row>
    <row r="570" spans="1:13" x14ac:dyDescent="0.3">
      <c r="A570" t="s">
        <v>2083</v>
      </c>
      <c r="B570" t="s">
        <v>37</v>
      </c>
      <c r="C570" t="s">
        <v>24</v>
      </c>
      <c r="D570" t="s">
        <v>55</v>
      </c>
      <c r="E570">
        <v>3033</v>
      </c>
      <c r="F570" t="s">
        <v>2084</v>
      </c>
      <c r="G570" t="s">
        <v>2085</v>
      </c>
      <c r="H570" t="s">
        <v>2086</v>
      </c>
      <c r="I570" t="s">
        <v>58</v>
      </c>
      <c r="J570" t="s">
        <v>59</v>
      </c>
      <c r="L570">
        <v>45721</v>
      </c>
      <c r="M570" t="s">
        <v>69</v>
      </c>
    </row>
    <row r="571" spans="1:13" x14ac:dyDescent="0.3">
      <c r="A571" t="s">
        <v>2087</v>
      </c>
      <c r="B571" t="s">
        <v>46</v>
      </c>
      <c r="C571" t="s">
        <v>26</v>
      </c>
      <c r="D571" t="s">
        <v>97</v>
      </c>
      <c r="E571">
        <v>3036</v>
      </c>
      <c r="F571" t="s">
        <v>2088</v>
      </c>
      <c r="G571" t="s">
        <v>2089</v>
      </c>
      <c r="H571" t="s">
        <v>2090</v>
      </c>
      <c r="I571" t="s">
        <v>100</v>
      </c>
      <c r="J571" t="s">
        <v>101</v>
      </c>
      <c r="K571" t="s">
        <v>21</v>
      </c>
      <c r="L571">
        <v>45734</v>
      </c>
      <c r="M571" t="s">
        <v>65</v>
      </c>
    </row>
    <row r="572" spans="1:13" x14ac:dyDescent="0.3">
      <c r="A572" t="s">
        <v>2091</v>
      </c>
      <c r="B572" t="s">
        <v>46</v>
      </c>
      <c r="C572" t="s">
        <v>26</v>
      </c>
      <c r="D572" t="s">
        <v>97</v>
      </c>
      <c r="E572">
        <v>3036</v>
      </c>
      <c r="F572" t="s">
        <v>2092</v>
      </c>
      <c r="G572" t="s">
        <v>2093</v>
      </c>
      <c r="H572" t="s">
        <v>2093</v>
      </c>
      <c r="I572" t="s">
        <v>100</v>
      </c>
      <c r="J572" t="s">
        <v>101</v>
      </c>
      <c r="L572">
        <v>45727</v>
      </c>
      <c r="M572" t="s">
        <v>128</v>
      </c>
    </row>
    <row r="573" spans="1:13" x14ac:dyDescent="0.3">
      <c r="A573" t="s">
        <v>2094</v>
      </c>
      <c r="B573" t="s">
        <v>46</v>
      </c>
      <c r="C573" t="s">
        <v>25</v>
      </c>
      <c r="D573" t="s">
        <v>47</v>
      </c>
      <c r="E573">
        <v>3032</v>
      </c>
      <c r="F573" t="s">
        <v>2095</v>
      </c>
      <c r="G573" t="s">
        <v>2096</v>
      </c>
      <c r="H573" t="s">
        <v>2097</v>
      </c>
      <c r="I573" t="s">
        <v>51</v>
      </c>
      <c r="J573" t="s">
        <v>52</v>
      </c>
      <c r="K573" t="s">
        <v>21</v>
      </c>
      <c r="L573">
        <v>45700</v>
      </c>
      <c r="M573" t="s">
        <v>90</v>
      </c>
    </row>
    <row r="574" spans="1:13" x14ac:dyDescent="0.3">
      <c r="A574" t="s">
        <v>2098</v>
      </c>
      <c r="B574" t="s">
        <v>37</v>
      </c>
      <c r="C574" t="s">
        <v>22</v>
      </c>
      <c r="D574" t="s">
        <v>71</v>
      </c>
      <c r="E574">
        <v>3034</v>
      </c>
      <c r="F574" t="s">
        <v>2099</v>
      </c>
      <c r="G574" t="s">
        <v>2100</v>
      </c>
      <c r="H574" t="s">
        <v>2101</v>
      </c>
      <c r="I574" t="s">
        <v>74</v>
      </c>
      <c r="J574" t="s">
        <v>75</v>
      </c>
      <c r="L574">
        <v>45710</v>
      </c>
      <c r="M574" t="s">
        <v>112</v>
      </c>
    </row>
    <row r="575" spans="1:13" x14ac:dyDescent="0.3">
      <c r="A575" t="s">
        <v>2102</v>
      </c>
      <c r="B575" t="s">
        <v>37</v>
      </c>
      <c r="C575" t="s">
        <v>24</v>
      </c>
      <c r="D575" t="s">
        <v>78</v>
      </c>
      <c r="E575">
        <v>3035</v>
      </c>
      <c r="F575" t="s">
        <v>2103</v>
      </c>
      <c r="G575" t="s">
        <v>2104</v>
      </c>
      <c r="H575" t="s">
        <v>2104</v>
      </c>
      <c r="I575" t="s">
        <v>81</v>
      </c>
      <c r="J575" t="s">
        <v>82</v>
      </c>
      <c r="L575">
        <v>45729</v>
      </c>
      <c r="M575" t="s">
        <v>95</v>
      </c>
    </row>
    <row r="576" spans="1:13" x14ac:dyDescent="0.3">
      <c r="A576" t="s">
        <v>2105</v>
      </c>
      <c r="B576" t="s">
        <v>46</v>
      </c>
      <c r="C576" t="s">
        <v>25</v>
      </c>
      <c r="D576" t="s">
        <v>191</v>
      </c>
      <c r="E576">
        <v>3040</v>
      </c>
      <c r="F576" t="s">
        <v>2106</v>
      </c>
      <c r="G576" t="s">
        <v>2107</v>
      </c>
      <c r="H576" t="s">
        <v>2107</v>
      </c>
      <c r="I576" t="s">
        <v>194</v>
      </c>
      <c r="J576" t="s">
        <v>13</v>
      </c>
      <c r="L576">
        <v>45729</v>
      </c>
      <c r="M576" t="s">
        <v>195</v>
      </c>
    </row>
    <row r="577" spans="1:13" x14ac:dyDescent="0.3">
      <c r="A577" t="s">
        <v>2108</v>
      </c>
      <c r="B577" t="s">
        <v>37</v>
      </c>
      <c r="C577" t="s">
        <v>25</v>
      </c>
      <c r="D577" t="s">
        <v>78</v>
      </c>
      <c r="E577">
        <v>3035</v>
      </c>
      <c r="F577" t="s">
        <v>2109</v>
      </c>
      <c r="G577" t="s">
        <v>2110</v>
      </c>
      <c r="H577" t="s">
        <v>2110</v>
      </c>
      <c r="I577" t="s">
        <v>81</v>
      </c>
      <c r="J577" t="s">
        <v>82</v>
      </c>
      <c r="K577" t="s">
        <v>21</v>
      </c>
      <c r="L577">
        <v>45666</v>
      </c>
      <c r="M577" t="s">
        <v>69</v>
      </c>
    </row>
    <row r="578" spans="1:13" x14ac:dyDescent="0.3">
      <c r="A578" t="s">
        <v>2111</v>
      </c>
      <c r="B578" t="s">
        <v>46</v>
      </c>
      <c r="C578" t="s">
        <v>24</v>
      </c>
      <c r="D578" t="s">
        <v>97</v>
      </c>
      <c r="E578">
        <v>3036</v>
      </c>
      <c r="F578" t="s">
        <v>2112</v>
      </c>
      <c r="G578" t="s">
        <v>2113</v>
      </c>
      <c r="H578" t="s">
        <v>2114</v>
      </c>
      <c r="I578" t="s">
        <v>100</v>
      </c>
      <c r="J578" t="s">
        <v>101</v>
      </c>
      <c r="L578">
        <v>45723</v>
      </c>
      <c r="M578" t="s">
        <v>128</v>
      </c>
    </row>
    <row r="579" spans="1:13" x14ac:dyDescent="0.3">
      <c r="A579" t="s">
        <v>2115</v>
      </c>
      <c r="B579" t="s">
        <v>46</v>
      </c>
      <c r="C579" t="s">
        <v>22</v>
      </c>
      <c r="D579" t="s">
        <v>71</v>
      </c>
      <c r="E579">
        <v>3034</v>
      </c>
      <c r="F579" t="s">
        <v>2116</v>
      </c>
      <c r="G579" t="s">
        <v>2117</v>
      </c>
      <c r="H579" t="s">
        <v>2118</v>
      </c>
      <c r="I579" t="s">
        <v>74</v>
      </c>
      <c r="J579" t="s">
        <v>75</v>
      </c>
      <c r="K579" t="s">
        <v>21</v>
      </c>
      <c r="L579">
        <v>45696</v>
      </c>
      <c r="M579" t="s">
        <v>112</v>
      </c>
    </row>
    <row r="580" spans="1:13" x14ac:dyDescent="0.3">
      <c r="A580" t="s">
        <v>2119</v>
      </c>
      <c r="B580" t="s">
        <v>46</v>
      </c>
      <c r="C580" t="s">
        <v>25</v>
      </c>
      <c r="D580" t="s">
        <v>47</v>
      </c>
      <c r="E580">
        <v>3032</v>
      </c>
      <c r="F580" t="s">
        <v>2120</v>
      </c>
      <c r="G580" t="s">
        <v>2121</v>
      </c>
      <c r="H580" t="s">
        <v>2121</v>
      </c>
      <c r="I580" t="s">
        <v>51</v>
      </c>
      <c r="J580" t="s">
        <v>52</v>
      </c>
      <c r="K580" t="s">
        <v>21</v>
      </c>
      <c r="L580">
        <v>45742</v>
      </c>
      <c r="M580" t="s">
        <v>53</v>
      </c>
    </row>
    <row r="581" spans="1:13" x14ac:dyDescent="0.3">
      <c r="A581" t="s">
        <v>2122</v>
      </c>
      <c r="B581" t="s">
        <v>37</v>
      </c>
      <c r="C581" t="s">
        <v>22</v>
      </c>
      <c r="D581" t="s">
        <v>78</v>
      </c>
      <c r="E581">
        <v>3035</v>
      </c>
      <c r="F581" t="s">
        <v>2123</v>
      </c>
      <c r="G581" t="s">
        <v>2124</v>
      </c>
      <c r="H581" t="s">
        <v>2124</v>
      </c>
      <c r="I581" t="s">
        <v>81</v>
      </c>
      <c r="J581" t="s">
        <v>82</v>
      </c>
      <c r="K581" t="s">
        <v>21</v>
      </c>
      <c r="L581">
        <v>45671</v>
      </c>
      <c r="M581" t="s">
        <v>287</v>
      </c>
    </row>
    <row r="582" spans="1:13" x14ac:dyDescent="0.3">
      <c r="A582" t="s">
        <v>2125</v>
      </c>
      <c r="B582" t="s">
        <v>46</v>
      </c>
      <c r="C582" t="s">
        <v>25</v>
      </c>
      <c r="D582" t="s">
        <v>444</v>
      </c>
      <c r="E582">
        <v>3042</v>
      </c>
      <c r="F582" t="s">
        <v>2126</v>
      </c>
      <c r="G582" t="s">
        <v>2127</v>
      </c>
      <c r="H582" t="s">
        <v>2127</v>
      </c>
      <c r="I582" t="s">
        <v>448</v>
      </c>
      <c r="J582" t="s">
        <v>449</v>
      </c>
      <c r="L582">
        <v>45698</v>
      </c>
      <c r="M582" t="s">
        <v>363</v>
      </c>
    </row>
    <row r="583" spans="1:13" x14ac:dyDescent="0.3">
      <c r="A583" t="s">
        <v>2128</v>
      </c>
      <c r="B583" t="s">
        <v>46</v>
      </c>
      <c r="C583" t="s">
        <v>25</v>
      </c>
      <c r="D583" t="s">
        <v>207</v>
      </c>
      <c r="E583">
        <v>3041</v>
      </c>
      <c r="F583" t="s">
        <v>2129</v>
      </c>
      <c r="G583" t="s">
        <v>2130</v>
      </c>
      <c r="H583" t="s">
        <v>2131</v>
      </c>
      <c r="I583" t="s">
        <v>211</v>
      </c>
      <c r="J583" t="s">
        <v>14</v>
      </c>
      <c r="K583" t="s">
        <v>21</v>
      </c>
      <c r="L583">
        <v>45739</v>
      </c>
      <c r="M583" t="s">
        <v>363</v>
      </c>
    </row>
    <row r="584" spans="1:13" x14ac:dyDescent="0.3">
      <c r="A584" t="s">
        <v>2132</v>
      </c>
      <c r="B584" t="s">
        <v>46</v>
      </c>
      <c r="C584" t="s">
        <v>25</v>
      </c>
      <c r="D584" t="s">
        <v>104</v>
      </c>
      <c r="E584">
        <v>3037</v>
      </c>
      <c r="F584" t="s">
        <v>2133</v>
      </c>
      <c r="G584" t="s">
        <v>2134</v>
      </c>
      <c r="H584" t="s">
        <v>2135</v>
      </c>
      <c r="I584" t="s">
        <v>12</v>
      </c>
      <c r="J584" t="s">
        <v>13</v>
      </c>
      <c r="L584">
        <v>45670</v>
      </c>
      <c r="M584" t="s">
        <v>76</v>
      </c>
    </row>
    <row r="585" spans="1:13" x14ac:dyDescent="0.3">
      <c r="A585" t="s">
        <v>2136</v>
      </c>
      <c r="B585" t="s">
        <v>37</v>
      </c>
      <c r="C585" t="s">
        <v>25</v>
      </c>
      <c r="D585" t="s">
        <v>55</v>
      </c>
      <c r="E585">
        <v>3033</v>
      </c>
      <c r="F585" t="s">
        <v>2137</v>
      </c>
      <c r="G585" t="s">
        <v>2138</v>
      </c>
      <c r="H585" t="s">
        <v>2138</v>
      </c>
      <c r="I585" t="s">
        <v>58</v>
      </c>
      <c r="J585" t="s">
        <v>59</v>
      </c>
      <c r="L585">
        <v>45705</v>
      </c>
      <c r="M585" t="s">
        <v>69</v>
      </c>
    </row>
    <row r="586" spans="1:13" x14ac:dyDescent="0.3">
      <c r="A586" t="s">
        <v>2139</v>
      </c>
      <c r="B586" t="s">
        <v>46</v>
      </c>
      <c r="C586" t="s">
        <v>24</v>
      </c>
      <c r="D586" t="s">
        <v>78</v>
      </c>
      <c r="E586">
        <v>3035</v>
      </c>
      <c r="F586" t="s">
        <v>2140</v>
      </c>
      <c r="G586" t="s">
        <v>2141</v>
      </c>
      <c r="H586" t="s">
        <v>2141</v>
      </c>
      <c r="I586" t="s">
        <v>81</v>
      </c>
      <c r="J586" t="s">
        <v>82</v>
      </c>
      <c r="L586">
        <v>45740</v>
      </c>
      <c r="M586" t="s">
        <v>95</v>
      </c>
    </row>
    <row r="587" spans="1:13" x14ac:dyDescent="0.3">
      <c r="A587" t="s">
        <v>2142</v>
      </c>
      <c r="B587" t="s">
        <v>46</v>
      </c>
      <c r="C587" t="s">
        <v>26</v>
      </c>
      <c r="D587" t="s">
        <v>47</v>
      </c>
      <c r="E587">
        <v>3032</v>
      </c>
      <c r="F587" t="s">
        <v>2143</v>
      </c>
      <c r="G587" t="s">
        <v>2144</v>
      </c>
      <c r="H587" t="s">
        <v>2145</v>
      </c>
      <c r="I587" t="s">
        <v>51</v>
      </c>
      <c r="J587" t="s">
        <v>52</v>
      </c>
      <c r="K587" t="s">
        <v>21</v>
      </c>
      <c r="L587">
        <v>45693</v>
      </c>
      <c r="M587" t="s">
        <v>90</v>
      </c>
    </row>
    <row r="588" spans="1:13" x14ac:dyDescent="0.3">
      <c r="A588" t="s">
        <v>2146</v>
      </c>
      <c r="B588" t="s">
        <v>46</v>
      </c>
      <c r="C588" t="s">
        <v>25</v>
      </c>
      <c r="D588" t="s">
        <v>71</v>
      </c>
      <c r="E588">
        <v>3034</v>
      </c>
      <c r="F588" t="s">
        <v>2147</v>
      </c>
      <c r="G588" t="s">
        <v>2148</v>
      </c>
      <c r="H588" t="s">
        <v>2149</v>
      </c>
      <c r="I588" t="s">
        <v>74</v>
      </c>
      <c r="J588" t="s">
        <v>75</v>
      </c>
      <c r="K588" t="s">
        <v>21</v>
      </c>
      <c r="L588">
        <v>45732</v>
      </c>
      <c r="M588" t="s">
        <v>112</v>
      </c>
    </row>
    <row r="589" spans="1:13" x14ac:dyDescent="0.3">
      <c r="A589" t="s">
        <v>2150</v>
      </c>
      <c r="B589" t="s">
        <v>37</v>
      </c>
      <c r="C589" t="s">
        <v>22</v>
      </c>
      <c r="D589" t="s">
        <v>118</v>
      </c>
      <c r="E589">
        <v>3038</v>
      </c>
      <c r="F589" t="s">
        <v>2151</v>
      </c>
      <c r="G589" t="s">
        <v>2152</v>
      </c>
      <c r="H589" t="s">
        <v>2153</v>
      </c>
      <c r="I589" t="s">
        <v>122</v>
      </c>
      <c r="J589" t="s">
        <v>123</v>
      </c>
      <c r="L589">
        <v>45667</v>
      </c>
      <c r="M589" t="s">
        <v>389</v>
      </c>
    </row>
    <row r="590" spans="1:13" x14ac:dyDescent="0.3">
      <c r="A590" t="s">
        <v>2154</v>
      </c>
      <c r="B590" t="s">
        <v>46</v>
      </c>
      <c r="C590" t="s">
        <v>22</v>
      </c>
      <c r="D590" t="s">
        <v>55</v>
      </c>
      <c r="E590">
        <v>3033</v>
      </c>
      <c r="F590" t="s">
        <v>2155</v>
      </c>
      <c r="G590" t="s">
        <v>2156</v>
      </c>
      <c r="H590" t="s">
        <v>2157</v>
      </c>
      <c r="I590" t="s">
        <v>58</v>
      </c>
      <c r="J590" t="s">
        <v>59</v>
      </c>
      <c r="L590">
        <v>45746</v>
      </c>
      <c r="M590" t="s">
        <v>60</v>
      </c>
    </row>
    <row r="591" spans="1:13" x14ac:dyDescent="0.3">
      <c r="A591" t="s">
        <v>2158</v>
      </c>
      <c r="B591" t="s">
        <v>37</v>
      </c>
      <c r="C591" t="s">
        <v>25</v>
      </c>
      <c r="D591" t="s">
        <v>78</v>
      </c>
      <c r="E591">
        <v>3035</v>
      </c>
      <c r="F591" t="s">
        <v>2159</v>
      </c>
      <c r="G591" t="s">
        <v>2160</v>
      </c>
      <c r="H591" t="s">
        <v>2161</v>
      </c>
      <c r="I591" t="s">
        <v>81</v>
      </c>
      <c r="J591" t="s">
        <v>82</v>
      </c>
      <c r="L591">
        <v>45746</v>
      </c>
      <c r="M591" t="s">
        <v>69</v>
      </c>
    </row>
    <row r="592" spans="1:13" x14ac:dyDescent="0.3">
      <c r="A592" t="s">
        <v>2162</v>
      </c>
      <c r="B592" t="s">
        <v>37</v>
      </c>
      <c r="C592" t="s">
        <v>26</v>
      </c>
      <c r="D592" t="s">
        <v>136</v>
      </c>
      <c r="E592">
        <v>3039</v>
      </c>
      <c r="F592" t="s">
        <v>2163</v>
      </c>
      <c r="G592" t="s">
        <v>2164</v>
      </c>
      <c r="H592" t="s">
        <v>2165</v>
      </c>
      <c r="I592" t="s">
        <v>15</v>
      </c>
      <c r="J592" t="s">
        <v>14</v>
      </c>
      <c r="L592">
        <v>45674</v>
      </c>
      <c r="M592" t="s">
        <v>160</v>
      </c>
    </row>
    <row r="593" spans="1:13" x14ac:dyDescent="0.3">
      <c r="A593" t="s">
        <v>2166</v>
      </c>
      <c r="B593" t="s">
        <v>37</v>
      </c>
      <c r="C593" t="s">
        <v>25</v>
      </c>
      <c r="D593" t="s">
        <v>71</v>
      </c>
      <c r="E593">
        <v>3034</v>
      </c>
      <c r="F593" t="s">
        <v>2167</v>
      </c>
      <c r="G593" t="s">
        <v>2168</v>
      </c>
      <c r="H593" t="s">
        <v>2168</v>
      </c>
      <c r="I593" t="s">
        <v>74</v>
      </c>
      <c r="J593" t="s">
        <v>75</v>
      </c>
      <c r="L593">
        <v>45665</v>
      </c>
      <c r="M593" t="s">
        <v>212</v>
      </c>
    </row>
    <row r="594" spans="1:13" x14ac:dyDescent="0.3">
      <c r="A594" t="s">
        <v>2169</v>
      </c>
      <c r="B594" t="s">
        <v>37</v>
      </c>
      <c r="C594" t="s">
        <v>24</v>
      </c>
      <c r="D594" t="s">
        <v>55</v>
      </c>
      <c r="E594">
        <v>3033</v>
      </c>
      <c r="F594" t="s">
        <v>2170</v>
      </c>
      <c r="G594" t="s">
        <v>2171</v>
      </c>
      <c r="H594" t="s">
        <v>2171</v>
      </c>
      <c r="I594" t="s">
        <v>58</v>
      </c>
      <c r="J594" t="s">
        <v>59</v>
      </c>
      <c r="K594" t="s">
        <v>21</v>
      </c>
      <c r="L594">
        <v>45734</v>
      </c>
      <c r="M594" t="s">
        <v>60</v>
      </c>
    </row>
    <row r="595" spans="1:13" x14ac:dyDescent="0.3">
      <c r="A595" t="s">
        <v>2172</v>
      </c>
      <c r="B595" t="s">
        <v>46</v>
      </c>
      <c r="C595" t="s">
        <v>26</v>
      </c>
      <c r="D595" t="s">
        <v>55</v>
      </c>
      <c r="E595">
        <v>3033</v>
      </c>
      <c r="F595" t="s">
        <v>2173</v>
      </c>
      <c r="G595" t="s">
        <v>2174</v>
      </c>
      <c r="H595" t="s">
        <v>2174</v>
      </c>
      <c r="I595" t="s">
        <v>58</v>
      </c>
      <c r="J595" t="s">
        <v>59</v>
      </c>
      <c r="K595" t="s">
        <v>21</v>
      </c>
      <c r="L595">
        <v>45716</v>
      </c>
      <c r="M595" t="s">
        <v>90</v>
      </c>
    </row>
    <row r="596" spans="1:13" x14ac:dyDescent="0.3">
      <c r="A596" t="s">
        <v>2175</v>
      </c>
      <c r="B596" t="s">
        <v>37</v>
      </c>
      <c r="C596" t="s">
        <v>24</v>
      </c>
      <c r="D596" t="s">
        <v>97</v>
      </c>
      <c r="E596">
        <v>3036</v>
      </c>
      <c r="F596" t="s">
        <v>2176</v>
      </c>
      <c r="G596" t="s">
        <v>2177</v>
      </c>
      <c r="H596" t="s">
        <v>2178</v>
      </c>
      <c r="I596" t="s">
        <v>100</v>
      </c>
      <c r="J596" t="s">
        <v>101</v>
      </c>
      <c r="L596">
        <v>45741</v>
      </c>
      <c r="M596" t="s">
        <v>65</v>
      </c>
    </row>
    <row r="597" spans="1:13" x14ac:dyDescent="0.3">
      <c r="A597" t="s">
        <v>2179</v>
      </c>
      <c r="B597" t="s">
        <v>37</v>
      </c>
      <c r="C597" t="s">
        <v>24</v>
      </c>
      <c r="D597" t="s">
        <v>97</v>
      </c>
      <c r="E597">
        <v>3036</v>
      </c>
      <c r="F597" t="s">
        <v>2180</v>
      </c>
      <c r="G597" t="s">
        <v>2181</v>
      </c>
      <c r="H597" t="s">
        <v>2181</v>
      </c>
      <c r="I597" t="s">
        <v>100</v>
      </c>
      <c r="J597" t="s">
        <v>101</v>
      </c>
      <c r="K597" t="s">
        <v>21</v>
      </c>
      <c r="L597">
        <v>45685</v>
      </c>
      <c r="M597" t="s">
        <v>292</v>
      </c>
    </row>
    <row r="598" spans="1:13" x14ac:dyDescent="0.3">
      <c r="A598" t="s">
        <v>2182</v>
      </c>
      <c r="B598" t="s">
        <v>37</v>
      </c>
      <c r="C598" t="s">
        <v>22</v>
      </c>
      <c r="D598" t="s">
        <v>207</v>
      </c>
      <c r="E598">
        <v>3041</v>
      </c>
      <c r="F598" t="s">
        <v>2183</v>
      </c>
      <c r="G598" t="s">
        <v>2184</v>
      </c>
      <c r="H598" t="s">
        <v>2185</v>
      </c>
      <c r="I598" t="s">
        <v>211</v>
      </c>
      <c r="J598" t="s">
        <v>14</v>
      </c>
      <c r="L598">
        <v>45700</v>
      </c>
      <c r="M598" t="s">
        <v>300</v>
      </c>
    </row>
    <row r="599" spans="1:13" x14ac:dyDescent="0.3">
      <c r="A599" t="s">
        <v>2186</v>
      </c>
      <c r="B599" t="s">
        <v>37</v>
      </c>
      <c r="C599" t="s">
        <v>25</v>
      </c>
      <c r="D599" t="s">
        <v>104</v>
      </c>
      <c r="E599">
        <v>3037</v>
      </c>
      <c r="F599" t="s">
        <v>2187</v>
      </c>
      <c r="G599" t="s">
        <v>2188</v>
      </c>
      <c r="H599" t="s">
        <v>2188</v>
      </c>
      <c r="I599" t="s">
        <v>12</v>
      </c>
      <c r="J599" t="s">
        <v>13</v>
      </c>
      <c r="L599">
        <v>45670</v>
      </c>
      <c r="M599" t="s">
        <v>76</v>
      </c>
    </row>
    <row r="600" spans="1:13" x14ac:dyDescent="0.3">
      <c r="A600" t="s">
        <v>2189</v>
      </c>
      <c r="B600" t="s">
        <v>37</v>
      </c>
      <c r="C600" t="s">
        <v>25</v>
      </c>
      <c r="D600" t="s">
        <v>118</v>
      </c>
      <c r="E600">
        <v>3038</v>
      </c>
      <c r="F600" t="s">
        <v>2190</v>
      </c>
      <c r="G600" t="s">
        <v>2191</v>
      </c>
      <c r="H600" t="s">
        <v>2191</v>
      </c>
      <c r="I600" t="s">
        <v>122</v>
      </c>
      <c r="J600" t="s">
        <v>123</v>
      </c>
      <c r="L600">
        <v>45705</v>
      </c>
      <c r="M600" t="s">
        <v>124</v>
      </c>
    </row>
    <row r="601" spans="1:13" x14ac:dyDescent="0.3">
      <c r="A601" t="s">
        <v>2192</v>
      </c>
      <c r="B601" t="s">
        <v>46</v>
      </c>
      <c r="C601" t="s">
        <v>22</v>
      </c>
      <c r="D601" t="s">
        <v>38</v>
      </c>
      <c r="E601">
        <v>3031</v>
      </c>
      <c r="F601" t="s">
        <v>2193</v>
      </c>
      <c r="G601" t="s">
        <v>2194</v>
      </c>
      <c r="H601" t="s">
        <v>2195</v>
      </c>
      <c r="I601" t="s">
        <v>42</v>
      </c>
      <c r="J601" t="s">
        <v>43</v>
      </c>
      <c r="K601" t="s">
        <v>21</v>
      </c>
      <c r="L601">
        <v>45741</v>
      </c>
      <c r="M601" t="s">
        <v>76</v>
      </c>
    </row>
    <row r="602" spans="1:13" x14ac:dyDescent="0.3">
      <c r="A602" t="s">
        <v>2196</v>
      </c>
      <c r="B602" t="s">
        <v>46</v>
      </c>
      <c r="C602" t="s">
        <v>24</v>
      </c>
      <c r="D602" t="s">
        <v>191</v>
      </c>
      <c r="E602">
        <v>3040</v>
      </c>
      <c r="F602" t="s">
        <v>2197</v>
      </c>
      <c r="G602" t="s">
        <v>2198</v>
      </c>
      <c r="H602" t="s">
        <v>2198</v>
      </c>
      <c r="I602" t="s">
        <v>194</v>
      </c>
      <c r="J602" t="s">
        <v>13</v>
      </c>
      <c r="L602">
        <v>45669</v>
      </c>
      <c r="M602" t="s">
        <v>160</v>
      </c>
    </row>
    <row r="603" spans="1:13" x14ac:dyDescent="0.3">
      <c r="A603" t="s">
        <v>2199</v>
      </c>
      <c r="B603" t="s">
        <v>46</v>
      </c>
      <c r="C603" t="s">
        <v>25</v>
      </c>
      <c r="D603" t="s">
        <v>71</v>
      </c>
      <c r="E603">
        <v>3034</v>
      </c>
      <c r="F603" t="s">
        <v>2200</v>
      </c>
      <c r="G603" t="s">
        <v>2201</v>
      </c>
      <c r="H603" t="s">
        <v>2202</v>
      </c>
      <c r="I603" t="s">
        <v>74</v>
      </c>
      <c r="J603" t="s">
        <v>75</v>
      </c>
      <c r="L603">
        <v>45669</v>
      </c>
      <c r="M603" t="s">
        <v>112</v>
      </c>
    </row>
    <row r="604" spans="1:13" x14ac:dyDescent="0.3">
      <c r="A604" t="s">
        <v>2203</v>
      </c>
      <c r="B604" t="s">
        <v>37</v>
      </c>
      <c r="C604" t="s">
        <v>26</v>
      </c>
      <c r="D604" t="s">
        <v>55</v>
      </c>
      <c r="E604">
        <v>3033</v>
      </c>
      <c r="F604" t="s">
        <v>2204</v>
      </c>
      <c r="G604" t="s">
        <v>2205</v>
      </c>
      <c r="H604" t="s">
        <v>2205</v>
      </c>
      <c r="I604" t="s">
        <v>58</v>
      </c>
      <c r="J604" t="s">
        <v>59</v>
      </c>
      <c r="L604">
        <v>45672</v>
      </c>
      <c r="M604" t="s">
        <v>86</v>
      </c>
    </row>
    <row r="605" spans="1:13" x14ac:dyDescent="0.3">
      <c r="A605" t="s">
        <v>2206</v>
      </c>
      <c r="B605" t="s">
        <v>37</v>
      </c>
      <c r="C605" t="s">
        <v>22</v>
      </c>
      <c r="D605" t="s">
        <v>191</v>
      </c>
      <c r="E605">
        <v>3040</v>
      </c>
      <c r="F605" t="s">
        <v>2207</v>
      </c>
      <c r="G605" t="s">
        <v>2208</v>
      </c>
      <c r="H605" t="s">
        <v>2209</v>
      </c>
      <c r="I605" t="s">
        <v>194</v>
      </c>
      <c r="J605" t="s">
        <v>13</v>
      </c>
      <c r="L605">
        <v>45738</v>
      </c>
      <c r="M605" t="s">
        <v>300</v>
      </c>
    </row>
    <row r="606" spans="1:13" x14ac:dyDescent="0.3">
      <c r="A606" t="s">
        <v>2210</v>
      </c>
      <c r="B606" t="s">
        <v>46</v>
      </c>
      <c r="C606" t="s">
        <v>25</v>
      </c>
      <c r="D606" t="s">
        <v>136</v>
      </c>
      <c r="E606">
        <v>3039</v>
      </c>
      <c r="F606" t="s">
        <v>2211</v>
      </c>
      <c r="G606" t="s">
        <v>2212</v>
      </c>
      <c r="H606" t="s">
        <v>2213</v>
      </c>
      <c r="I606" t="s">
        <v>15</v>
      </c>
      <c r="J606" t="s">
        <v>14</v>
      </c>
      <c r="K606" t="s">
        <v>21</v>
      </c>
      <c r="L606">
        <v>45734</v>
      </c>
      <c r="M606" t="s">
        <v>200</v>
      </c>
    </row>
    <row r="607" spans="1:13" x14ac:dyDescent="0.3">
      <c r="A607" t="s">
        <v>2214</v>
      </c>
      <c r="B607" t="s">
        <v>37</v>
      </c>
      <c r="C607" t="s">
        <v>22</v>
      </c>
      <c r="D607" t="s">
        <v>47</v>
      </c>
      <c r="E607">
        <v>3032</v>
      </c>
      <c r="F607" t="s">
        <v>2215</v>
      </c>
      <c r="G607" t="s">
        <v>2216</v>
      </c>
      <c r="H607" t="s">
        <v>2217</v>
      </c>
      <c r="I607" t="s">
        <v>51</v>
      </c>
      <c r="J607" t="s">
        <v>52</v>
      </c>
      <c r="L607">
        <v>45743</v>
      </c>
      <c r="M607" t="s">
        <v>881</v>
      </c>
    </row>
    <row r="608" spans="1:13" x14ac:dyDescent="0.3">
      <c r="A608" t="s">
        <v>2218</v>
      </c>
      <c r="B608" t="s">
        <v>37</v>
      </c>
      <c r="C608" t="s">
        <v>22</v>
      </c>
      <c r="D608" t="s">
        <v>47</v>
      </c>
      <c r="E608">
        <v>3032</v>
      </c>
      <c r="F608" t="s">
        <v>2219</v>
      </c>
      <c r="G608" t="s">
        <v>2220</v>
      </c>
      <c r="H608" t="s">
        <v>2221</v>
      </c>
      <c r="I608" t="s">
        <v>51</v>
      </c>
      <c r="J608" t="s">
        <v>52</v>
      </c>
      <c r="L608">
        <v>45743</v>
      </c>
      <c r="M608" t="s">
        <v>881</v>
      </c>
    </row>
    <row r="609" spans="1:13" x14ac:dyDescent="0.3">
      <c r="A609" t="s">
        <v>2222</v>
      </c>
      <c r="B609" t="s">
        <v>37</v>
      </c>
      <c r="C609" t="s">
        <v>25</v>
      </c>
      <c r="D609" t="s">
        <v>104</v>
      </c>
      <c r="E609">
        <v>3037</v>
      </c>
      <c r="F609" t="s">
        <v>2223</v>
      </c>
      <c r="G609" t="s">
        <v>2224</v>
      </c>
      <c r="H609" t="s">
        <v>2224</v>
      </c>
      <c r="I609" t="s">
        <v>12</v>
      </c>
      <c r="J609" t="s">
        <v>13</v>
      </c>
      <c r="L609">
        <v>45704</v>
      </c>
      <c r="M609" t="s">
        <v>189</v>
      </c>
    </row>
    <row r="610" spans="1:13" x14ac:dyDescent="0.3">
      <c r="A610" t="s">
        <v>2225</v>
      </c>
      <c r="B610" t="s">
        <v>37</v>
      </c>
      <c r="C610" t="s">
        <v>25</v>
      </c>
      <c r="D610" t="s">
        <v>118</v>
      </c>
      <c r="E610">
        <v>3038</v>
      </c>
      <c r="F610" t="s">
        <v>1288</v>
      </c>
      <c r="G610" t="s">
        <v>2226</v>
      </c>
      <c r="H610" t="s">
        <v>2227</v>
      </c>
      <c r="I610" t="s">
        <v>122</v>
      </c>
      <c r="J610" t="s">
        <v>123</v>
      </c>
      <c r="K610" t="s">
        <v>21</v>
      </c>
      <c r="L610">
        <v>45663</v>
      </c>
      <c r="M610" t="s">
        <v>581</v>
      </c>
    </row>
    <row r="611" spans="1:13" x14ac:dyDescent="0.3">
      <c r="A611" t="s">
        <v>2228</v>
      </c>
      <c r="B611" t="s">
        <v>37</v>
      </c>
      <c r="C611" t="s">
        <v>22</v>
      </c>
      <c r="D611" t="s">
        <v>97</v>
      </c>
      <c r="E611">
        <v>3036</v>
      </c>
      <c r="F611" t="s">
        <v>2229</v>
      </c>
      <c r="G611" t="s">
        <v>2230</v>
      </c>
      <c r="H611" t="s">
        <v>2230</v>
      </c>
      <c r="I611" t="s">
        <v>100</v>
      </c>
      <c r="J611" t="s">
        <v>101</v>
      </c>
      <c r="L611">
        <v>45694</v>
      </c>
      <c r="M611" t="s">
        <v>128</v>
      </c>
    </row>
    <row r="612" spans="1:13" x14ac:dyDescent="0.3">
      <c r="A612" t="s">
        <v>2231</v>
      </c>
      <c r="B612" t="s">
        <v>37</v>
      </c>
      <c r="C612" t="s">
        <v>25</v>
      </c>
      <c r="D612" t="s">
        <v>97</v>
      </c>
      <c r="E612">
        <v>3036</v>
      </c>
      <c r="F612" t="s">
        <v>2232</v>
      </c>
      <c r="G612" t="s">
        <v>2233</v>
      </c>
      <c r="H612" t="s">
        <v>2234</v>
      </c>
      <c r="I612" t="s">
        <v>100</v>
      </c>
      <c r="J612" t="s">
        <v>101</v>
      </c>
      <c r="L612">
        <v>45715</v>
      </c>
      <c r="M612" t="s">
        <v>102</v>
      </c>
    </row>
    <row r="613" spans="1:13" x14ac:dyDescent="0.3">
      <c r="A613" t="s">
        <v>2235</v>
      </c>
      <c r="B613" t="s">
        <v>37</v>
      </c>
      <c r="C613" t="s">
        <v>26</v>
      </c>
      <c r="D613" t="s">
        <v>136</v>
      </c>
      <c r="E613">
        <v>3039</v>
      </c>
      <c r="F613" t="s">
        <v>1125</v>
      </c>
      <c r="G613" t="s">
        <v>2236</v>
      </c>
      <c r="H613" t="s">
        <v>2237</v>
      </c>
      <c r="I613" t="s">
        <v>15</v>
      </c>
      <c r="J613" t="s">
        <v>14</v>
      </c>
      <c r="K613" t="s">
        <v>21</v>
      </c>
      <c r="L613">
        <v>45721</v>
      </c>
      <c r="M613" t="s">
        <v>987</v>
      </c>
    </row>
    <row r="614" spans="1:13" x14ac:dyDescent="0.3">
      <c r="A614" t="s">
        <v>2238</v>
      </c>
      <c r="B614" t="s">
        <v>46</v>
      </c>
      <c r="C614" t="s">
        <v>25</v>
      </c>
      <c r="D614" t="s">
        <v>207</v>
      </c>
      <c r="E614">
        <v>3041</v>
      </c>
      <c r="F614" t="s">
        <v>2239</v>
      </c>
      <c r="G614" t="s">
        <v>2240</v>
      </c>
      <c r="H614" t="s">
        <v>2240</v>
      </c>
      <c r="I614" t="s">
        <v>211</v>
      </c>
      <c r="J614" t="s">
        <v>14</v>
      </c>
      <c r="L614">
        <v>45713</v>
      </c>
      <c r="M614" t="s">
        <v>300</v>
      </c>
    </row>
    <row r="615" spans="1:13" x14ac:dyDescent="0.3">
      <c r="A615" t="s">
        <v>2241</v>
      </c>
      <c r="B615" t="s">
        <v>37</v>
      </c>
      <c r="C615" t="s">
        <v>24</v>
      </c>
      <c r="D615" t="s">
        <v>444</v>
      </c>
      <c r="E615">
        <v>3042</v>
      </c>
      <c r="F615" t="s">
        <v>2242</v>
      </c>
      <c r="G615" t="s">
        <v>2243</v>
      </c>
      <c r="H615" t="s">
        <v>2243</v>
      </c>
      <c r="I615" t="s">
        <v>448</v>
      </c>
      <c r="J615" t="s">
        <v>449</v>
      </c>
      <c r="K615" t="s">
        <v>21</v>
      </c>
      <c r="L615">
        <v>45693</v>
      </c>
      <c r="M615" t="s">
        <v>107</v>
      </c>
    </row>
    <row r="616" spans="1:13" x14ac:dyDescent="0.3">
      <c r="A616" t="s">
        <v>2244</v>
      </c>
      <c r="B616" t="s">
        <v>37</v>
      </c>
      <c r="C616" t="s">
        <v>24</v>
      </c>
      <c r="D616" t="s">
        <v>47</v>
      </c>
      <c r="E616">
        <v>3032</v>
      </c>
      <c r="F616" t="s">
        <v>2245</v>
      </c>
      <c r="G616" t="s">
        <v>2246</v>
      </c>
      <c r="H616" t="s">
        <v>2247</v>
      </c>
      <c r="I616" t="s">
        <v>51</v>
      </c>
      <c r="J616" t="s">
        <v>52</v>
      </c>
      <c r="L616">
        <v>45736</v>
      </c>
      <c r="M616" t="s">
        <v>53</v>
      </c>
    </row>
    <row r="617" spans="1:13" x14ac:dyDescent="0.3">
      <c r="A617" t="s">
        <v>2248</v>
      </c>
      <c r="B617" t="s">
        <v>37</v>
      </c>
      <c r="C617" t="s">
        <v>22</v>
      </c>
      <c r="D617" t="s">
        <v>444</v>
      </c>
      <c r="E617">
        <v>3042</v>
      </c>
      <c r="F617" t="s">
        <v>2249</v>
      </c>
      <c r="G617" t="s">
        <v>2250</v>
      </c>
      <c r="H617" t="s">
        <v>2250</v>
      </c>
      <c r="I617" t="s">
        <v>448</v>
      </c>
      <c r="J617" t="s">
        <v>449</v>
      </c>
      <c r="L617">
        <v>45691</v>
      </c>
      <c r="M617" t="s">
        <v>450</v>
      </c>
    </row>
    <row r="618" spans="1:13" x14ac:dyDescent="0.3">
      <c r="A618" t="s">
        <v>2251</v>
      </c>
      <c r="B618" t="s">
        <v>37</v>
      </c>
      <c r="C618" t="s">
        <v>24</v>
      </c>
      <c r="D618" t="s">
        <v>97</v>
      </c>
      <c r="E618">
        <v>3036</v>
      </c>
      <c r="F618" t="s">
        <v>2252</v>
      </c>
      <c r="G618" t="s">
        <v>2253</v>
      </c>
      <c r="H618" t="s">
        <v>2254</v>
      </c>
      <c r="I618" t="s">
        <v>100</v>
      </c>
      <c r="J618" t="s">
        <v>101</v>
      </c>
      <c r="L618">
        <v>45682</v>
      </c>
      <c r="M618" t="s">
        <v>292</v>
      </c>
    </row>
    <row r="619" spans="1:13" x14ac:dyDescent="0.3">
      <c r="A619" t="s">
        <v>2255</v>
      </c>
      <c r="B619" t="s">
        <v>37</v>
      </c>
      <c r="C619" t="s">
        <v>26</v>
      </c>
      <c r="D619" t="s">
        <v>207</v>
      </c>
      <c r="E619">
        <v>3041</v>
      </c>
      <c r="F619" t="s">
        <v>2256</v>
      </c>
      <c r="G619" t="s">
        <v>2257</v>
      </c>
      <c r="H619" t="s">
        <v>2258</v>
      </c>
      <c r="I619" t="s">
        <v>211</v>
      </c>
      <c r="J619" t="s">
        <v>14</v>
      </c>
      <c r="K619" t="s">
        <v>21</v>
      </c>
      <c r="L619">
        <v>45678</v>
      </c>
      <c r="M619" t="s">
        <v>128</v>
      </c>
    </row>
    <row r="620" spans="1:13" x14ac:dyDescent="0.3">
      <c r="A620" t="s">
        <v>2259</v>
      </c>
      <c r="B620" t="s">
        <v>37</v>
      </c>
      <c r="C620" t="s">
        <v>25</v>
      </c>
      <c r="D620" t="s">
        <v>47</v>
      </c>
      <c r="E620">
        <v>3032</v>
      </c>
      <c r="F620" t="s">
        <v>2260</v>
      </c>
      <c r="G620" t="s">
        <v>2261</v>
      </c>
      <c r="H620" t="s">
        <v>2262</v>
      </c>
      <c r="I620" t="s">
        <v>51</v>
      </c>
      <c r="J620" t="s">
        <v>52</v>
      </c>
      <c r="K620" t="s">
        <v>21</v>
      </c>
      <c r="L620">
        <v>45672</v>
      </c>
      <c r="M620" t="s">
        <v>90</v>
      </c>
    </row>
    <row r="621" spans="1:13" x14ac:dyDescent="0.3">
      <c r="A621" t="s">
        <v>2263</v>
      </c>
      <c r="B621" t="s">
        <v>37</v>
      </c>
      <c r="C621" t="s">
        <v>26</v>
      </c>
      <c r="D621" t="s">
        <v>97</v>
      </c>
      <c r="E621">
        <v>3036</v>
      </c>
      <c r="F621" t="s">
        <v>2264</v>
      </c>
      <c r="G621" t="s">
        <v>2265</v>
      </c>
      <c r="H621" t="s">
        <v>2265</v>
      </c>
      <c r="I621" t="s">
        <v>100</v>
      </c>
      <c r="J621" t="s">
        <v>101</v>
      </c>
      <c r="L621">
        <v>45720</v>
      </c>
      <c r="M621" t="s">
        <v>292</v>
      </c>
    </row>
    <row r="622" spans="1:13" x14ac:dyDescent="0.3">
      <c r="A622" t="s">
        <v>2266</v>
      </c>
      <c r="B622" t="s">
        <v>37</v>
      </c>
      <c r="C622" t="s">
        <v>24</v>
      </c>
      <c r="D622" t="s">
        <v>191</v>
      </c>
      <c r="E622">
        <v>3040</v>
      </c>
      <c r="F622" t="s">
        <v>2267</v>
      </c>
      <c r="G622" t="s">
        <v>2268</v>
      </c>
      <c r="H622" t="s">
        <v>2269</v>
      </c>
      <c r="I622" t="s">
        <v>194</v>
      </c>
      <c r="J622" t="s">
        <v>13</v>
      </c>
      <c r="L622">
        <v>45705</v>
      </c>
      <c r="M622" t="s">
        <v>717</v>
      </c>
    </row>
    <row r="623" spans="1:13" x14ac:dyDescent="0.3">
      <c r="A623" t="s">
        <v>2270</v>
      </c>
      <c r="B623" t="s">
        <v>37</v>
      </c>
      <c r="C623" t="s">
        <v>25</v>
      </c>
      <c r="D623" t="s">
        <v>55</v>
      </c>
      <c r="E623">
        <v>3033</v>
      </c>
      <c r="F623" t="s">
        <v>2271</v>
      </c>
      <c r="G623" t="s">
        <v>2272</v>
      </c>
      <c r="H623" t="s">
        <v>2273</v>
      </c>
      <c r="I623" t="s">
        <v>58</v>
      </c>
      <c r="J623" t="s">
        <v>59</v>
      </c>
      <c r="K623" t="s">
        <v>21</v>
      </c>
      <c r="L623">
        <v>45720</v>
      </c>
      <c r="M623" t="s">
        <v>69</v>
      </c>
    </row>
    <row r="624" spans="1:13" x14ac:dyDescent="0.3">
      <c r="A624" t="s">
        <v>2274</v>
      </c>
      <c r="B624" t="s">
        <v>46</v>
      </c>
      <c r="C624" t="s">
        <v>26</v>
      </c>
      <c r="D624" t="s">
        <v>104</v>
      </c>
      <c r="E624">
        <v>3037</v>
      </c>
      <c r="F624" t="s">
        <v>2275</v>
      </c>
      <c r="G624" t="s">
        <v>2276</v>
      </c>
      <c r="H624" t="s">
        <v>2277</v>
      </c>
      <c r="I624" t="s">
        <v>12</v>
      </c>
      <c r="J624" t="s">
        <v>13</v>
      </c>
      <c r="K624" t="s">
        <v>21</v>
      </c>
      <c r="L624">
        <v>45723</v>
      </c>
      <c r="M624" t="s">
        <v>189</v>
      </c>
    </row>
    <row r="625" spans="1:13" x14ac:dyDescent="0.3">
      <c r="A625" t="s">
        <v>2278</v>
      </c>
      <c r="B625" t="s">
        <v>37</v>
      </c>
      <c r="C625" t="s">
        <v>25</v>
      </c>
      <c r="D625" t="s">
        <v>78</v>
      </c>
      <c r="E625">
        <v>3035</v>
      </c>
      <c r="F625" t="s">
        <v>2279</v>
      </c>
      <c r="G625" t="s">
        <v>2280</v>
      </c>
      <c r="H625" t="s">
        <v>2280</v>
      </c>
      <c r="I625" t="s">
        <v>81</v>
      </c>
      <c r="J625" t="s">
        <v>82</v>
      </c>
      <c r="K625" t="s">
        <v>21</v>
      </c>
      <c r="L625">
        <v>45706</v>
      </c>
      <c r="M625" t="s">
        <v>205</v>
      </c>
    </row>
    <row r="626" spans="1:13" x14ac:dyDescent="0.3">
      <c r="A626" t="s">
        <v>2281</v>
      </c>
      <c r="B626" t="s">
        <v>37</v>
      </c>
      <c r="C626" t="s">
        <v>25</v>
      </c>
      <c r="D626" t="s">
        <v>118</v>
      </c>
      <c r="E626">
        <v>3038</v>
      </c>
      <c r="F626" t="s">
        <v>2282</v>
      </c>
      <c r="G626" t="s">
        <v>2283</v>
      </c>
      <c r="H626" t="s">
        <v>2284</v>
      </c>
      <c r="I626" t="s">
        <v>122</v>
      </c>
      <c r="J626" t="s">
        <v>123</v>
      </c>
      <c r="L626">
        <v>45668</v>
      </c>
      <c r="M626" t="s">
        <v>200</v>
      </c>
    </row>
    <row r="627" spans="1:13" x14ac:dyDescent="0.3">
      <c r="A627" t="s">
        <v>2285</v>
      </c>
      <c r="B627" t="s">
        <v>37</v>
      </c>
      <c r="C627" t="s">
        <v>22</v>
      </c>
      <c r="D627" t="s">
        <v>71</v>
      </c>
      <c r="E627">
        <v>3034</v>
      </c>
      <c r="F627" t="s">
        <v>2286</v>
      </c>
      <c r="G627" t="s">
        <v>2287</v>
      </c>
      <c r="H627" t="s">
        <v>2287</v>
      </c>
      <c r="I627" t="s">
        <v>74</v>
      </c>
      <c r="J627" t="s">
        <v>75</v>
      </c>
      <c r="K627" t="s">
        <v>21</v>
      </c>
      <c r="L627">
        <v>45725</v>
      </c>
      <c r="M627" t="s">
        <v>76</v>
      </c>
    </row>
    <row r="628" spans="1:13" x14ac:dyDescent="0.3">
      <c r="A628" t="s">
        <v>2288</v>
      </c>
      <c r="B628" t="s">
        <v>46</v>
      </c>
      <c r="C628" t="s">
        <v>24</v>
      </c>
      <c r="D628" t="s">
        <v>47</v>
      </c>
      <c r="E628">
        <v>3032</v>
      </c>
      <c r="F628" t="s">
        <v>2289</v>
      </c>
      <c r="G628" t="s">
        <v>2290</v>
      </c>
      <c r="H628" t="s">
        <v>2291</v>
      </c>
      <c r="I628" t="s">
        <v>51</v>
      </c>
      <c r="J628" t="s">
        <v>52</v>
      </c>
      <c r="K628" t="s">
        <v>21</v>
      </c>
      <c r="L628">
        <v>45737</v>
      </c>
      <c r="M628" t="s">
        <v>90</v>
      </c>
    </row>
    <row r="629" spans="1:13" x14ac:dyDescent="0.3">
      <c r="A629" t="s">
        <v>2292</v>
      </c>
      <c r="B629" t="s">
        <v>46</v>
      </c>
      <c r="C629" t="s">
        <v>24</v>
      </c>
      <c r="D629" t="s">
        <v>97</v>
      </c>
      <c r="E629">
        <v>3036</v>
      </c>
      <c r="F629" t="s">
        <v>2293</v>
      </c>
      <c r="G629" t="s">
        <v>2294</v>
      </c>
      <c r="H629" t="s">
        <v>2294</v>
      </c>
      <c r="I629" t="s">
        <v>100</v>
      </c>
      <c r="J629" t="s">
        <v>101</v>
      </c>
      <c r="L629">
        <v>45709</v>
      </c>
      <c r="M629" t="s">
        <v>292</v>
      </c>
    </row>
    <row r="630" spans="1:13" x14ac:dyDescent="0.3">
      <c r="A630" t="s">
        <v>2295</v>
      </c>
      <c r="B630" t="s">
        <v>46</v>
      </c>
      <c r="C630" t="s">
        <v>24</v>
      </c>
      <c r="D630" t="s">
        <v>136</v>
      </c>
      <c r="E630">
        <v>3039</v>
      </c>
      <c r="F630" t="s">
        <v>2296</v>
      </c>
      <c r="G630" t="s">
        <v>2297</v>
      </c>
      <c r="H630" t="s">
        <v>2298</v>
      </c>
      <c r="I630" t="s">
        <v>15</v>
      </c>
      <c r="J630" t="s">
        <v>14</v>
      </c>
      <c r="K630" t="s">
        <v>21</v>
      </c>
      <c r="L630">
        <v>45746</v>
      </c>
      <c r="M630" t="s">
        <v>95</v>
      </c>
    </row>
    <row r="631" spans="1:13" x14ac:dyDescent="0.3">
      <c r="A631" t="s">
        <v>2299</v>
      </c>
      <c r="B631" t="s">
        <v>46</v>
      </c>
      <c r="C631" t="s">
        <v>25</v>
      </c>
      <c r="D631" t="s">
        <v>97</v>
      </c>
      <c r="E631">
        <v>3036</v>
      </c>
      <c r="F631" t="s">
        <v>2300</v>
      </c>
      <c r="G631" t="s">
        <v>2301</v>
      </c>
      <c r="H631" t="s">
        <v>2301</v>
      </c>
      <c r="I631" t="s">
        <v>100</v>
      </c>
      <c r="J631" t="s">
        <v>101</v>
      </c>
      <c r="K631" t="s">
        <v>21</v>
      </c>
      <c r="L631">
        <v>45739</v>
      </c>
      <c r="M631" t="s">
        <v>65</v>
      </c>
    </row>
    <row r="632" spans="1:13" x14ac:dyDescent="0.3">
      <c r="A632" t="s">
        <v>2302</v>
      </c>
      <c r="B632" t="s">
        <v>46</v>
      </c>
      <c r="C632" t="s">
        <v>22</v>
      </c>
      <c r="D632" t="s">
        <v>71</v>
      </c>
      <c r="E632">
        <v>3034</v>
      </c>
      <c r="F632" t="s">
        <v>2303</v>
      </c>
      <c r="G632" t="s">
        <v>2304</v>
      </c>
      <c r="H632" t="s">
        <v>2304</v>
      </c>
      <c r="I632" t="s">
        <v>74</v>
      </c>
      <c r="J632" t="s">
        <v>75</v>
      </c>
      <c r="K632" t="s">
        <v>21</v>
      </c>
      <c r="L632">
        <v>45731</v>
      </c>
      <c r="M632" t="s">
        <v>76</v>
      </c>
    </row>
    <row r="633" spans="1:13" x14ac:dyDescent="0.3">
      <c r="A633" t="s">
        <v>2305</v>
      </c>
      <c r="B633" t="s">
        <v>46</v>
      </c>
      <c r="C633" t="s">
        <v>26</v>
      </c>
      <c r="D633" t="s">
        <v>38</v>
      </c>
      <c r="E633">
        <v>3031</v>
      </c>
      <c r="F633" t="s">
        <v>2306</v>
      </c>
      <c r="G633" t="s">
        <v>2307</v>
      </c>
      <c r="H633" t="s">
        <v>2307</v>
      </c>
      <c r="I633" t="s">
        <v>42</v>
      </c>
      <c r="J633" t="s">
        <v>43</v>
      </c>
      <c r="L633">
        <v>45668</v>
      </c>
      <c r="M633" t="s">
        <v>287</v>
      </c>
    </row>
    <row r="634" spans="1:13" x14ac:dyDescent="0.3">
      <c r="A634" t="s">
        <v>2308</v>
      </c>
      <c r="B634" t="s">
        <v>37</v>
      </c>
      <c r="C634" t="s">
        <v>24</v>
      </c>
      <c r="D634" t="s">
        <v>97</v>
      </c>
      <c r="E634">
        <v>3036</v>
      </c>
      <c r="F634" t="s">
        <v>2309</v>
      </c>
      <c r="G634" t="s">
        <v>2310</v>
      </c>
      <c r="H634" t="s">
        <v>2310</v>
      </c>
      <c r="I634" t="s">
        <v>100</v>
      </c>
      <c r="J634" t="s">
        <v>101</v>
      </c>
      <c r="L634">
        <v>45735</v>
      </c>
      <c r="M634" t="s">
        <v>128</v>
      </c>
    </row>
    <row r="635" spans="1:13" x14ac:dyDescent="0.3">
      <c r="A635" t="s">
        <v>2311</v>
      </c>
      <c r="B635" t="s">
        <v>46</v>
      </c>
      <c r="C635" t="s">
        <v>24</v>
      </c>
      <c r="D635" t="s">
        <v>136</v>
      </c>
      <c r="E635">
        <v>3039</v>
      </c>
      <c r="F635" t="s">
        <v>2312</v>
      </c>
      <c r="G635" t="s">
        <v>2313</v>
      </c>
      <c r="H635" t="s">
        <v>2314</v>
      </c>
      <c r="I635" t="s">
        <v>15</v>
      </c>
      <c r="J635" t="s">
        <v>14</v>
      </c>
      <c r="L635">
        <v>45712</v>
      </c>
      <c r="M635" t="s">
        <v>140</v>
      </c>
    </row>
    <row r="636" spans="1:13" x14ac:dyDescent="0.3">
      <c r="A636" t="s">
        <v>2315</v>
      </c>
      <c r="B636" t="s">
        <v>46</v>
      </c>
      <c r="C636" t="s">
        <v>25</v>
      </c>
      <c r="D636" t="s">
        <v>136</v>
      </c>
      <c r="E636">
        <v>3039</v>
      </c>
      <c r="F636" t="s">
        <v>2316</v>
      </c>
      <c r="G636" t="s">
        <v>2317</v>
      </c>
      <c r="H636" t="s">
        <v>2318</v>
      </c>
      <c r="I636" t="s">
        <v>15</v>
      </c>
      <c r="J636" t="s">
        <v>14</v>
      </c>
      <c r="L636">
        <v>45716</v>
      </c>
      <c r="M636" t="s">
        <v>382</v>
      </c>
    </row>
    <row r="637" spans="1:13" x14ac:dyDescent="0.3">
      <c r="A637" t="s">
        <v>2319</v>
      </c>
      <c r="B637" t="s">
        <v>37</v>
      </c>
      <c r="C637" t="s">
        <v>26</v>
      </c>
      <c r="D637" t="s">
        <v>38</v>
      </c>
      <c r="E637">
        <v>3031</v>
      </c>
      <c r="F637" t="s">
        <v>2320</v>
      </c>
      <c r="G637" t="s">
        <v>2321</v>
      </c>
      <c r="H637" t="s">
        <v>2321</v>
      </c>
      <c r="I637" t="s">
        <v>42</v>
      </c>
      <c r="J637" t="s">
        <v>43</v>
      </c>
      <c r="K637" t="s">
        <v>21</v>
      </c>
      <c r="L637">
        <v>45669</v>
      </c>
      <c r="M637" t="s">
        <v>128</v>
      </c>
    </row>
    <row r="638" spans="1:13" x14ac:dyDescent="0.3">
      <c r="A638" t="s">
        <v>2322</v>
      </c>
      <c r="B638" t="s">
        <v>46</v>
      </c>
      <c r="C638" t="s">
        <v>26</v>
      </c>
      <c r="D638" t="s">
        <v>118</v>
      </c>
      <c r="E638">
        <v>3038</v>
      </c>
      <c r="F638" t="s">
        <v>2323</v>
      </c>
      <c r="G638" t="s">
        <v>2324</v>
      </c>
      <c r="H638" t="s">
        <v>2325</v>
      </c>
      <c r="I638" t="s">
        <v>122</v>
      </c>
      <c r="J638" t="s">
        <v>123</v>
      </c>
      <c r="L638">
        <v>45716</v>
      </c>
      <c r="M638" t="s">
        <v>200</v>
      </c>
    </row>
    <row r="639" spans="1:13" x14ac:dyDescent="0.3">
      <c r="A639" t="s">
        <v>2326</v>
      </c>
      <c r="B639" t="s">
        <v>37</v>
      </c>
      <c r="C639" t="s">
        <v>24</v>
      </c>
      <c r="D639" t="s">
        <v>78</v>
      </c>
      <c r="E639">
        <v>3035</v>
      </c>
      <c r="F639" t="s">
        <v>2327</v>
      </c>
      <c r="G639" t="s">
        <v>2328</v>
      </c>
      <c r="H639" t="s">
        <v>2328</v>
      </c>
      <c r="I639" t="s">
        <v>81</v>
      </c>
      <c r="J639" t="s">
        <v>82</v>
      </c>
      <c r="L639">
        <v>45717</v>
      </c>
      <c r="M639" t="s">
        <v>489</v>
      </c>
    </row>
    <row r="640" spans="1:13" x14ac:dyDescent="0.3">
      <c r="A640" t="s">
        <v>2329</v>
      </c>
      <c r="B640" t="s">
        <v>46</v>
      </c>
      <c r="C640" t="s">
        <v>26</v>
      </c>
      <c r="D640" t="s">
        <v>104</v>
      </c>
      <c r="E640">
        <v>3037</v>
      </c>
      <c r="F640" t="s">
        <v>2330</v>
      </c>
      <c r="G640" t="s">
        <v>2331</v>
      </c>
      <c r="H640" t="s">
        <v>2332</v>
      </c>
      <c r="I640" t="s">
        <v>12</v>
      </c>
      <c r="J640" t="s">
        <v>13</v>
      </c>
      <c r="K640" t="s">
        <v>21</v>
      </c>
      <c r="L640">
        <v>45724</v>
      </c>
      <c r="M640" t="s">
        <v>224</v>
      </c>
    </row>
    <row r="641" spans="1:13" x14ac:dyDescent="0.3">
      <c r="A641" t="s">
        <v>2333</v>
      </c>
      <c r="B641" t="s">
        <v>46</v>
      </c>
      <c r="C641" t="s">
        <v>25</v>
      </c>
      <c r="D641" t="s">
        <v>191</v>
      </c>
      <c r="E641">
        <v>3040</v>
      </c>
      <c r="F641" t="s">
        <v>2334</v>
      </c>
      <c r="G641" t="s">
        <v>2335</v>
      </c>
      <c r="H641" t="s">
        <v>2336</v>
      </c>
      <c r="I641" t="s">
        <v>194</v>
      </c>
      <c r="J641" t="s">
        <v>13</v>
      </c>
      <c r="K641" t="s">
        <v>21</v>
      </c>
      <c r="L641">
        <v>45703</v>
      </c>
      <c r="M641" t="s">
        <v>224</v>
      </c>
    </row>
    <row r="642" spans="1:13" x14ac:dyDescent="0.3">
      <c r="A642" t="s">
        <v>2337</v>
      </c>
      <c r="B642" t="s">
        <v>46</v>
      </c>
      <c r="C642" t="s">
        <v>25</v>
      </c>
      <c r="D642" t="s">
        <v>97</v>
      </c>
      <c r="E642">
        <v>3036</v>
      </c>
      <c r="F642" t="s">
        <v>2338</v>
      </c>
      <c r="G642" t="s">
        <v>2339</v>
      </c>
      <c r="H642" t="s">
        <v>2340</v>
      </c>
      <c r="I642" t="s">
        <v>100</v>
      </c>
      <c r="J642" t="s">
        <v>101</v>
      </c>
      <c r="L642">
        <v>45714</v>
      </c>
      <c r="M642" t="s">
        <v>165</v>
      </c>
    </row>
    <row r="643" spans="1:13" x14ac:dyDescent="0.3">
      <c r="A643" t="s">
        <v>2341</v>
      </c>
      <c r="B643" t="s">
        <v>46</v>
      </c>
      <c r="C643" t="s">
        <v>26</v>
      </c>
      <c r="D643" t="s">
        <v>104</v>
      </c>
      <c r="E643">
        <v>3037</v>
      </c>
      <c r="F643" t="s">
        <v>2342</v>
      </c>
      <c r="G643" t="s">
        <v>2343</v>
      </c>
      <c r="H643" t="s">
        <v>2343</v>
      </c>
      <c r="I643" t="s">
        <v>12</v>
      </c>
      <c r="J643" t="s">
        <v>13</v>
      </c>
      <c r="K643" t="s">
        <v>21</v>
      </c>
      <c r="L643">
        <v>45671</v>
      </c>
      <c r="M643" t="s">
        <v>287</v>
      </c>
    </row>
    <row r="644" spans="1:13" x14ac:dyDescent="0.3">
      <c r="A644" t="s">
        <v>2344</v>
      </c>
      <c r="B644" t="s">
        <v>37</v>
      </c>
      <c r="C644" t="s">
        <v>26</v>
      </c>
      <c r="D644" t="s">
        <v>207</v>
      </c>
      <c r="E644">
        <v>3041</v>
      </c>
      <c r="F644" t="s">
        <v>2345</v>
      </c>
      <c r="G644" t="s">
        <v>2346</v>
      </c>
      <c r="H644" t="s">
        <v>2346</v>
      </c>
      <c r="I644" t="s">
        <v>211</v>
      </c>
      <c r="J644" t="s">
        <v>14</v>
      </c>
      <c r="L644">
        <v>45717</v>
      </c>
      <c r="M644" t="s">
        <v>128</v>
      </c>
    </row>
    <row r="645" spans="1:13" x14ac:dyDescent="0.3">
      <c r="A645" t="s">
        <v>2347</v>
      </c>
      <c r="B645" t="s">
        <v>46</v>
      </c>
      <c r="C645" t="s">
        <v>24</v>
      </c>
      <c r="D645" t="s">
        <v>71</v>
      </c>
      <c r="E645">
        <v>3034</v>
      </c>
      <c r="F645" t="s">
        <v>2348</v>
      </c>
      <c r="G645" t="s">
        <v>2349</v>
      </c>
      <c r="H645" t="s">
        <v>2350</v>
      </c>
      <c r="I645" t="s">
        <v>74</v>
      </c>
      <c r="J645" t="s">
        <v>75</v>
      </c>
      <c r="L645">
        <v>45672</v>
      </c>
      <c r="M645" t="s">
        <v>165</v>
      </c>
    </row>
    <row r="646" spans="1:13" x14ac:dyDescent="0.3">
      <c r="A646" t="s">
        <v>2351</v>
      </c>
      <c r="B646" t="s">
        <v>37</v>
      </c>
      <c r="C646" t="s">
        <v>24</v>
      </c>
      <c r="D646" t="s">
        <v>47</v>
      </c>
      <c r="E646">
        <v>3032</v>
      </c>
      <c r="F646" t="s">
        <v>2352</v>
      </c>
      <c r="G646" t="s">
        <v>2353</v>
      </c>
      <c r="H646" t="s">
        <v>2353</v>
      </c>
      <c r="I646" t="s">
        <v>51</v>
      </c>
      <c r="J646" t="s">
        <v>52</v>
      </c>
      <c r="L646">
        <v>45661</v>
      </c>
      <c r="M646" t="s">
        <v>177</v>
      </c>
    </row>
    <row r="647" spans="1:13" x14ac:dyDescent="0.3">
      <c r="A647" t="s">
        <v>2354</v>
      </c>
      <c r="B647" t="s">
        <v>46</v>
      </c>
      <c r="C647" t="s">
        <v>25</v>
      </c>
      <c r="D647" t="s">
        <v>136</v>
      </c>
      <c r="E647">
        <v>3039</v>
      </c>
      <c r="F647" t="s">
        <v>2355</v>
      </c>
      <c r="G647" t="s">
        <v>2356</v>
      </c>
      <c r="H647" t="s">
        <v>2357</v>
      </c>
      <c r="I647" t="s">
        <v>15</v>
      </c>
      <c r="J647" t="s">
        <v>14</v>
      </c>
      <c r="L647">
        <v>45677</v>
      </c>
      <c r="M647" t="s">
        <v>389</v>
      </c>
    </row>
    <row r="648" spans="1:13" x14ac:dyDescent="0.3">
      <c r="A648" t="s">
        <v>2358</v>
      </c>
      <c r="B648" t="s">
        <v>37</v>
      </c>
      <c r="C648" t="s">
        <v>26</v>
      </c>
      <c r="D648" t="s">
        <v>444</v>
      </c>
      <c r="E648">
        <v>3042</v>
      </c>
      <c r="F648" t="s">
        <v>2359</v>
      </c>
      <c r="G648" t="s">
        <v>2360</v>
      </c>
      <c r="H648" t="s">
        <v>2361</v>
      </c>
      <c r="I648" t="s">
        <v>448</v>
      </c>
      <c r="J648" t="s">
        <v>449</v>
      </c>
      <c r="L648">
        <v>45681</v>
      </c>
      <c r="M648" t="s">
        <v>363</v>
      </c>
    </row>
    <row r="649" spans="1:13" x14ac:dyDescent="0.3">
      <c r="A649" t="s">
        <v>2362</v>
      </c>
      <c r="B649" t="s">
        <v>37</v>
      </c>
      <c r="C649" t="s">
        <v>24</v>
      </c>
      <c r="D649" t="s">
        <v>47</v>
      </c>
      <c r="E649">
        <v>3032</v>
      </c>
      <c r="F649" t="s">
        <v>2363</v>
      </c>
      <c r="G649" t="s">
        <v>2364</v>
      </c>
      <c r="H649" t="s">
        <v>2365</v>
      </c>
      <c r="I649" t="s">
        <v>51</v>
      </c>
      <c r="J649" t="s">
        <v>52</v>
      </c>
      <c r="K649" t="s">
        <v>21</v>
      </c>
      <c r="L649">
        <v>45739</v>
      </c>
      <c r="M649" t="s">
        <v>90</v>
      </c>
    </row>
    <row r="650" spans="1:13" x14ac:dyDescent="0.3">
      <c r="A650" t="s">
        <v>2366</v>
      </c>
      <c r="B650" t="s">
        <v>37</v>
      </c>
      <c r="C650" t="s">
        <v>25</v>
      </c>
      <c r="D650" t="s">
        <v>191</v>
      </c>
      <c r="E650">
        <v>3040</v>
      </c>
      <c r="F650" t="s">
        <v>2367</v>
      </c>
      <c r="G650" t="s">
        <v>2368</v>
      </c>
      <c r="H650" t="s">
        <v>2368</v>
      </c>
      <c r="I650" t="s">
        <v>194</v>
      </c>
      <c r="J650" t="s">
        <v>13</v>
      </c>
      <c r="L650">
        <v>45721</v>
      </c>
      <c r="M650" t="s">
        <v>717</v>
      </c>
    </row>
    <row r="651" spans="1:13" x14ac:dyDescent="0.3">
      <c r="A651" t="s">
        <v>2369</v>
      </c>
      <c r="B651" t="s">
        <v>46</v>
      </c>
      <c r="C651" t="s">
        <v>22</v>
      </c>
      <c r="D651" t="s">
        <v>97</v>
      </c>
      <c r="E651">
        <v>3036</v>
      </c>
      <c r="F651" t="s">
        <v>2370</v>
      </c>
      <c r="G651" t="s">
        <v>2371</v>
      </c>
      <c r="H651" t="s">
        <v>2372</v>
      </c>
      <c r="I651" t="s">
        <v>100</v>
      </c>
      <c r="J651" t="s">
        <v>101</v>
      </c>
      <c r="L651">
        <v>45711</v>
      </c>
      <c r="M651" t="s">
        <v>102</v>
      </c>
    </row>
    <row r="652" spans="1:13" x14ac:dyDescent="0.3">
      <c r="A652" t="s">
        <v>2373</v>
      </c>
      <c r="B652" t="s">
        <v>37</v>
      </c>
      <c r="C652" t="s">
        <v>22</v>
      </c>
      <c r="D652" t="s">
        <v>207</v>
      </c>
      <c r="E652">
        <v>3041</v>
      </c>
      <c r="F652" t="s">
        <v>2374</v>
      </c>
      <c r="G652" t="s">
        <v>2375</v>
      </c>
      <c r="H652" t="s">
        <v>2375</v>
      </c>
      <c r="I652" t="s">
        <v>211</v>
      </c>
      <c r="J652" t="s">
        <v>14</v>
      </c>
      <c r="K652" t="s">
        <v>21</v>
      </c>
      <c r="L652">
        <v>45695</v>
      </c>
      <c r="M652" t="s">
        <v>577</v>
      </c>
    </row>
    <row r="653" spans="1:13" x14ac:dyDescent="0.3">
      <c r="A653" t="s">
        <v>2376</v>
      </c>
      <c r="B653" t="s">
        <v>37</v>
      </c>
      <c r="C653" t="s">
        <v>26</v>
      </c>
      <c r="D653" t="s">
        <v>78</v>
      </c>
      <c r="E653">
        <v>3035</v>
      </c>
      <c r="F653" t="s">
        <v>2377</v>
      </c>
      <c r="G653" t="s">
        <v>2378</v>
      </c>
      <c r="H653" t="s">
        <v>2379</v>
      </c>
      <c r="I653" t="s">
        <v>81</v>
      </c>
      <c r="J653" t="s">
        <v>82</v>
      </c>
      <c r="L653">
        <v>45738</v>
      </c>
      <c r="M653" t="s">
        <v>489</v>
      </c>
    </row>
    <row r="654" spans="1:13" x14ac:dyDescent="0.3">
      <c r="A654" t="s">
        <v>2380</v>
      </c>
      <c r="B654" t="s">
        <v>37</v>
      </c>
      <c r="C654" t="s">
        <v>24</v>
      </c>
      <c r="D654" t="s">
        <v>38</v>
      </c>
      <c r="E654">
        <v>3031</v>
      </c>
      <c r="F654" t="s">
        <v>2381</v>
      </c>
      <c r="G654" t="s">
        <v>2382</v>
      </c>
      <c r="H654" t="s">
        <v>2383</v>
      </c>
      <c r="I654" t="s">
        <v>42</v>
      </c>
      <c r="J654" t="s">
        <v>43</v>
      </c>
      <c r="L654">
        <v>45717</v>
      </c>
      <c r="M654" t="s">
        <v>44</v>
      </c>
    </row>
    <row r="655" spans="1:13" x14ac:dyDescent="0.3">
      <c r="A655" t="s">
        <v>2384</v>
      </c>
      <c r="B655" t="s">
        <v>46</v>
      </c>
      <c r="C655" t="s">
        <v>25</v>
      </c>
      <c r="D655" t="s">
        <v>191</v>
      </c>
      <c r="E655">
        <v>3040</v>
      </c>
      <c r="F655" t="s">
        <v>2385</v>
      </c>
      <c r="G655" t="s">
        <v>2386</v>
      </c>
      <c r="H655" t="s">
        <v>2387</v>
      </c>
      <c r="I655" t="s">
        <v>194</v>
      </c>
      <c r="J655" t="s">
        <v>13</v>
      </c>
      <c r="K655" t="s">
        <v>21</v>
      </c>
      <c r="L655">
        <v>45686</v>
      </c>
      <c r="M655" t="s">
        <v>321</v>
      </c>
    </row>
    <row r="656" spans="1:13" x14ac:dyDescent="0.3">
      <c r="A656" t="s">
        <v>2388</v>
      </c>
      <c r="B656" t="s">
        <v>46</v>
      </c>
      <c r="C656" t="s">
        <v>24</v>
      </c>
      <c r="D656" t="s">
        <v>104</v>
      </c>
      <c r="E656">
        <v>3037</v>
      </c>
      <c r="F656" t="s">
        <v>2389</v>
      </c>
      <c r="G656" t="s">
        <v>2390</v>
      </c>
      <c r="H656" t="s">
        <v>2390</v>
      </c>
      <c r="I656" t="s">
        <v>12</v>
      </c>
      <c r="J656" t="s">
        <v>13</v>
      </c>
      <c r="K656" t="s">
        <v>21</v>
      </c>
      <c r="L656">
        <v>45686</v>
      </c>
      <c r="M656" t="s">
        <v>287</v>
      </c>
    </row>
    <row r="657" spans="1:13" x14ac:dyDescent="0.3">
      <c r="A657" t="s">
        <v>2391</v>
      </c>
      <c r="B657" t="s">
        <v>46</v>
      </c>
      <c r="C657" t="s">
        <v>22</v>
      </c>
      <c r="D657" t="s">
        <v>55</v>
      </c>
      <c r="E657">
        <v>3033</v>
      </c>
      <c r="F657" t="s">
        <v>2392</v>
      </c>
      <c r="G657" t="s">
        <v>2393</v>
      </c>
      <c r="H657" t="s">
        <v>2393</v>
      </c>
      <c r="I657" t="s">
        <v>58</v>
      </c>
      <c r="J657" t="s">
        <v>59</v>
      </c>
      <c r="K657" t="s">
        <v>21</v>
      </c>
      <c r="L657">
        <v>45692</v>
      </c>
      <c r="M657" t="s">
        <v>86</v>
      </c>
    </row>
    <row r="658" spans="1:13" x14ac:dyDescent="0.3">
      <c r="A658" t="s">
        <v>2394</v>
      </c>
      <c r="B658" t="s">
        <v>37</v>
      </c>
      <c r="C658" t="s">
        <v>22</v>
      </c>
      <c r="D658" t="s">
        <v>191</v>
      </c>
      <c r="E658">
        <v>3040</v>
      </c>
      <c r="F658" t="s">
        <v>2395</v>
      </c>
      <c r="G658" t="s">
        <v>2396</v>
      </c>
      <c r="H658" t="s">
        <v>2397</v>
      </c>
      <c r="I658" t="s">
        <v>194</v>
      </c>
      <c r="J658" t="s">
        <v>13</v>
      </c>
      <c r="K658" t="s">
        <v>21</v>
      </c>
      <c r="L658">
        <v>45662</v>
      </c>
      <c r="M658" t="s">
        <v>321</v>
      </c>
    </row>
    <row r="659" spans="1:13" x14ac:dyDescent="0.3">
      <c r="A659" t="s">
        <v>2398</v>
      </c>
      <c r="B659" t="s">
        <v>37</v>
      </c>
      <c r="C659" t="s">
        <v>25</v>
      </c>
      <c r="D659" t="s">
        <v>191</v>
      </c>
      <c r="E659">
        <v>3040</v>
      </c>
      <c r="F659" t="s">
        <v>2399</v>
      </c>
      <c r="G659" t="s">
        <v>2400</v>
      </c>
      <c r="H659" t="s">
        <v>2400</v>
      </c>
      <c r="I659" t="s">
        <v>194</v>
      </c>
      <c r="J659" t="s">
        <v>13</v>
      </c>
      <c r="L659">
        <v>45665</v>
      </c>
      <c r="M659" t="s">
        <v>160</v>
      </c>
    </row>
    <row r="660" spans="1:13" x14ac:dyDescent="0.3">
      <c r="A660" t="s">
        <v>2401</v>
      </c>
      <c r="B660" t="s">
        <v>37</v>
      </c>
      <c r="C660" t="s">
        <v>22</v>
      </c>
      <c r="D660" t="s">
        <v>78</v>
      </c>
      <c r="E660">
        <v>3035</v>
      </c>
      <c r="F660" t="s">
        <v>2402</v>
      </c>
      <c r="G660" t="s">
        <v>2403</v>
      </c>
      <c r="H660" t="s">
        <v>2404</v>
      </c>
      <c r="I660" t="s">
        <v>81</v>
      </c>
      <c r="J660" t="s">
        <v>82</v>
      </c>
      <c r="L660">
        <v>45702</v>
      </c>
      <c r="M660" t="s">
        <v>95</v>
      </c>
    </row>
    <row r="661" spans="1:13" x14ac:dyDescent="0.3">
      <c r="A661" t="s">
        <v>2405</v>
      </c>
      <c r="B661" t="s">
        <v>46</v>
      </c>
      <c r="C661" t="s">
        <v>26</v>
      </c>
      <c r="D661" t="s">
        <v>118</v>
      </c>
      <c r="E661">
        <v>3038</v>
      </c>
      <c r="F661" t="s">
        <v>2406</v>
      </c>
      <c r="G661" t="s">
        <v>2407</v>
      </c>
      <c r="H661" t="s">
        <v>2408</v>
      </c>
      <c r="I661" t="s">
        <v>122</v>
      </c>
      <c r="J661" t="s">
        <v>123</v>
      </c>
      <c r="K661" t="s">
        <v>21</v>
      </c>
      <c r="L661">
        <v>45676</v>
      </c>
      <c r="M661" t="s">
        <v>200</v>
      </c>
    </row>
    <row r="662" spans="1:13" x14ac:dyDescent="0.3">
      <c r="A662" t="s">
        <v>2409</v>
      </c>
      <c r="B662" t="s">
        <v>46</v>
      </c>
      <c r="C662" t="s">
        <v>26</v>
      </c>
      <c r="D662" t="s">
        <v>55</v>
      </c>
      <c r="E662">
        <v>3033</v>
      </c>
      <c r="F662" t="s">
        <v>2410</v>
      </c>
      <c r="G662" t="s">
        <v>2411</v>
      </c>
      <c r="H662" t="s">
        <v>2412</v>
      </c>
      <c r="I662" t="s">
        <v>58</v>
      </c>
      <c r="J662" t="s">
        <v>59</v>
      </c>
      <c r="L662">
        <v>45666</v>
      </c>
      <c r="M662" t="s">
        <v>86</v>
      </c>
    </row>
    <row r="663" spans="1:13" x14ac:dyDescent="0.3">
      <c r="A663" t="s">
        <v>2413</v>
      </c>
      <c r="B663" t="s">
        <v>37</v>
      </c>
      <c r="C663" t="s">
        <v>26</v>
      </c>
      <c r="D663" t="s">
        <v>191</v>
      </c>
      <c r="E663">
        <v>3040</v>
      </c>
      <c r="F663" t="s">
        <v>2414</v>
      </c>
      <c r="G663" t="s">
        <v>2415</v>
      </c>
      <c r="H663" t="s">
        <v>2415</v>
      </c>
      <c r="I663" t="s">
        <v>194</v>
      </c>
      <c r="J663" t="s">
        <v>13</v>
      </c>
      <c r="L663">
        <v>45705</v>
      </c>
      <c r="M663" t="s">
        <v>321</v>
      </c>
    </row>
    <row r="664" spans="1:13" x14ac:dyDescent="0.3">
      <c r="A664" t="s">
        <v>2416</v>
      </c>
      <c r="B664" t="s">
        <v>46</v>
      </c>
      <c r="C664" t="s">
        <v>26</v>
      </c>
      <c r="D664" t="s">
        <v>207</v>
      </c>
      <c r="E664">
        <v>3041</v>
      </c>
      <c r="F664" t="s">
        <v>2417</v>
      </c>
      <c r="G664" t="s">
        <v>2418</v>
      </c>
      <c r="H664" t="s">
        <v>2418</v>
      </c>
      <c r="I664" t="s">
        <v>211</v>
      </c>
      <c r="J664" t="s">
        <v>14</v>
      </c>
      <c r="K664" t="s">
        <v>21</v>
      </c>
      <c r="L664">
        <v>45667</v>
      </c>
      <c r="M664" t="s">
        <v>300</v>
      </c>
    </row>
    <row r="665" spans="1:13" x14ac:dyDescent="0.3">
      <c r="A665" t="s">
        <v>2419</v>
      </c>
      <c r="B665" t="s">
        <v>37</v>
      </c>
      <c r="C665" t="s">
        <v>22</v>
      </c>
      <c r="D665" t="s">
        <v>136</v>
      </c>
      <c r="E665">
        <v>3039</v>
      </c>
      <c r="F665" t="s">
        <v>2420</v>
      </c>
      <c r="G665" t="s">
        <v>2421</v>
      </c>
      <c r="H665" t="s">
        <v>2421</v>
      </c>
      <c r="I665" t="s">
        <v>15</v>
      </c>
      <c r="J665" t="s">
        <v>14</v>
      </c>
      <c r="L665">
        <v>45680</v>
      </c>
      <c r="M665" t="s">
        <v>160</v>
      </c>
    </row>
    <row r="666" spans="1:13" x14ac:dyDescent="0.3">
      <c r="A666" t="s">
        <v>2422</v>
      </c>
      <c r="B666" t="s">
        <v>37</v>
      </c>
      <c r="C666" t="s">
        <v>25</v>
      </c>
      <c r="D666" t="s">
        <v>136</v>
      </c>
      <c r="E666">
        <v>3039</v>
      </c>
      <c r="F666" t="s">
        <v>2423</v>
      </c>
      <c r="G666" t="s">
        <v>2424</v>
      </c>
      <c r="H666" t="s">
        <v>2424</v>
      </c>
      <c r="I666" t="s">
        <v>15</v>
      </c>
      <c r="J666" t="s">
        <v>14</v>
      </c>
      <c r="L666">
        <v>45718</v>
      </c>
      <c r="M666" t="s">
        <v>382</v>
      </c>
    </row>
    <row r="667" spans="1:13" x14ac:dyDescent="0.3">
      <c r="A667" t="s">
        <v>2425</v>
      </c>
      <c r="B667" t="s">
        <v>46</v>
      </c>
      <c r="C667" t="s">
        <v>25</v>
      </c>
      <c r="D667" t="s">
        <v>136</v>
      </c>
      <c r="E667">
        <v>3039</v>
      </c>
      <c r="F667" t="s">
        <v>1361</v>
      </c>
      <c r="G667" t="s">
        <v>2426</v>
      </c>
      <c r="H667" t="s">
        <v>2427</v>
      </c>
      <c r="I667" t="s">
        <v>15</v>
      </c>
      <c r="J667" t="s">
        <v>14</v>
      </c>
      <c r="L667">
        <v>45680</v>
      </c>
      <c r="M667" t="s">
        <v>140</v>
      </c>
    </row>
    <row r="668" spans="1:13" x14ac:dyDescent="0.3">
      <c r="A668" t="s">
        <v>2428</v>
      </c>
      <c r="B668" t="s">
        <v>37</v>
      </c>
      <c r="C668" t="s">
        <v>26</v>
      </c>
      <c r="D668" t="s">
        <v>136</v>
      </c>
      <c r="E668">
        <v>3039</v>
      </c>
      <c r="F668" t="s">
        <v>2429</v>
      </c>
      <c r="G668" t="s">
        <v>2430</v>
      </c>
      <c r="H668" t="s">
        <v>2430</v>
      </c>
      <c r="I668" t="s">
        <v>15</v>
      </c>
      <c r="J668" t="s">
        <v>14</v>
      </c>
      <c r="L668">
        <v>45735</v>
      </c>
      <c r="M668" t="s">
        <v>577</v>
      </c>
    </row>
    <row r="669" spans="1:13" x14ac:dyDescent="0.3">
      <c r="A669" t="s">
        <v>2431</v>
      </c>
      <c r="B669" t="s">
        <v>46</v>
      </c>
      <c r="C669" t="s">
        <v>24</v>
      </c>
      <c r="D669" t="s">
        <v>118</v>
      </c>
      <c r="E669">
        <v>3038</v>
      </c>
      <c r="F669" t="s">
        <v>2432</v>
      </c>
      <c r="G669" t="s">
        <v>2433</v>
      </c>
      <c r="H669" t="s">
        <v>2433</v>
      </c>
      <c r="I669" t="s">
        <v>122</v>
      </c>
      <c r="J669" t="s">
        <v>123</v>
      </c>
      <c r="L669">
        <v>45677</v>
      </c>
      <c r="M669" t="s">
        <v>389</v>
      </c>
    </row>
    <row r="670" spans="1:13" x14ac:dyDescent="0.3">
      <c r="A670" t="s">
        <v>2434</v>
      </c>
      <c r="B670" t="s">
        <v>37</v>
      </c>
      <c r="C670" t="s">
        <v>25</v>
      </c>
      <c r="D670" t="s">
        <v>97</v>
      </c>
      <c r="E670">
        <v>3036</v>
      </c>
      <c r="F670" t="s">
        <v>2435</v>
      </c>
      <c r="G670" t="s">
        <v>2436</v>
      </c>
      <c r="H670" t="s">
        <v>2437</v>
      </c>
      <c r="I670" t="s">
        <v>100</v>
      </c>
      <c r="J670" t="s">
        <v>101</v>
      </c>
      <c r="L670">
        <v>45743</v>
      </c>
      <c r="M670" t="s">
        <v>102</v>
      </c>
    </row>
    <row r="671" spans="1:13" x14ac:dyDescent="0.3">
      <c r="A671" t="s">
        <v>2438</v>
      </c>
      <c r="B671" t="s">
        <v>46</v>
      </c>
      <c r="C671" t="s">
        <v>24</v>
      </c>
      <c r="D671" t="s">
        <v>78</v>
      </c>
      <c r="E671">
        <v>3035</v>
      </c>
      <c r="F671" t="s">
        <v>2439</v>
      </c>
      <c r="G671" t="s">
        <v>2440</v>
      </c>
      <c r="H671" t="s">
        <v>2440</v>
      </c>
      <c r="I671" t="s">
        <v>81</v>
      </c>
      <c r="J671" t="s">
        <v>82</v>
      </c>
      <c r="K671" t="s">
        <v>21</v>
      </c>
      <c r="L671">
        <v>45669</v>
      </c>
      <c r="M671" t="s">
        <v>69</v>
      </c>
    </row>
    <row r="672" spans="1:13" x14ac:dyDescent="0.3">
      <c r="A672" t="s">
        <v>2441</v>
      </c>
      <c r="B672" t="s">
        <v>37</v>
      </c>
      <c r="C672" t="s">
        <v>26</v>
      </c>
      <c r="D672" t="s">
        <v>207</v>
      </c>
      <c r="E672">
        <v>3041</v>
      </c>
      <c r="F672" t="s">
        <v>2442</v>
      </c>
      <c r="G672" t="s">
        <v>2443</v>
      </c>
      <c r="H672" t="s">
        <v>2443</v>
      </c>
      <c r="I672" t="s">
        <v>211</v>
      </c>
      <c r="J672" t="s">
        <v>14</v>
      </c>
      <c r="L672">
        <v>45726</v>
      </c>
      <c r="M672" t="s">
        <v>128</v>
      </c>
    </row>
    <row r="673" spans="1:13" x14ac:dyDescent="0.3">
      <c r="A673" t="s">
        <v>2444</v>
      </c>
      <c r="B673" t="s">
        <v>37</v>
      </c>
      <c r="C673" t="s">
        <v>26</v>
      </c>
      <c r="D673" t="s">
        <v>55</v>
      </c>
      <c r="E673">
        <v>3033</v>
      </c>
      <c r="F673" t="s">
        <v>2445</v>
      </c>
      <c r="G673" t="s">
        <v>2446</v>
      </c>
      <c r="H673" t="s">
        <v>2446</v>
      </c>
      <c r="I673" t="s">
        <v>58</v>
      </c>
      <c r="J673" t="s">
        <v>59</v>
      </c>
      <c r="L673">
        <v>45742</v>
      </c>
      <c r="M673" t="s">
        <v>69</v>
      </c>
    </row>
    <row r="674" spans="1:13" x14ac:dyDescent="0.3">
      <c r="A674" t="s">
        <v>2447</v>
      </c>
      <c r="B674" t="s">
        <v>46</v>
      </c>
      <c r="C674" t="s">
        <v>26</v>
      </c>
      <c r="D674" t="s">
        <v>97</v>
      </c>
      <c r="E674">
        <v>3036</v>
      </c>
      <c r="F674" t="s">
        <v>2448</v>
      </c>
      <c r="G674" t="s">
        <v>2449</v>
      </c>
      <c r="H674" t="s">
        <v>2450</v>
      </c>
      <c r="I674" t="s">
        <v>100</v>
      </c>
      <c r="J674" t="s">
        <v>101</v>
      </c>
      <c r="K674" t="s">
        <v>21</v>
      </c>
      <c r="L674">
        <v>45669</v>
      </c>
      <c r="M674" t="s">
        <v>128</v>
      </c>
    </row>
    <row r="675" spans="1:13" x14ac:dyDescent="0.3">
      <c r="A675" t="s">
        <v>2451</v>
      </c>
      <c r="B675" t="s">
        <v>37</v>
      </c>
      <c r="C675" t="s">
        <v>26</v>
      </c>
      <c r="D675" t="s">
        <v>78</v>
      </c>
      <c r="E675">
        <v>3035</v>
      </c>
      <c r="F675" t="s">
        <v>2452</v>
      </c>
      <c r="G675" t="s">
        <v>2453</v>
      </c>
      <c r="H675" t="s">
        <v>2453</v>
      </c>
      <c r="I675" t="s">
        <v>81</v>
      </c>
      <c r="J675" t="s">
        <v>82</v>
      </c>
      <c r="L675">
        <v>45694</v>
      </c>
      <c r="M675" t="s">
        <v>205</v>
      </c>
    </row>
    <row r="676" spans="1:13" x14ac:dyDescent="0.3">
      <c r="A676" t="s">
        <v>2454</v>
      </c>
      <c r="B676" t="s">
        <v>37</v>
      </c>
      <c r="C676" t="s">
        <v>24</v>
      </c>
      <c r="D676" t="s">
        <v>71</v>
      </c>
      <c r="E676">
        <v>3034</v>
      </c>
      <c r="F676" t="s">
        <v>2455</v>
      </c>
      <c r="G676" t="s">
        <v>2456</v>
      </c>
      <c r="H676" t="s">
        <v>2457</v>
      </c>
      <c r="I676" t="s">
        <v>74</v>
      </c>
      <c r="J676" t="s">
        <v>75</v>
      </c>
      <c r="K676" t="s">
        <v>21</v>
      </c>
      <c r="L676">
        <v>45745</v>
      </c>
      <c r="M676" t="s">
        <v>76</v>
      </c>
    </row>
    <row r="677" spans="1:13" x14ac:dyDescent="0.3">
      <c r="A677" t="s">
        <v>2458</v>
      </c>
      <c r="B677" t="s">
        <v>46</v>
      </c>
      <c r="C677" t="s">
        <v>24</v>
      </c>
      <c r="D677" t="s">
        <v>78</v>
      </c>
      <c r="E677">
        <v>3035</v>
      </c>
      <c r="F677" t="s">
        <v>2459</v>
      </c>
      <c r="G677" t="s">
        <v>2460</v>
      </c>
      <c r="H677" t="s">
        <v>2461</v>
      </c>
      <c r="I677" t="s">
        <v>81</v>
      </c>
      <c r="J677" t="s">
        <v>82</v>
      </c>
      <c r="K677" t="s">
        <v>21</v>
      </c>
      <c r="L677">
        <v>45688</v>
      </c>
      <c r="M677" t="s">
        <v>489</v>
      </c>
    </row>
    <row r="678" spans="1:13" x14ac:dyDescent="0.3">
      <c r="A678" t="s">
        <v>2462</v>
      </c>
      <c r="B678" t="s">
        <v>46</v>
      </c>
      <c r="C678" t="s">
        <v>24</v>
      </c>
      <c r="D678" t="s">
        <v>136</v>
      </c>
      <c r="E678">
        <v>3039</v>
      </c>
      <c r="F678" t="s">
        <v>2463</v>
      </c>
      <c r="G678" t="s">
        <v>2464</v>
      </c>
      <c r="H678" t="s">
        <v>2464</v>
      </c>
      <c r="I678" t="s">
        <v>15</v>
      </c>
      <c r="J678" t="s">
        <v>14</v>
      </c>
      <c r="K678" t="s">
        <v>21</v>
      </c>
      <c r="L678">
        <v>45698</v>
      </c>
      <c r="M678" t="s">
        <v>200</v>
      </c>
    </row>
    <row r="679" spans="1:13" x14ac:dyDescent="0.3">
      <c r="A679" t="s">
        <v>2465</v>
      </c>
      <c r="B679" t="s">
        <v>46</v>
      </c>
      <c r="C679" t="s">
        <v>26</v>
      </c>
      <c r="D679" t="s">
        <v>104</v>
      </c>
      <c r="E679">
        <v>3037</v>
      </c>
      <c r="F679" t="s">
        <v>2466</v>
      </c>
      <c r="G679" t="s">
        <v>2467</v>
      </c>
      <c r="H679" t="s">
        <v>2468</v>
      </c>
      <c r="I679" t="s">
        <v>12</v>
      </c>
      <c r="J679" t="s">
        <v>13</v>
      </c>
      <c r="L679">
        <v>45701</v>
      </c>
      <c r="M679" t="s">
        <v>76</v>
      </c>
    </row>
    <row r="680" spans="1:13" x14ac:dyDescent="0.3">
      <c r="A680" t="s">
        <v>2469</v>
      </c>
      <c r="B680" t="s">
        <v>37</v>
      </c>
      <c r="C680" t="s">
        <v>26</v>
      </c>
      <c r="D680" t="s">
        <v>55</v>
      </c>
      <c r="E680">
        <v>3033</v>
      </c>
      <c r="F680" t="s">
        <v>2470</v>
      </c>
      <c r="G680" t="s">
        <v>2471</v>
      </c>
      <c r="H680" t="s">
        <v>2472</v>
      </c>
      <c r="I680" t="s">
        <v>58</v>
      </c>
      <c r="J680" t="s">
        <v>59</v>
      </c>
      <c r="K680" t="s">
        <v>21</v>
      </c>
      <c r="L680">
        <v>45661</v>
      </c>
      <c r="M680" t="s">
        <v>90</v>
      </c>
    </row>
    <row r="681" spans="1:13" x14ac:dyDescent="0.3">
      <c r="A681" t="s">
        <v>2473</v>
      </c>
      <c r="B681" t="s">
        <v>46</v>
      </c>
      <c r="C681" t="s">
        <v>24</v>
      </c>
      <c r="D681" t="s">
        <v>207</v>
      </c>
      <c r="E681">
        <v>3041</v>
      </c>
      <c r="F681" t="s">
        <v>2474</v>
      </c>
      <c r="G681" t="s">
        <v>2475</v>
      </c>
      <c r="H681" t="s">
        <v>2476</v>
      </c>
      <c r="I681" t="s">
        <v>211</v>
      </c>
      <c r="J681" t="s">
        <v>14</v>
      </c>
      <c r="L681">
        <v>45731</v>
      </c>
      <c r="M681" t="s">
        <v>128</v>
      </c>
    </row>
    <row r="682" spans="1:13" x14ac:dyDescent="0.3">
      <c r="A682" t="s">
        <v>2477</v>
      </c>
      <c r="B682" t="s">
        <v>46</v>
      </c>
      <c r="C682" t="s">
        <v>25</v>
      </c>
      <c r="D682" t="s">
        <v>97</v>
      </c>
      <c r="E682">
        <v>3036</v>
      </c>
      <c r="F682" t="s">
        <v>2478</v>
      </c>
      <c r="G682" t="s">
        <v>2479</v>
      </c>
      <c r="H682" t="s">
        <v>2480</v>
      </c>
      <c r="I682" t="s">
        <v>100</v>
      </c>
      <c r="J682" t="s">
        <v>101</v>
      </c>
      <c r="L682">
        <v>45739</v>
      </c>
      <c r="M682" t="s">
        <v>165</v>
      </c>
    </row>
    <row r="683" spans="1:13" x14ac:dyDescent="0.3">
      <c r="A683" t="s">
        <v>2481</v>
      </c>
      <c r="B683" t="s">
        <v>37</v>
      </c>
      <c r="C683" t="s">
        <v>24</v>
      </c>
      <c r="D683" t="s">
        <v>71</v>
      </c>
      <c r="E683">
        <v>3034</v>
      </c>
      <c r="F683" t="s">
        <v>2482</v>
      </c>
      <c r="G683" t="s">
        <v>2483</v>
      </c>
      <c r="H683" t="s">
        <v>2484</v>
      </c>
      <c r="I683" t="s">
        <v>74</v>
      </c>
      <c r="J683" t="s">
        <v>75</v>
      </c>
      <c r="K683" t="s">
        <v>21</v>
      </c>
      <c r="L683">
        <v>45701</v>
      </c>
      <c r="M683" t="s">
        <v>205</v>
      </c>
    </row>
    <row r="684" spans="1:13" x14ac:dyDescent="0.3">
      <c r="A684" t="s">
        <v>2485</v>
      </c>
      <c r="B684" t="s">
        <v>37</v>
      </c>
      <c r="C684" t="s">
        <v>22</v>
      </c>
      <c r="D684" t="s">
        <v>55</v>
      </c>
      <c r="E684">
        <v>3033</v>
      </c>
      <c r="F684" t="s">
        <v>2486</v>
      </c>
      <c r="G684" t="s">
        <v>2487</v>
      </c>
      <c r="H684" t="s">
        <v>2488</v>
      </c>
      <c r="I684" t="s">
        <v>58</v>
      </c>
      <c r="J684" t="s">
        <v>59</v>
      </c>
      <c r="L684">
        <v>45708</v>
      </c>
      <c r="M684" t="s">
        <v>86</v>
      </c>
    </row>
    <row r="685" spans="1:13" x14ac:dyDescent="0.3">
      <c r="A685" t="s">
        <v>2489</v>
      </c>
      <c r="B685" t="s">
        <v>46</v>
      </c>
      <c r="C685" t="s">
        <v>26</v>
      </c>
      <c r="D685" t="s">
        <v>71</v>
      </c>
      <c r="E685">
        <v>3034</v>
      </c>
      <c r="F685" t="s">
        <v>2490</v>
      </c>
      <c r="G685" t="s">
        <v>2491</v>
      </c>
      <c r="H685" t="s">
        <v>2491</v>
      </c>
      <c r="I685" t="s">
        <v>74</v>
      </c>
      <c r="J685" t="s">
        <v>75</v>
      </c>
      <c r="L685">
        <v>45666</v>
      </c>
      <c r="M685" t="s">
        <v>205</v>
      </c>
    </row>
    <row r="686" spans="1:13" x14ac:dyDescent="0.3">
      <c r="A686" t="s">
        <v>2492</v>
      </c>
      <c r="B686" t="s">
        <v>37</v>
      </c>
      <c r="C686" t="s">
        <v>26</v>
      </c>
      <c r="D686" t="s">
        <v>55</v>
      </c>
      <c r="E686">
        <v>3033</v>
      </c>
      <c r="F686" t="s">
        <v>2493</v>
      </c>
      <c r="G686" t="s">
        <v>2494</v>
      </c>
      <c r="H686" t="s">
        <v>2495</v>
      </c>
      <c r="I686" t="s">
        <v>58</v>
      </c>
      <c r="J686" t="s">
        <v>59</v>
      </c>
      <c r="L686">
        <v>45742</v>
      </c>
      <c r="M686" t="s">
        <v>95</v>
      </c>
    </row>
    <row r="687" spans="1:13" x14ac:dyDescent="0.3">
      <c r="A687" t="s">
        <v>2496</v>
      </c>
      <c r="B687" t="s">
        <v>46</v>
      </c>
      <c r="C687" t="s">
        <v>26</v>
      </c>
      <c r="D687" t="s">
        <v>71</v>
      </c>
      <c r="E687">
        <v>3034</v>
      </c>
      <c r="F687" t="s">
        <v>2497</v>
      </c>
      <c r="G687" t="s">
        <v>2498</v>
      </c>
      <c r="H687" t="s">
        <v>2499</v>
      </c>
      <c r="I687" t="s">
        <v>74</v>
      </c>
      <c r="J687" t="s">
        <v>75</v>
      </c>
      <c r="L687">
        <v>45705</v>
      </c>
      <c r="M687" t="s">
        <v>205</v>
      </c>
    </row>
    <row r="688" spans="1:13" x14ac:dyDescent="0.3">
      <c r="A688" t="s">
        <v>2500</v>
      </c>
      <c r="B688" t="s">
        <v>37</v>
      </c>
      <c r="C688" t="s">
        <v>26</v>
      </c>
      <c r="D688" t="s">
        <v>136</v>
      </c>
      <c r="E688">
        <v>3039</v>
      </c>
      <c r="F688" t="s">
        <v>2501</v>
      </c>
      <c r="G688" t="s">
        <v>2502</v>
      </c>
      <c r="H688" t="s">
        <v>2502</v>
      </c>
      <c r="I688" t="s">
        <v>15</v>
      </c>
      <c r="J688" t="s">
        <v>14</v>
      </c>
      <c r="K688" t="s">
        <v>21</v>
      </c>
      <c r="L688">
        <v>45669</v>
      </c>
      <c r="M688" t="s">
        <v>200</v>
      </c>
    </row>
    <row r="689" spans="1:13" x14ac:dyDescent="0.3">
      <c r="A689" t="s">
        <v>2503</v>
      </c>
      <c r="B689" t="s">
        <v>46</v>
      </c>
      <c r="C689" t="s">
        <v>25</v>
      </c>
      <c r="D689" t="s">
        <v>47</v>
      </c>
      <c r="E689">
        <v>3032</v>
      </c>
      <c r="F689" t="s">
        <v>2504</v>
      </c>
      <c r="G689" t="s">
        <v>2505</v>
      </c>
      <c r="H689" t="s">
        <v>2505</v>
      </c>
      <c r="I689" t="s">
        <v>51</v>
      </c>
      <c r="J689" t="s">
        <v>52</v>
      </c>
      <c r="L689">
        <v>45694</v>
      </c>
      <c r="M689" t="s">
        <v>177</v>
      </c>
    </row>
    <row r="690" spans="1:13" x14ac:dyDescent="0.3">
      <c r="A690" t="s">
        <v>2506</v>
      </c>
      <c r="B690" t="s">
        <v>46</v>
      </c>
      <c r="C690" t="s">
        <v>26</v>
      </c>
      <c r="D690" t="s">
        <v>104</v>
      </c>
      <c r="E690">
        <v>3037</v>
      </c>
      <c r="F690" t="s">
        <v>2507</v>
      </c>
      <c r="G690" t="s">
        <v>2508</v>
      </c>
      <c r="H690" t="s">
        <v>2509</v>
      </c>
      <c r="I690" t="s">
        <v>12</v>
      </c>
      <c r="J690" t="s">
        <v>13</v>
      </c>
      <c r="L690">
        <v>45678</v>
      </c>
      <c r="M690" t="s">
        <v>224</v>
      </c>
    </row>
    <row r="691" spans="1:13" x14ac:dyDescent="0.3">
      <c r="A691" t="s">
        <v>2510</v>
      </c>
      <c r="B691" t="s">
        <v>46</v>
      </c>
      <c r="C691" t="s">
        <v>25</v>
      </c>
      <c r="D691" t="s">
        <v>71</v>
      </c>
      <c r="E691">
        <v>3034</v>
      </c>
      <c r="F691" t="s">
        <v>2511</v>
      </c>
      <c r="G691" t="s">
        <v>2512</v>
      </c>
      <c r="H691" t="s">
        <v>2512</v>
      </c>
      <c r="I691" t="s">
        <v>74</v>
      </c>
      <c r="J691" t="s">
        <v>75</v>
      </c>
      <c r="K691" t="s">
        <v>21</v>
      </c>
      <c r="L691">
        <v>45712</v>
      </c>
      <c r="M691" t="s">
        <v>205</v>
      </c>
    </row>
    <row r="692" spans="1:13" x14ac:dyDescent="0.3">
      <c r="A692" t="s">
        <v>2513</v>
      </c>
      <c r="B692" t="s">
        <v>37</v>
      </c>
      <c r="C692" t="s">
        <v>26</v>
      </c>
      <c r="D692" t="s">
        <v>191</v>
      </c>
      <c r="E692">
        <v>3040</v>
      </c>
      <c r="F692" t="s">
        <v>2514</v>
      </c>
      <c r="G692" t="s">
        <v>2515</v>
      </c>
      <c r="H692" t="s">
        <v>2516</v>
      </c>
      <c r="I692" t="s">
        <v>194</v>
      </c>
      <c r="J692" t="s">
        <v>13</v>
      </c>
      <c r="L692">
        <v>45672</v>
      </c>
      <c r="M692" t="s">
        <v>321</v>
      </c>
    </row>
    <row r="693" spans="1:13" x14ac:dyDescent="0.3">
      <c r="A693" t="s">
        <v>2517</v>
      </c>
      <c r="B693" t="s">
        <v>46</v>
      </c>
      <c r="C693" t="s">
        <v>26</v>
      </c>
      <c r="D693" t="s">
        <v>97</v>
      </c>
      <c r="E693">
        <v>3036</v>
      </c>
      <c r="F693" t="s">
        <v>2518</v>
      </c>
      <c r="G693" t="s">
        <v>2519</v>
      </c>
      <c r="H693" t="s">
        <v>2520</v>
      </c>
      <c r="I693" t="s">
        <v>100</v>
      </c>
      <c r="J693" t="s">
        <v>101</v>
      </c>
      <c r="L693">
        <v>45720</v>
      </c>
      <c r="M693" t="s">
        <v>65</v>
      </c>
    </row>
    <row r="694" spans="1:13" x14ac:dyDescent="0.3">
      <c r="A694" t="s">
        <v>2521</v>
      </c>
      <c r="B694" t="s">
        <v>46</v>
      </c>
      <c r="C694" t="s">
        <v>24</v>
      </c>
      <c r="D694" t="s">
        <v>71</v>
      </c>
      <c r="E694">
        <v>3034</v>
      </c>
      <c r="F694" t="s">
        <v>2522</v>
      </c>
      <c r="G694" t="s">
        <v>2523</v>
      </c>
      <c r="H694" t="s">
        <v>2523</v>
      </c>
      <c r="I694" t="s">
        <v>74</v>
      </c>
      <c r="J694" t="s">
        <v>75</v>
      </c>
      <c r="K694" t="s">
        <v>21</v>
      </c>
      <c r="L694">
        <v>45713</v>
      </c>
      <c r="M694" t="s">
        <v>112</v>
      </c>
    </row>
    <row r="695" spans="1:13" x14ac:dyDescent="0.3">
      <c r="A695" t="s">
        <v>2524</v>
      </c>
      <c r="B695" t="s">
        <v>46</v>
      </c>
      <c r="C695" t="s">
        <v>25</v>
      </c>
      <c r="D695" t="s">
        <v>444</v>
      </c>
      <c r="E695">
        <v>3042</v>
      </c>
      <c r="F695" t="s">
        <v>2525</v>
      </c>
      <c r="G695" t="s">
        <v>2526</v>
      </c>
      <c r="H695" t="s">
        <v>2526</v>
      </c>
      <c r="I695" t="s">
        <v>448</v>
      </c>
      <c r="J695" t="s">
        <v>449</v>
      </c>
      <c r="L695">
        <v>45681</v>
      </c>
      <c r="M695" t="s">
        <v>481</v>
      </c>
    </row>
    <row r="696" spans="1:13" x14ac:dyDescent="0.3">
      <c r="A696" t="s">
        <v>2527</v>
      </c>
      <c r="B696" t="s">
        <v>46</v>
      </c>
      <c r="C696" t="s">
        <v>24</v>
      </c>
      <c r="D696" t="s">
        <v>47</v>
      </c>
      <c r="E696">
        <v>3032</v>
      </c>
      <c r="F696" t="s">
        <v>2528</v>
      </c>
      <c r="G696" t="s">
        <v>2529</v>
      </c>
      <c r="H696" t="s">
        <v>2530</v>
      </c>
      <c r="I696" t="s">
        <v>51</v>
      </c>
      <c r="J696" t="s">
        <v>52</v>
      </c>
      <c r="L696">
        <v>45675</v>
      </c>
      <c r="M696" t="s">
        <v>542</v>
      </c>
    </row>
    <row r="697" spans="1:13" x14ac:dyDescent="0.3">
      <c r="A697" t="s">
        <v>2531</v>
      </c>
      <c r="B697" t="s">
        <v>37</v>
      </c>
      <c r="C697" t="s">
        <v>26</v>
      </c>
      <c r="D697" t="s">
        <v>191</v>
      </c>
      <c r="E697">
        <v>3040</v>
      </c>
      <c r="F697" t="s">
        <v>2532</v>
      </c>
      <c r="G697" t="s">
        <v>2533</v>
      </c>
      <c r="H697" t="s">
        <v>2534</v>
      </c>
      <c r="I697" t="s">
        <v>194</v>
      </c>
      <c r="J697" t="s">
        <v>13</v>
      </c>
      <c r="L697">
        <v>45675</v>
      </c>
      <c r="M697" t="s">
        <v>224</v>
      </c>
    </row>
    <row r="698" spans="1:13" x14ac:dyDescent="0.3">
      <c r="A698" t="s">
        <v>2535</v>
      </c>
      <c r="B698" t="s">
        <v>37</v>
      </c>
      <c r="C698" t="s">
        <v>24</v>
      </c>
      <c r="D698" t="s">
        <v>47</v>
      </c>
      <c r="E698">
        <v>3032</v>
      </c>
      <c r="F698" t="s">
        <v>2536</v>
      </c>
      <c r="G698" t="s">
        <v>2537</v>
      </c>
      <c r="H698" t="s">
        <v>2537</v>
      </c>
      <c r="I698" t="s">
        <v>51</v>
      </c>
      <c r="J698" t="s">
        <v>52</v>
      </c>
      <c r="L698">
        <v>45727</v>
      </c>
      <c r="M698" t="s">
        <v>261</v>
      </c>
    </row>
    <row r="699" spans="1:13" x14ac:dyDescent="0.3">
      <c r="A699" t="s">
        <v>2538</v>
      </c>
      <c r="B699" t="s">
        <v>37</v>
      </c>
      <c r="C699" t="s">
        <v>22</v>
      </c>
      <c r="D699" t="s">
        <v>191</v>
      </c>
      <c r="E699">
        <v>3040</v>
      </c>
      <c r="F699" t="s">
        <v>2539</v>
      </c>
      <c r="G699" t="s">
        <v>2540</v>
      </c>
      <c r="H699" t="s">
        <v>2540</v>
      </c>
      <c r="I699" t="s">
        <v>194</v>
      </c>
      <c r="J699" t="s">
        <v>13</v>
      </c>
      <c r="L699">
        <v>45677</v>
      </c>
      <c r="M699" t="s">
        <v>321</v>
      </c>
    </row>
    <row r="700" spans="1:13" x14ac:dyDescent="0.3">
      <c r="A700" t="s">
        <v>2541</v>
      </c>
      <c r="B700" t="s">
        <v>37</v>
      </c>
      <c r="C700" t="s">
        <v>22</v>
      </c>
      <c r="D700" t="s">
        <v>444</v>
      </c>
      <c r="E700">
        <v>3042</v>
      </c>
      <c r="F700" t="s">
        <v>2542</v>
      </c>
      <c r="G700" t="s">
        <v>2543</v>
      </c>
      <c r="H700" t="s">
        <v>2543</v>
      </c>
      <c r="I700" t="s">
        <v>448</v>
      </c>
      <c r="J700" t="s">
        <v>449</v>
      </c>
      <c r="L700">
        <v>45664</v>
      </c>
      <c r="M700" t="s">
        <v>107</v>
      </c>
    </row>
    <row r="701" spans="1:13" x14ac:dyDescent="0.3">
      <c r="A701" t="s">
        <v>2544</v>
      </c>
      <c r="B701" t="s">
        <v>37</v>
      </c>
      <c r="C701" t="s">
        <v>22</v>
      </c>
      <c r="D701" t="s">
        <v>71</v>
      </c>
      <c r="E701">
        <v>3034</v>
      </c>
      <c r="F701" t="s">
        <v>2545</v>
      </c>
      <c r="G701" t="s">
        <v>2546</v>
      </c>
      <c r="H701" t="s">
        <v>2546</v>
      </c>
      <c r="I701" t="s">
        <v>74</v>
      </c>
      <c r="J701" t="s">
        <v>75</v>
      </c>
      <c r="K701" t="s">
        <v>21</v>
      </c>
      <c r="L701">
        <v>45687</v>
      </c>
      <c r="M701" t="s">
        <v>205</v>
      </c>
    </row>
    <row r="702" spans="1:13" x14ac:dyDescent="0.3">
      <c r="A702" t="s">
        <v>2547</v>
      </c>
      <c r="B702" t="s">
        <v>37</v>
      </c>
      <c r="C702" t="s">
        <v>25</v>
      </c>
      <c r="D702" t="s">
        <v>207</v>
      </c>
      <c r="E702">
        <v>3041</v>
      </c>
      <c r="F702" t="s">
        <v>2548</v>
      </c>
      <c r="G702" t="s">
        <v>2549</v>
      </c>
      <c r="H702" t="s">
        <v>2549</v>
      </c>
      <c r="I702" t="s">
        <v>211</v>
      </c>
      <c r="J702" t="s">
        <v>14</v>
      </c>
      <c r="L702">
        <v>45746</v>
      </c>
      <c r="M702" t="s">
        <v>128</v>
      </c>
    </row>
    <row r="703" spans="1:13" x14ac:dyDescent="0.3">
      <c r="A703" t="s">
        <v>2550</v>
      </c>
      <c r="B703" t="s">
        <v>46</v>
      </c>
      <c r="C703" t="s">
        <v>24</v>
      </c>
      <c r="D703" t="s">
        <v>38</v>
      </c>
      <c r="E703">
        <v>3031</v>
      </c>
      <c r="F703" t="s">
        <v>2551</v>
      </c>
      <c r="G703" t="s">
        <v>2552</v>
      </c>
      <c r="H703" t="s">
        <v>2553</v>
      </c>
      <c r="I703" t="s">
        <v>42</v>
      </c>
      <c r="J703" t="s">
        <v>43</v>
      </c>
      <c r="L703">
        <v>45716</v>
      </c>
      <c r="M703" t="s">
        <v>76</v>
      </c>
    </row>
    <row r="704" spans="1:13" x14ac:dyDescent="0.3">
      <c r="A704" t="s">
        <v>2554</v>
      </c>
      <c r="B704" t="s">
        <v>37</v>
      </c>
      <c r="C704" t="s">
        <v>22</v>
      </c>
      <c r="D704" t="s">
        <v>207</v>
      </c>
      <c r="E704">
        <v>3041</v>
      </c>
      <c r="F704" t="s">
        <v>2555</v>
      </c>
      <c r="G704" t="s">
        <v>2556</v>
      </c>
      <c r="H704" t="s">
        <v>2556</v>
      </c>
      <c r="I704" t="s">
        <v>211</v>
      </c>
      <c r="J704" t="s">
        <v>14</v>
      </c>
      <c r="L704">
        <v>45696</v>
      </c>
      <c r="M704" t="s">
        <v>363</v>
      </c>
    </row>
    <row r="705" spans="1:13" x14ac:dyDescent="0.3">
      <c r="A705" t="s">
        <v>2557</v>
      </c>
      <c r="B705" t="s">
        <v>37</v>
      </c>
      <c r="C705" t="s">
        <v>22</v>
      </c>
      <c r="D705" t="s">
        <v>136</v>
      </c>
      <c r="E705">
        <v>3039</v>
      </c>
      <c r="F705" t="s">
        <v>2558</v>
      </c>
      <c r="G705" t="s">
        <v>2559</v>
      </c>
      <c r="H705" t="s">
        <v>2559</v>
      </c>
      <c r="I705" t="s">
        <v>15</v>
      </c>
      <c r="J705" t="s">
        <v>14</v>
      </c>
      <c r="L705">
        <v>45722</v>
      </c>
      <c r="M705" t="s">
        <v>987</v>
      </c>
    </row>
    <row r="706" spans="1:13" x14ac:dyDescent="0.3">
      <c r="A706" t="s">
        <v>2560</v>
      </c>
      <c r="B706" t="s">
        <v>46</v>
      </c>
      <c r="C706" t="s">
        <v>25</v>
      </c>
      <c r="D706" t="s">
        <v>71</v>
      </c>
      <c r="E706">
        <v>3034</v>
      </c>
      <c r="F706" t="s">
        <v>2561</v>
      </c>
      <c r="G706" t="s">
        <v>2562</v>
      </c>
      <c r="H706" t="s">
        <v>2562</v>
      </c>
      <c r="I706" t="s">
        <v>74</v>
      </c>
      <c r="J706" t="s">
        <v>75</v>
      </c>
      <c r="L706">
        <v>45723</v>
      </c>
      <c r="M706" t="s">
        <v>76</v>
      </c>
    </row>
    <row r="707" spans="1:13" x14ac:dyDescent="0.3">
      <c r="A707" t="s">
        <v>2563</v>
      </c>
      <c r="B707" t="s">
        <v>37</v>
      </c>
      <c r="C707" t="s">
        <v>24</v>
      </c>
      <c r="D707" t="s">
        <v>97</v>
      </c>
      <c r="E707">
        <v>3036</v>
      </c>
      <c r="F707" t="s">
        <v>2564</v>
      </c>
      <c r="G707" t="s">
        <v>2565</v>
      </c>
      <c r="H707" t="s">
        <v>2566</v>
      </c>
      <c r="I707" t="s">
        <v>100</v>
      </c>
      <c r="J707" t="s">
        <v>101</v>
      </c>
      <c r="L707">
        <v>45723</v>
      </c>
      <c r="M707" t="s">
        <v>102</v>
      </c>
    </row>
    <row r="708" spans="1:13" x14ac:dyDescent="0.3">
      <c r="A708" t="s">
        <v>2567</v>
      </c>
      <c r="B708" t="s">
        <v>37</v>
      </c>
      <c r="C708" t="s">
        <v>25</v>
      </c>
      <c r="D708" t="s">
        <v>38</v>
      </c>
      <c r="E708">
        <v>3031</v>
      </c>
      <c r="F708" t="s">
        <v>2568</v>
      </c>
      <c r="G708" t="s">
        <v>2569</v>
      </c>
      <c r="H708" t="s">
        <v>2569</v>
      </c>
      <c r="I708" t="s">
        <v>42</v>
      </c>
      <c r="J708" t="s">
        <v>43</v>
      </c>
      <c r="K708" t="s">
        <v>21</v>
      </c>
      <c r="L708">
        <v>45676</v>
      </c>
      <c r="M708" t="s">
        <v>287</v>
      </c>
    </row>
    <row r="709" spans="1:13" x14ac:dyDescent="0.3">
      <c r="A709" t="s">
        <v>2570</v>
      </c>
      <c r="B709" t="s">
        <v>37</v>
      </c>
      <c r="C709" t="s">
        <v>22</v>
      </c>
      <c r="D709" t="s">
        <v>444</v>
      </c>
      <c r="E709">
        <v>3042</v>
      </c>
      <c r="F709" t="s">
        <v>2571</v>
      </c>
      <c r="G709" t="s">
        <v>2572</v>
      </c>
      <c r="H709" t="s">
        <v>2573</v>
      </c>
      <c r="I709" t="s">
        <v>448</v>
      </c>
      <c r="J709" t="s">
        <v>449</v>
      </c>
      <c r="K709" t="s">
        <v>21</v>
      </c>
      <c r="L709">
        <v>45680</v>
      </c>
      <c r="M709" t="s">
        <v>363</v>
      </c>
    </row>
    <row r="710" spans="1:13" x14ac:dyDescent="0.3">
      <c r="A710" t="s">
        <v>2574</v>
      </c>
      <c r="B710" t="s">
        <v>46</v>
      </c>
      <c r="C710" t="s">
        <v>26</v>
      </c>
      <c r="D710" t="s">
        <v>191</v>
      </c>
      <c r="E710">
        <v>3040</v>
      </c>
      <c r="F710" t="s">
        <v>2575</v>
      </c>
      <c r="G710" t="s">
        <v>2576</v>
      </c>
      <c r="H710" t="s">
        <v>2577</v>
      </c>
      <c r="I710" t="s">
        <v>194</v>
      </c>
      <c r="J710" t="s">
        <v>13</v>
      </c>
      <c r="L710">
        <v>45674</v>
      </c>
      <c r="M710" t="s">
        <v>717</v>
      </c>
    </row>
    <row r="711" spans="1:13" x14ac:dyDescent="0.3">
      <c r="A711" t="s">
        <v>2578</v>
      </c>
      <c r="B711" t="s">
        <v>46</v>
      </c>
      <c r="C711" t="s">
        <v>24</v>
      </c>
      <c r="D711" t="s">
        <v>191</v>
      </c>
      <c r="E711">
        <v>3040</v>
      </c>
      <c r="F711" t="s">
        <v>2579</v>
      </c>
      <c r="G711" t="s">
        <v>2580</v>
      </c>
      <c r="H711" t="s">
        <v>2581</v>
      </c>
      <c r="I711" t="s">
        <v>194</v>
      </c>
      <c r="J711" t="s">
        <v>13</v>
      </c>
      <c r="K711" t="s">
        <v>21</v>
      </c>
      <c r="L711">
        <v>45676</v>
      </c>
      <c r="M711" t="s">
        <v>300</v>
      </c>
    </row>
    <row r="712" spans="1:13" x14ac:dyDescent="0.3">
      <c r="A712" t="s">
        <v>2582</v>
      </c>
      <c r="B712" t="s">
        <v>46</v>
      </c>
      <c r="C712" t="s">
        <v>24</v>
      </c>
      <c r="D712" t="s">
        <v>97</v>
      </c>
      <c r="E712">
        <v>3036</v>
      </c>
      <c r="F712" t="s">
        <v>2583</v>
      </c>
      <c r="G712" t="s">
        <v>2584</v>
      </c>
      <c r="H712" t="s">
        <v>2584</v>
      </c>
      <c r="I712" t="s">
        <v>100</v>
      </c>
      <c r="J712" t="s">
        <v>101</v>
      </c>
      <c r="K712" t="s">
        <v>21</v>
      </c>
      <c r="L712">
        <v>45684</v>
      </c>
      <c r="M712" t="s">
        <v>292</v>
      </c>
    </row>
    <row r="713" spans="1:13" x14ac:dyDescent="0.3">
      <c r="A713" t="s">
        <v>2585</v>
      </c>
      <c r="B713" t="s">
        <v>37</v>
      </c>
      <c r="C713" t="s">
        <v>24</v>
      </c>
      <c r="D713" t="s">
        <v>191</v>
      </c>
      <c r="E713">
        <v>3040</v>
      </c>
      <c r="F713" t="s">
        <v>2586</v>
      </c>
      <c r="G713" t="s">
        <v>2587</v>
      </c>
      <c r="H713" t="s">
        <v>2587</v>
      </c>
      <c r="I713" t="s">
        <v>194</v>
      </c>
      <c r="J713" t="s">
        <v>13</v>
      </c>
      <c r="K713" t="s">
        <v>21</v>
      </c>
      <c r="L713">
        <v>45709</v>
      </c>
      <c r="M713" t="s">
        <v>717</v>
      </c>
    </row>
    <row r="714" spans="1:13" x14ac:dyDescent="0.3">
      <c r="A714" t="s">
        <v>2588</v>
      </c>
      <c r="B714" t="s">
        <v>46</v>
      </c>
      <c r="C714" t="s">
        <v>24</v>
      </c>
      <c r="D714" t="s">
        <v>104</v>
      </c>
      <c r="E714">
        <v>3037</v>
      </c>
      <c r="F714" t="s">
        <v>2589</v>
      </c>
      <c r="G714" t="s">
        <v>2590</v>
      </c>
      <c r="H714" t="s">
        <v>2590</v>
      </c>
      <c r="I714" t="s">
        <v>12</v>
      </c>
      <c r="J714" t="s">
        <v>13</v>
      </c>
      <c r="K714" t="s">
        <v>21</v>
      </c>
      <c r="L714">
        <v>45665</v>
      </c>
      <c r="M714" t="s">
        <v>287</v>
      </c>
    </row>
    <row r="715" spans="1:13" x14ac:dyDescent="0.3">
      <c r="A715" t="s">
        <v>2591</v>
      </c>
      <c r="B715" t="s">
        <v>37</v>
      </c>
      <c r="C715" t="s">
        <v>24</v>
      </c>
      <c r="D715" t="s">
        <v>47</v>
      </c>
      <c r="E715">
        <v>3032</v>
      </c>
      <c r="F715" t="s">
        <v>2592</v>
      </c>
      <c r="G715" t="s">
        <v>2593</v>
      </c>
      <c r="H715" t="s">
        <v>2594</v>
      </c>
      <c r="I715" t="s">
        <v>51</v>
      </c>
      <c r="J715" t="s">
        <v>52</v>
      </c>
      <c r="K715" t="s">
        <v>21</v>
      </c>
      <c r="L715">
        <v>45736</v>
      </c>
      <c r="M715" t="s">
        <v>881</v>
      </c>
    </row>
    <row r="716" spans="1:13" x14ac:dyDescent="0.3">
      <c r="A716" t="s">
        <v>2595</v>
      </c>
      <c r="B716" t="s">
        <v>46</v>
      </c>
      <c r="C716" t="s">
        <v>25</v>
      </c>
      <c r="D716" t="s">
        <v>71</v>
      </c>
      <c r="E716">
        <v>3034</v>
      </c>
      <c r="F716" t="s">
        <v>2596</v>
      </c>
      <c r="G716" t="s">
        <v>2597</v>
      </c>
      <c r="H716" t="s">
        <v>2597</v>
      </c>
      <c r="I716" t="s">
        <v>74</v>
      </c>
      <c r="J716" t="s">
        <v>75</v>
      </c>
      <c r="L716">
        <v>45665</v>
      </c>
      <c r="M716" t="s">
        <v>76</v>
      </c>
    </row>
    <row r="717" spans="1:13" x14ac:dyDescent="0.3">
      <c r="A717" t="s">
        <v>2598</v>
      </c>
      <c r="B717" t="s">
        <v>46</v>
      </c>
      <c r="C717" t="s">
        <v>22</v>
      </c>
      <c r="D717" t="s">
        <v>444</v>
      </c>
      <c r="E717">
        <v>3042</v>
      </c>
      <c r="F717" t="s">
        <v>2599</v>
      </c>
      <c r="G717" t="s">
        <v>2600</v>
      </c>
      <c r="H717" t="s">
        <v>2601</v>
      </c>
      <c r="I717" t="s">
        <v>448</v>
      </c>
      <c r="J717" t="s">
        <v>449</v>
      </c>
      <c r="L717">
        <v>45733</v>
      </c>
      <c r="M717" t="s">
        <v>722</v>
      </c>
    </row>
    <row r="718" spans="1:13" x14ac:dyDescent="0.3">
      <c r="A718" t="s">
        <v>2602</v>
      </c>
      <c r="B718" t="s">
        <v>37</v>
      </c>
      <c r="C718" t="s">
        <v>22</v>
      </c>
      <c r="D718" t="s">
        <v>97</v>
      </c>
      <c r="E718">
        <v>3036</v>
      </c>
      <c r="F718" t="s">
        <v>2603</v>
      </c>
      <c r="G718" t="s">
        <v>2604</v>
      </c>
      <c r="H718" t="s">
        <v>2605</v>
      </c>
      <c r="I718" t="s">
        <v>100</v>
      </c>
      <c r="J718" t="s">
        <v>101</v>
      </c>
      <c r="L718">
        <v>45696</v>
      </c>
      <c r="M718" t="s">
        <v>165</v>
      </c>
    </row>
    <row r="719" spans="1:13" x14ac:dyDescent="0.3">
      <c r="A719" t="s">
        <v>2606</v>
      </c>
      <c r="B719" t="s">
        <v>37</v>
      </c>
      <c r="C719" t="s">
        <v>24</v>
      </c>
      <c r="D719" t="s">
        <v>71</v>
      </c>
      <c r="E719">
        <v>3034</v>
      </c>
      <c r="F719" t="s">
        <v>2607</v>
      </c>
      <c r="G719" t="s">
        <v>2608</v>
      </c>
      <c r="H719" t="s">
        <v>2608</v>
      </c>
      <c r="I719" t="s">
        <v>74</v>
      </c>
      <c r="J719" t="s">
        <v>75</v>
      </c>
      <c r="K719" t="s">
        <v>21</v>
      </c>
      <c r="L719">
        <v>45702</v>
      </c>
      <c r="M719" t="s">
        <v>212</v>
      </c>
    </row>
    <row r="720" spans="1:13" x14ac:dyDescent="0.3">
      <c r="A720" t="s">
        <v>2609</v>
      </c>
      <c r="B720" t="s">
        <v>46</v>
      </c>
      <c r="C720" t="s">
        <v>26</v>
      </c>
      <c r="D720" t="s">
        <v>71</v>
      </c>
      <c r="E720">
        <v>3034</v>
      </c>
      <c r="F720" t="s">
        <v>2610</v>
      </c>
      <c r="G720" t="s">
        <v>2611</v>
      </c>
      <c r="H720" t="s">
        <v>2611</v>
      </c>
      <c r="I720" t="s">
        <v>74</v>
      </c>
      <c r="J720" t="s">
        <v>75</v>
      </c>
      <c r="L720">
        <v>45719</v>
      </c>
      <c r="M720" t="s">
        <v>205</v>
      </c>
    </row>
    <row r="721" spans="1:13" x14ac:dyDescent="0.3">
      <c r="A721" t="s">
        <v>2612</v>
      </c>
      <c r="B721" t="s">
        <v>46</v>
      </c>
      <c r="C721" t="s">
        <v>25</v>
      </c>
      <c r="D721" t="s">
        <v>38</v>
      </c>
      <c r="E721">
        <v>3031</v>
      </c>
      <c r="F721" t="s">
        <v>2613</v>
      </c>
      <c r="G721" t="s">
        <v>2614</v>
      </c>
      <c r="H721" t="s">
        <v>2614</v>
      </c>
      <c r="I721" t="s">
        <v>42</v>
      </c>
      <c r="J721" t="s">
        <v>43</v>
      </c>
      <c r="L721">
        <v>45688</v>
      </c>
      <c r="M721" t="s">
        <v>128</v>
      </c>
    </row>
    <row r="722" spans="1:13" x14ac:dyDescent="0.3">
      <c r="A722" t="s">
        <v>2615</v>
      </c>
      <c r="B722" t="s">
        <v>46</v>
      </c>
      <c r="C722" t="s">
        <v>26</v>
      </c>
      <c r="D722" t="s">
        <v>38</v>
      </c>
      <c r="E722">
        <v>3031</v>
      </c>
      <c r="F722" t="s">
        <v>2616</v>
      </c>
      <c r="G722" t="s">
        <v>2617</v>
      </c>
      <c r="H722" t="s">
        <v>2617</v>
      </c>
      <c r="I722" t="s">
        <v>42</v>
      </c>
      <c r="J722" t="s">
        <v>43</v>
      </c>
      <c r="L722">
        <v>45658</v>
      </c>
      <c r="M722" t="s">
        <v>76</v>
      </c>
    </row>
    <row r="723" spans="1:13" x14ac:dyDescent="0.3">
      <c r="A723" t="s">
        <v>2618</v>
      </c>
      <c r="B723" t="s">
        <v>46</v>
      </c>
      <c r="C723" t="s">
        <v>26</v>
      </c>
      <c r="D723" t="s">
        <v>71</v>
      </c>
      <c r="E723">
        <v>3034</v>
      </c>
      <c r="F723" t="s">
        <v>2619</v>
      </c>
      <c r="G723" t="s">
        <v>2620</v>
      </c>
      <c r="H723" t="s">
        <v>2621</v>
      </c>
      <c r="I723" t="s">
        <v>74</v>
      </c>
      <c r="J723" t="s">
        <v>75</v>
      </c>
      <c r="K723" t="s">
        <v>21</v>
      </c>
      <c r="L723">
        <v>45734</v>
      </c>
      <c r="M723" t="s">
        <v>112</v>
      </c>
    </row>
    <row r="724" spans="1:13" x14ac:dyDescent="0.3">
      <c r="A724" t="s">
        <v>2622</v>
      </c>
      <c r="B724" t="s">
        <v>37</v>
      </c>
      <c r="C724" t="s">
        <v>26</v>
      </c>
      <c r="D724" t="s">
        <v>118</v>
      </c>
      <c r="E724">
        <v>3038</v>
      </c>
      <c r="F724" t="s">
        <v>2623</v>
      </c>
      <c r="G724" t="s">
        <v>2624</v>
      </c>
      <c r="H724" t="s">
        <v>2624</v>
      </c>
      <c r="I724" t="s">
        <v>122</v>
      </c>
      <c r="J724" t="s">
        <v>123</v>
      </c>
      <c r="K724" t="s">
        <v>21</v>
      </c>
      <c r="L724">
        <v>45698</v>
      </c>
      <c r="M724" t="s">
        <v>95</v>
      </c>
    </row>
    <row r="725" spans="1:13" x14ac:dyDescent="0.3">
      <c r="A725" t="s">
        <v>2625</v>
      </c>
      <c r="B725" t="s">
        <v>46</v>
      </c>
      <c r="C725" t="s">
        <v>24</v>
      </c>
      <c r="D725" t="s">
        <v>97</v>
      </c>
      <c r="E725">
        <v>3036</v>
      </c>
      <c r="F725" t="s">
        <v>2626</v>
      </c>
      <c r="G725" t="s">
        <v>2627</v>
      </c>
      <c r="H725" t="s">
        <v>2628</v>
      </c>
      <c r="I725" t="s">
        <v>100</v>
      </c>
      <c r="J725" t="s">
        <v>101</v>
      </c>
      <c r="K725" t="s">
        <v>21</v>
      </c>
      <c r="L725">
        <v>45681</v>
      </c>
      <c r="M725" t="s">
        <v>102</v>
      </c>
    </row>
    <row r="726" spans="1:13" x14ac:dyDescent="0.3">
      <c r="A726" t="s">
        <v>2629</v>
      </c>
      <c r="B726" t="s">
        <v>46</v>
      </c>
      <c r="C726" t="s">
        <v>22</v>
      </c>
      <c r="D726" t="s">
        <v>97</v>
      </c>
      <c r="E726">
        <v>3036</v>
      </c>
      <c r="F726" t="s">
        <v>597</v>
      </c>
      <c r="G726" t="s">
        <v>2630</v>
      </c>
      <c r="H726" t="s">
        <v>2631</v>
      </c>
      <c r="I726" t="s">
        <v>100</v>
      </c>
      <c r="J726" t="s">
        <v>101</v>
      </c>
      <c r="K726" t="s">
        <v>21</v>
      </c>
      <c r="L726">
        <v>45660</v>
      </c>
      <c r="M726" t="s">
        <v>128</v>
      </c>
    </row>
    <row r="727" spans="1:13" x14ac:dyDescent="0.3">
      <c r="A727" t="s">
        <v>2632</v>
      </c>
      <c r="B727" t="s">
        <v>46</v>
      </c>
      <c r="C727" t="s">
        <v>24</v>
      </c>
      <c r="D727" t="s">
        <v>191</v>
      </c>
      <c r="E727">
        <v>3040</v>
      </c>
      <c r="F727" t="s">
        <v>2633</v>
      </c>
      <c r="G727" t="s">
        <v>2634</v>
      </c>
      <c r="H727" t="s">
        <v>2635</v>
      </c>
      <c r="I727" t="s">
        <v>194</v>
      </c>
      <c r="J727" t="s">
        <v>13</v>
      </c>
      <c r="L727">
        <v>45677</v>
      </c>
      <c r="M727" t="s">
        <v>224</v>
      </c>
    </row>
    <row r="728" spans="1:13" x14ac:dyDescent="0.3">
      <c r="A728" t="s">
        <v>2636</v>
      </c>
      <c r="B728" t="s">
        <v>37</v>
      </c>
      <c r="C728" t="s">
        <v>22</v>
      </c>
      <c r="D728" t="s">
        <v>71</v>
      </c>
      <c r="E728">
        <v>3034</v>
      </c>
      <c r="F728" t="s">
        <v>2637</v>
      </c>
      <c r="G728" t="s">
        <v>2638</v>
      </c>
      <c r="H728" t="s">
        <v>2638</v>
      </c>
      <c r="I728" t="s">
        <v>74</v>
      </c>
      <c r="J728" t="s">
        <v>75</v>
      </c>
      <c r="K728" t="s">
        <v>21</v>
      </c>
      <c r="L728">
        <v>45675</v>
      </c>
      <c r="M728" t="s">
        <v>212</v>
      </c>
    </row>
    <row r="729" spans="1:13" x14ac:dyDescent="0.3">
      <c r="A729" t="s">
        <v>2639</v>
      </c>
      <c r="B729" t="s">
        <v>37</v>
      </c>
      <c r="C729" t="s">
        <v>26</v>
      </c>
      <c r="D729" t="s">
        <v>78</v>
      </c>
      <c r="E729">
        <v>3035</v>
      </c>
      <c r="F729" t="s">
        <v>2640</v>
      </c>
      <c r="G729" t="s">
        <v>2641</v>
      </c>
      <c r="H729" t="s">
        <v>2642</v>
      </c>
      <c r="I729" t="s">
        <v>81</v>
      </c>
      <c r="J729" t="s">
        <v>82</v>
      </c>
      <c r="L729">
        <v>45736</v>
      </c>
      <c r="M729" t="s">
        <v>205</v>
      </c>
    </row>
    <row r="730" spans="1:13" x14ac:dyDescent="0.3">
      <c r="A730" t="s">
        <v>2643</v>
      </c>
      <c r="B730" t="s">
        <v>46</v>
      </c>
      <c r="C730" t="s">
        <v>26</v>
      </c>
      <c r="D730" t="s">
        <v>47</v>
      </c>
      <c r="E730">
        <v>3032</v>
      </c>
      <c r="F730" t="s">
        <v>2644</v>
      </c>
      <c r="G730" t="s">
        <v>2645</v>
      </c>
      <c r="H730" t="s">
        <v>2646</v>
      </c>
      <c r="I730" t="s">
        <v>51</v>
      </c>
      <c r="J730" t="s">
        <v>52</v>
      </c>
      <c r="L730">
        <v>45688</v>
      </c>
      <c r="M730" t="s">
        <v>212</v>
      </c>
    </row>
    <row r="731" spans="1:13" x14ac:dyDescent="0.3">
      <c r="A731" t="s">
        <v>2647</v>
      </c>
      <c r="B731" t="s">
        <v>37</v>
      </c>
      <c r="C731" t="s">
        <v>24</v>
      </c>
      <c r="D731" t="s">
        <v>191</v>
      </c>
      <c r="E731">
        <v>3040</v>
      </c>
      <c r="F731" t="s">
        <v>2648</v>
      </c>
      <c r="G731" t="s">
        <v>2649</v>
      </c>
      <c r="H731" t="s">
        <v>2650</v>
      </c>
      <c r="I731" t="s">
        <v>194</v>
      </c>
      <c r="J731" t="s">
        <v>13</v>
      </c>
      <c r="L731">
        <v>45742</v>
      </c>
      <c r="M731" t="s">
        <v>300</v>
      </c>
    </row>
    <row r="732" spans="1:13" x14ac:dyDescent="0.3">
      <c r="A732" t="s">
        <v>2651</v>
      </c>
      <c r="B732" t="s">
        <v>46</v>
      </c>
      <c r="C732" t="s">
        <v>25</v>
      </c>
      <c r="D732" t="s">
        <v>104</v>
      </c>
      <c r="E732">
        <v>3037</v>
      </c>
      <c r="F732" t="s">
        <v>2652</v>
      </c>
      <c r="G732" t="s">
        <v>2653</v>
      </c>
      <c r="H732" t="s">
        <v>2653</v>
      </c>
      <c r="I732" t="s">
        <v>12</v>
      </c>
      <c r="J732" t="s">
        <v>13</v>
      </c>
      <c r="K732" t="s">
        <v>21</v>
      </c>
      <c r="L732">
        <v>45730</v>
      </c>
      <c r="M732" t="s">
        <v>107</v>
      </c>
    </row>
    <row r="733" spans="1:13" x14ac:dyDescent="0.3">
      <c r="A733" t="s">
        <v>2654</v>
      </c>
      <c r="B733" t="s">
        <v>46</v>
      </c>
      <c r="C733" t="s">
        <v>22</v>
      </c>
      <c r="D733" t="s">
        <v>104</v>
      </c>
      <c r="E733">
        <v>3037</v>
      </c>
      <c r="F733" t="s">
        <v>2655</v>
      </c>
      <c r="G733" t="s">
        <v>2656</v>
      </c>
      <c r="H733" t="s">
        <v>2657</v>
      </c>
      <c r="I733" t="s">
        <v>12</v>
      </c>
      <c r="J733" t="s">
        <v>13</v>
      </c>
      <c r="L733">
        <v>45703</v>
      </c>
      <c r="M733" t="s">
        <v>287</v>
      </c>
    </row>
    <row r="734" spans="1:13" x14ac:dyDescent="0.3">
      <c r="A734" t="s">
        <v>2658</v>
      </c>
      <c r="B734" t="s">
        <v>46</v>
      </c>
      <c r="C734" t="s">
        <v>24</v>
      </c>
      <c r="D734" t="s">
        <v>444</v>
      </c>
      <c r="E734">
        <v>3042</v>
      </c>
      <c r="F734" t="s">
        <v>2659</v>
      </c>
      <c r="G734" t="s">
        <v>2660</v>
      </c>
      <c r="H734" t="s">
        <v>2661</v>
      </c>
      <c r="I734" t="s">
        <v>448</v>
      </c>
      <c r="J734" t="s">
        <v>449</v>
      </c>
      <c r="L734">
        <v>45687</v>
      </c>
      <c r="M734" t="s">
        <v>722</v>
      </c>
    </row>
    <row r="735" spans="1:13" x14ac:dyDescent="0.3">
      <c r="A735" t="s">
        <v>2662</v>
      </c>
      <c r="B735" t="s">
        <v>37</v>
      </c>
      <c r="C735" t="s">
        <v>24</v>
      </c>
      <c r="D735" t="s">
        <v>38</v>
      </c>
      <c r="E735">
        <v>3031</v>
      </c>
      <c r="F735" t="s">
        <v>2663</v>
      </c>
      <c r="G735" t="s">
        <v>2664</v>
      </c>
      <c r="H735" t="s">
        <v>2665</v>
      </c>
      <c r="I735" t="s">
        <v>42</v>
      </c>
      <c r="J735" t="s">
        <v>43</v>
      </c>
      <c r="K735" t="s">
        <v>21</v>
      </c>
      <c r="L735">
        <v>45680</v>
      </c>
      <c r="M735" t="s">
        <v>65</v>
      </c>
    </row>
    <row r="736" spans="1:13" x14ac:dyDescent="0.3">
      <c r="A736" t="s">
        <v>2666</v>
      </c>
      <c r="B736" t="s">
        <v>37</v>
      </c>
      <c r="C736" t="s">
        <v>22</v>
      </c>
      <c r="D736" t="s">
        <v>136</v>
      </c>
      <c r="E736">
        <v>3039</v>
      </c>
      <c r="F736" t="s">
        <v>2667</v>
      </c>
      <c r="G736" t="s">
        <v>2668</v>
      </c>
      <c r="H736" t="s">
        <v>2668</v>
      </c>
      <c r="I736" t="s">
        <v>15</v>
      </c>
      <c r="J736" t="s">
        <v>14</v>
      </c>
      <c r="L736">
        <v>45688</v>
      </c>
      <c r="M736" t="s">
        <v>987</v>
      </c>
    </row>
    <row r="737" spans="1:13" x14ac:dyDescent="0.3">
      <c r="A737" t="s">
        <v>2669</v>
      </c>
      <c r="B737" t="s">
        <v>46</v>
      </c>
      <c r="C737" t="s">
        <v>24</v>
      </c>
      <c r="D737" t="s">
        <v>55</v>
      </c>
      <c r="E737">
        <v>3033</v>
      </c>
      <c r="F737" t="s">
        <v>2670</v>
      </c>
      <c r="G737" t="s">
        <v>2671</v>
      </c>
      <c r="H737" t="s">
        <v>2672</v>
      </c>
      <c r="I737" t="s">
        <v>58</v>
      </c>
      <c r="J737" t="s">
        <v>59</v>
      </c>
      <c r="K737" t="s">
        <v>21</v>
      </c>
      <c r="L737">
        <v>45739</v>
      </c>
      <c r="M737" t="s">
        <v>90</v>
      </c>
    </row>
    <row r="738" spans="1:13" x14ac:dyDescent="0.3">
      <c r="A738" t="s">
        <v>2673</v>
      </c>
      <c r="B738" t="s">
        <v>46</v>
      </c>
      <c r="C738" t="s">
        <v>26</v>
      </c>
      <c r="D738" t="s">
        <v>191</v>
      </c>
      <c r="E738">
        <v>3040</v>
      </c>
      <c r="F738" t="s">
        <v>2674</v>
      </c>
      <c r="G738" t="s">
        <v>2675</v>
      </c>
      <c r="H738" t="s">
        <v>2675</v>
      </c>
      <c r="I738" t="s">
        <v>194</v>
      </c>
      <c r="J738" t="s">
        <v>13</v>
      </c>
      <c r="L738">
        <v>45690</v>
      </c>
      <c r="M738" t="s">
        <v>321</v>
      </c>
    </row>
    <row r="739" spans="1:13" x14ac:dyDescent="0.3">
      <c r="A739" t="s">
        <v>2676</v>
      </c>
      <c r="B739" t="s">
        <v>37</v>
      </c>
      <c r="C739" t="s">
        <v>22</v>
      </c>
      <c r="D739" t="s">
        <v>191</v>
      </c>
      <c r="E739">
        <v>3040</v>
      </c>
      <c r="F739" t="s">
        <v>2677</v>
      </c>
      <c r="G739" t="s">
        <v>2678</v>
      </c>
      <c r="H739" t="s">
        <v>2679</v>
      </c>
      <c r="I739" t="s">
        <v>194</v>
      </c>
      <c r="J739" t="s">
        <v>13</v>
      </c>
      <c r="K739" t="s">
        <v>21</v>
      </c>
      <c r="L739">
        <v>45658</v>
      </c>
      <c r="M739" t="s">
        <v>300</v>
      </c>
    </row>
    <row r="740" spans="1:13" x14ac:dyDescent="0.3">
      <c r="A740" t="s">
        <v>2680</v>
      </c>
      <c r="B740" t="s">
        <v>46</v>
      </c>
      <c r="C740" t="s">
        <v>26</v>
      </c>
      <c r="D740" t="s">
        <v>47</v>
      </c>
      <c r="E740">
        <v>3032</v>
      </c>
      <c r="F740" t="s">
        <v>1860</v>
      </c>
      <c r="G740" t="s">
        <v>2681</v>
      </c>
      <c r="H740" t="s">
        <v>2682</v>
      </c>
      <c r="I740" t="s">
        <v>51</v>
      </c>
      <c r="J740" t="s">
        <v>52</v>
      </c>
      <c r="K740" t="s">
        <v>21</v>
      </c>
      <c r="L740">
        <v>45680</v>
      </c>
      <c r="M740" t="s">
        <v>656</v>
      </c>
    </row>
    <row r="741" spans="1:13" x14ac:dyDescent="0.3">
      <c r="A741" t="s">
        <v>2683</v>
      </c>
      <c r="B741" t="s">
        <v>46</v>
      </c>
      <c r="C741" t="s">
        <v>25</v>
      </c>
      <c r="D741" t="s">
        <v>71</v>
      </c>
      <c r="E741">
        <v>3034</v>
      </c>
      <c r="F741" t="s">
        <v>2684</v>
      </c>
      <c r="G741" t="s">
        <v>2685</v>
      </c>
      <c r="H741" t="s">
        <v>2686</v>
      </c>
      <c r="I741" t="s">
        <v>74</v>
      </c>
      <c r="J741" t="s">
        <v>75</v>
      </c>
      <c r="K741" t="s">
        <v>21</v>
      </c>
      <c r="L741">
        <v>45699</v>
      </c>
      <c r="M741" t="s">
        <v>112</v>
      </c>
    </row>
    <row r="742" spans="1:13" x14ac:dyDescent="0.3">
      <c r="A742" t="s">
        <v>2687</v>
      </c>
      <c r="B742" t="s">
        <v>37</v>
      </c>
      <c r="C742" t="s">
        <v>24</v>
      </c>
      <c r="D742" t="s">
        <v>78</v>
      </c>
      <c r="E742">
        <v>3035</v>
      </c>
      <c r="F742" t="s">
        <v>2688</v>
      </c>
      <c r="G742" t="s">
        <v>2689</v>
      </c>
      <c r="H742" t="s">
        <v>2689</v>
      </c>
      <c r="I742" t="s">
        <v>81</v>
      </c>
      <c r="J742" t="s">
        <v>82</v>
      </c>
      <c r="K742" t="s">
        <v>21</v>
      </c>
      <c r="L742">
        <v>45706</v>
      </c>
      <c r="M742" t="s">
        <v>69</v>
      </c>
    </row>
    <row r="743" spans="1:13" x14ac:dyDescent="0.3">
      <c r="A743" t="s">
        <v>2690</v>
      </c>
      <c r="B743" t="s">
        <v>37</v>
      </c>
      <c r="C743" t="s">
        <v>25</v>
      </c>
      <c r="D743" t="s">
        <v>47</v>
      </c>
      <c r="E743">
        <v>3032</v>
      </c>
      <c r="F743" t="s">
        <v>2691</v>
      </c>
      <c r="G743" t="s">
        <v>2692</v>
      </c>
      <c r="H743" t="s">
        <v>2693</v>
      </c>
      <c r="I743" t="s">
        <v>51</v>
      </c>
      <c r="J743" t="s">
        <v>52</v>
      </c>
      <c r="L743">
        <v>45713</v>
      </c>
      <c r="M743" t="s">
        <v>261</v>
      </c>
    </row>
    <row r="744" spans="1:13" x14ac:dyDescent="0.3">
      <c r="A744" t="s">
        <v>2694</v>
      </c>
      <c r="B744" t="s">
        <v>37</v>
      </c>
      <c r="C744" t="s">
        <v>24</v>
      </c>
      <c r="D744" t="s">
        <v>118</v>
      </c>
      <c r="E744">
        <v>3038</v>
      </c>
      <c r="F744" t="s">
        <v>2695</v>
      </c>
      <c r="G744" t="s">
        <v>2696</v>
      </c>
      <c r="H744" t="s">
        <v>2697</v>
      </c>
      <c r="I744" t="s">
        <v>122</v>
      </c>
      <c r="J744" t="s">
        <v>123</v>
      </c>
      <c r="L744">
        <v>45668</v>
      </c>
      <c r="M744" t="s">
        <v>95</v>
      </c>
    </row>
    <row r="745" spans="1:13" x14ac:dyDescent="0.3">
      <c r="A745" t="s">
        <v>2698</v>
      </c>
      <c r="B745" t="s">
        <v>46</v>
      </c>
      <c r="C745" t="s">
        <v>26</v>
      </c>
      <c r="D745" t="s">
        <v>207</v>
      </c>
      <c r="E745">
        <v>3041</v>
      </c>
      <c r="F745" t="s">
        <v>2699</v>
      </c>
      <c r="G745" t="s">
        <v>2700</v>
      </c>
      <c r="H745" t="s">
        <v>2701</v>
      </c>
      <c r="I745" t="s">
        <v>211</v>
      </c>
      <c r="J745" t="s">
        <v>14</v>
      </c>
      <c r="K745" t="s">
        <v>21</v>
      </c>
      <c r="L745">
        <v>45660</v>
      </c>
      <c r="M745" t="s">
        <v>394</v>
      </c>
    </row>
    <row r="746" spans="1:13" x14ac:dyDescent="0.3">
      <c r="A746" t="s">
        <v>2702</v>
      </c>
      <c r="B746" t="s">
        <v>37</v>
      </c>
      <c r="C746" t="s">
        <v>22</v>
      </c>
      <c r="D746" t="s">
        <v>97</v>
      </c>
      <c r="E746">
        <v>3036</v>
      </c>
      <c r="F746" t="s">
        <v>2703</v>
      </c>
      <c r="G746" t="s">
        <v>2704</v>
      </c>
      <c r="H746" t="s">
        <v>2704</v>
      </c>
      <c r="I746" t="s">
        <v>100</v>
      </c>
      <c r="J746" t="s">
        <v>101</v>
      </c>
      <c r="L746">
        <v>45693</v>
      </c>
      <c r="M746" t="s">
        <v>128</v>
      </c>
    </row>
    <row r="747" spans="1:13" x14ac:dyDescent="0.3">
      <c r="A747" t="s">
        <v>2705</v>
      </c>
      <c r="B747" t="s">
        <v>46</v>
      </c>
      <c r="C747" t="s">
        <v>26</v>
      </c>
      <c r="D747" t="s">
        <v>78</v>
      </c>
      <c r="E747">
        <v>3035</v>
      </c>
      <c r="F747" t="s">
        <v>2706</v>
      </c>
      <c r="G747" t="s">
        <v>2707</v>
      </c>
      <c r="H747" t="s">
        <v>2707</v>
      </c>
      <c r="I747" t="s">
        <v>81</v>
      </c>
      <c r="J747" t="s">
        <v>82</v>
      </c>
      <c r="L747">
        <v>45695</v>
      </c>
      <c r="M747" t="s">
        <v>287</v>
      </c>
    </row>
    <row r="748" spans="1:13" x14ac:dyDescent="0.3">
      <c r="A748" t="s">
        <v>2708</v>
      </c>
      <c r="B748" t="s">
        <v>37</v>
      </c>
      <c r="C748" t="s">
        <v>25</v>
      </c>
      <c r="D748" t="s">
        <v>55</v>
      </c>
      <c r="E748">
        <v>3033</v>
      </c>
      <c r="F748" t="s">
        <v>2709</v>
      </c>
      <c r="G748" t="s">
        <v>2710</v>
      </c>
      <c r="H748" t="s">
        <v>2710</v>
      </c>
      <c r="I748" t="s">
        <v>58</v>
      </c>
      <c r="J748" t="s">
        <v>59</v>
      </c>
      <c r="L748">
        <v>45706</v>
      </c>
      <c r="M748" t="s">
        <v>69</v>
      </c>
    </row>
    <row r="749" spans="1:13" x14ac:dyDescent="0.3">
      <c r="A749" t="s">
        <v>2711</v>
      </c>
      <c r="B749" t="s">
        <v>46</v>
      </c>
      <c r="C749" t="s">
        <v>22</v>
      </c>
      <c r="D749" t="s">
        <v>38</v>
      </c>
      <c r="E749">
        <v>3031</v>
      </c>
      <c r="F749" t="s">
        <v>2712</v>
      </c>
      <c r="G749" t="s">
        <v>2713</v>
      </c>
      <c r="H749" t="s">
        <v>2714</v>
      </c>
      <c r="I749" t="s">
        <v>42</v>
      </c>
      <c r="J749" t="s">
        <v>43</v>
      </c>
      <c r="L749">
        <v>45746</v>
      </c>
      <c r="M749" t="s">
        <v>76</v>
      </c>
    </row>
    <row r="750" spans="1:13" x14ac:dyDescent="0.3">
      <c r="A750" t="s">
        <v>2715</v>
      </c>
      <c r="B750" t="s">
        <v>37</v>
      </c>
      <c r="C750" t="s">
        <v>25</v>
      </c>
      <c r="D750" t="s">
        <v>97</v>
      </c>
      <c r="E750">
        <v>3036</v>
      </c>
      <c r="F750" t="s">
        <v>2716</v>
      </c>
      <c r="G750" t="s">
        <v>2717</v>
      </c>
      <c r="H750" t="s">
        <v>2717</v>
      </c>
      <c r="I750" t="s">
        <v>100</v>
      </c>
      <c r="J750" t="s">
        <v>101</v>
      </c>
      <c r="L750">
        <v>45695</v>
      </c>
      <c r="M750" t="s">
        <v>128</v>
      </c>
    </row>
    <row r="751" spans="1:13" x14ac:dyDescent="0.3">
      <c r="A751" t="s">
        <v>2718</v>
      </c>
      <c r="B751" t="s">
        <v>37</v>
      </c>
      <c r="C751" t="s">
        <v>25</v>
      </c>
      <c r="D751" t="s">
        <v>38</v>
      </c>
      <c r="E751">
        <v>3031</v>
      </c>
      <c r="F751" t="s">
        <v>2719</v>
      </c>
      <c r="G751" t="s">
        <v>2720</v>
      </c>
      <c r="H751" t="s">
        <v>2721</v>
      </c>
      <c r="I751" t="s">
        <v>42</v>
      </c>
      <c r="J751" t="s">
        <v>43</v>
      </c>
      <c r="L751">
        <v>45681</v>
      </c>
      <c r="M751" t="s">
        <v>44</v>
      </c>
    </row>
    <row r="752" spans="1:13" x14ac:dyDescent="0.3">
      <c r="A752" t="s">
        <v>2722</v>
      </c>
      <c r="B752" t="s">
        <v>46</v>
      </c>
      <c r="C752" t="s">
        <v>26</v>
      </c>
      <c r="D752" t="s">
        <v>444</v>
      </c>
      <c r="E752">
        <v>3042</v>
      </c>
      <c r="F752" t="s">
        <v>2723</v>
      </c>
      <c r="G752" t="s">
        <v>2724</v>
      </c>
      <c r="H752" t="s">
        <v>2724</v>
      </c>
      <c r="I752" t="s">
        <v>448</v>
      </c>
      <c r="J752" t="s">
        <v>449</v>
      </c>
      <c r="L752">
        <v>45731</v>
      </c>
      <c r="M752" t="s">
        <v>481</v>
      </c>
    </row>
    <row r="753" spans="1:13" x14ac:dyDescent="0.3">
      <c r="A753" t="s">
        <v>2725</v>
      </c>
      <c r="B753" t="s">
        <v>37</v>
      </c>
      <c r="C753" t="s">
        <v>22</v>
      </c>
      <c r="D753" t="s">
        <v>71</v>
      </c>
      <c r="E753">
        <v>3034</v>
      </c>
      <c r="F753" t="s">
        <v>2726</v>
      </c>
      <c r="G753" t="s">
        <v>2727</v>
      </c>
      <c r="H753" t="s">
        <v>2728</v>
      </c>
      <c r="I753" t="s">
        <v>74</v>
      </c>
      <c r="J753" t="s">
        <v>75</v>
      </c>
      <c r="L753">
        <v>45665</v>
      </c>
      <c r="M753" t="s">
        <v>205</v>
      </c>
    </row>
    <row r="754" spans="1:13" x14ac:dyDescent="0.3">
      <c r="A754" t="s">
        <v>2729</v>
      </c>
      <c r="B754" t="s">
        <v>37</v>
      </c>
      <c r="C754" t="s">
        <v>24</v>
      </c>
      <c r="D754" t="s">
        <v>136</v>
      </c>
      <c r="E754">
        <v>3039</v>
      </c>
      <c r="F754" t="s">
        <v>2730</v>
      </c>
      <c r="G754" t="s">
        <v>2731</v>
      </c>
      <c r="H754" t="s">
        <v>2731</v>
      </c>
      <c r="I754" t="s">
        <v>15</v>
      </c>
      <c r="J754" t="s">
        <v>14</v>
      </c>
      <c r="K754" t="s">
        <v>21</v>
      </c>
      <c r="L754">
        <v>45669</v>
      </c>
      <c r="M754" t="s">
        <v>200</v>
      </c>
    </row>
    <row r="755" spans="1:13" x14ac:dyDescent="0.3">
      <c r="A755" t="s">
        <v>2732</v>
      </c>
      <c r="B755" t="s">
        <v>37</v>
      </c>
      <c r="C755" t="s">
        <v>26</v>
      </c>
      <c r="D755" t="s">
        <v>97</v>
      </c>
      <c r="E755">
        <v>3036</v>
      </c>
      <c r="F755" t="s">
        <v>2733</v>
      </c>
      <c r="G755" t="s">
        <v>2734</v>
      </c>
      <c r="H755" t="s">
        <v>2735</v>
      </c>
      <c r="I755" t="s">
        <v>100</v>
      </c>
      <c r="J755" t="s">
        <v>101</v>
      </c>
      <c r="L755">
        <v>45737</v>
      </c>
      <c r="M755" t="s">
        <v>128</v>
      </c>
    </row>
    <row r="756" spans="1:13" x14ac:dyDescent="0.3">
      <c r="A756" t="s">
        <v>2736</v>
      </c>
      <c r="B756" t="s">
        <v>37</v>
      </c>
      <c r="C756" t="s">
        <v>24</v>
      </c>
      <c r="D756" t="s">
        <v>118</v>
      </c>
      <c r="E756">
        <v>3038</v>
      </c>
      <c r="F756" t="s">
        <v>2737</v>
      </c>
      <c r="G756" t="s">
        <v>2738</v>
      </c>
      <c r="H756" t="s">
        <v>2738</v>
      </c>
      <c r="I756" t="s">
        <v>122</v>
      </c>
      <c r="J756" t="s">
        <v>123</v>
      </c>
      <c r="L756">
        <v>45723</v>
      </c>
      <c r="M756" t="s">
        <v>124</v>
      </c>
    </row>
    <row r="757" spans="1:13" x14ac:dyDescent="0.3">
      <c r="A757" t="s">
        <v>2739</v>
      </c>
      <c r="B757" t="s">
        <v>46</v>
      </c>
      <c r="C757" t="s">
        <v>25</v>
      </c>
      <c r="D757" t="s">
        <v>191</v>
      </c>
      <c r="E757">
        <v>3040</v>
      </c>
      <c r="F757" t="s">
        <v>2740</v>
      </c>
      <c r="G757" t="s">
        <v>2741</v>
      </c>
      <c r="H757" t="s">
        <v>2741</v>
      </c>
      <c r="I757" t="s">
        <v>194</v>
      </c>
      <c r="J757" t="s">
        <v>13</v>
      </c>
      <c r="L757">
        <v>45739</v>
      </c>
      <c r="M757" t="s">
        <v>195</v>
      </c>
    </row>
    <row r="758" spans="1:13" x14ac:dyDescent="0.3">
      <c r="A758" t="s">
        <v>2742</v>
      </c>
      <c r="B758" t="s">
        <v>37</v>
      </c>
      <c r="C758" t="s">
        <v>22</v>
      </c>
      <c r="D758" t="s">
        <v>104</v>
      </c>
      <c r="E758">
        <v>3037</v>
      </c>
      <c r="F758" t="s">
        <v>2743</v>
      </c>
      <c r="G758" t="s">
        <v>2744</v>
      </c>
      <c r="H758" t="s">
        <v>2745</v>
      </c>
      <c r="I758" t="s">
        <v>12</v>
      </c>
      <c r="J758" t="s">
        <v>13</v>
      </c>
      <c r="L758">
        <v>45682</v>
      </c>
      <c r="M758" t="s">
        <v>189</v>
      </c>
    </row>
    <row r="759" spans="1:13" x14ac:dyDescent="0.3">
      <c r="A759" t="s">
        <v>2746</v>
      </c>
      <c r="B759" t="s">
        <v>46</v>
      </c>
      <c r="C759" t="s">
        <v>22</v>
      </c>
      <c r="D759" t="s">
        <v>104</v>
      </c>
      <c r="E759">
        <v>3037</v>
      </c>
      <c r="F759" t="s">
        <v>2747</v>
      </c>
      <c r="G759" t="s">
        <v>2748</v>
      </c>
      <c r="H759" t="s">
        <v>2748</v>
      </c>
      <c r="I759" t="s">
        <v>12</v>
      </c>
      <c r="J759" t="s">
        <v>13</v>
      </c>
      <c r="L759">
        <v>45735</v>
      </c>
      <c r="M759" t="s">
        <v>224</v>
      </c>
    </row>
    <row r="760" spans="1:13" x14ac:dyDescent="0.3">
      <c r="A760" t="s">
        <v>2749</v>
      </c>
      <c r="B760" t="s">
        <v>46</v>
      </c>
      <c r="C760" t="s">
        <v>25</v>
      </c>
      <c r="D760" t="s">
        <v>55</v>
      </c>
      <c r="E760">
        <v>3033</v>
      </c>
      <c r="F760" t="s">
        <v>2750</v>
      </c>
      <c r="G760" t="s">
        <v>2751</v>
      </c>
      <c r="H760" t="s">
        <v>2752</v>
      </c>
      <c r="I760" t="s">
        <v>58</v>
      </c>
      <c r="J760" t="s">
        <v>59</v>
      </c>
      <c r="L760">
        <v>45710</v>
      </c>
      <c r="M760" t="s">
        <v>90</v>
      </c>
    </row>
    <row r="761" spans="1:13" x14ac:dyDescent="0.3">
      <c r="A761" t="s">
        <v>2753</v>
      </c>
      <c r="B761" t="s">
        <v>46</v>
      </c>
      <c r="C761" t="s">
        <v>25</v>
      </c>
      <c r="D761" t="s">
        <v>38</v>
      </c>
      <c r="E761">
        <v>3031</v>
      </c>
      <c r="F761" t="s">
        <v>2754</v>
      </c>
      <c r="G761" t="s">
        <v>2755</v>
      </c>
      <c r="H761" t="s">
        <v>2756</v>
      </c>
      <c r="I761" t="s">
        <v>42</v>
      </c>
      <c r="J761" t="s">
        <v>43</v>
      </c>
      <c r="K761" t="s">
        <v>21</v>
      </c>
      <c r="L761">
        <v>45659</v>
      </c>
      <c r="M761" t="s">
        <v>287</v>
      </c>
    </row>
    <row r="762" spans="1:13" x14ac:dyDescent="0.3">
      <c r="A762" t="s">
        <v>2757</v>
      </c>
      <c r="B762" t="s">
        <v>37</v>
      </c>
      <c r="C762" t="s">
        <v>26</v>
      </c>
      <c r="D762" t="s">
        <v>71</v>
      </c>
      <c r="E762">
        <v>3034</v>
      </c>
      <c r="F762" t="s">
        <v>1309</v>
      </c>
      <c r="G762" t="s">
        <v>2758</v>
      </c>
      <c r="H762" t="s">
        <v>2758</v>
      </c>
      <c r="I762" t="s">
        <v>74</v>
      </c>
      <c r="J762" t="s">
        <v>75</v>
      </c>
      <c r="L762">
        <v>45697</v>
      </c>
      <c r="M762" t="s">
        <v>165</v>
      </c>
    </row>
    <row r="763" spans="1:13" x14ac:dyDescent="0.3">
      <c r="A763" t="s">
        <v>2759</v>
      </c>
      <c r="B763" t="s">
        <v>46</v>
      </c>
      <c r="C763" t="s">
        <v>26</v>
      </c>
      <c r="D763" t="s">
        <v>78</v>
      </c>
      <c r="E763">
        <v>3035</v>
      </c>
      <c r="F763" t="s">
        <v>2760</v>
      </c>
      <c r="G763" t="s">
        <v>2761</v>
      </c>
      <c r="H763" t="s">
        <v>2762</v>
      </c>
      <c r="I763" t="s">
        <v>81</v>
      </c>
      <c r="J763" t="s">
        <v>82</v>
      </c>
      <c r="L763">
        <v>45723</v>
      </c>
      <c r="M763" t="s">
        <v>489</v>
      </c>
    </row>
    <row r="764" spans="1:13" x14ac:dyDescent="0.3">
      <c r="A764" t="s">
        <v>2763</v>
      </c>
      <c r="B764" t="s">
        <v>37</v>
      </c>
      <c r="C764" t="s">
        <v>25</v>
      </c>
      <c r="D764" t="s">
        <v>207</v>
      </c>
      <c r="E764">
        <v>3041</v>
      </c>
      <c r="F764" t="s">
        <v>2764</v>
      </c>
      <c r="G764" t="s">
        <v>2765</v>
      </c>
      <c r="H764" t="s">
        <v>2766</v>
      </c>
      <c r="I764" t="s">
        <v>211</v>
      </c>
      <c r="J764" t="s">
        <v>14</v>
      </c>
      <c r="L764">
        <v>45706</v>
      </c>
      <c r="M764" t="s">
        <v>300</v>
      </c>
    </row>
    <row r="765" spans="1:13" x14ac:dyDescent="0.3">
      <c r="A765" t="s">
        <v>2767</v>
      </c>
      <c r="B765" t="s">
        <v>46</v>
      </c>
      <c r="C765" t="s">
        <v>25</v>
      </c>
      <c r="D765" t="s">
        <v>207</v>
      </c>
      <c r="E765">
        <v>3041</v>
      </c>
      <c r="F765" t="s">
        <v>2768</v>
      </c>
      <c r="G765" t="s">
        <v>2769</v>
      </c>
      <c r="H765" t="s">
        <v>2770</v>
      </c>
      <c r="I765" t="s">
        <v>211</v>
      </c>
      <c r="J765" t="s">
        <v>14</v>
      </c>
      <c r="L765">
        <v>45663</v>
      </c>
      <c r="M765" t="s">
        <v>300</v>
      </c>
    </row>
    <row r="766" spans="1:13" x14ac:dyDescent="0.3">
      <c r="A766" t="s">
        <v>2771</v>
      </c>
      <c r="B766" t="s">
        <v>46</v>
      </c>
      <c r="C766" t="s">
        <v>22</v>
      </c>
      <c r="D766" t="s">
        <v>104</v>
      </c>
      <c r="E766">
        <v>3037</v>
      </c>
      <c r="F766" t="s">
        <v>2772</v>
      </c>
      <c r="G766" t="s">
        <v>2773</v>
      </c>
      <c r="H766" t="s">
        <v>2774</v>
      </c>
      <c r="I766" t="s">
        <v>12</v>
      </c>
      <c r="J766" t="s">
        <v>13</v>
      </c>
      <c r="L766">
        <v>45729</v>
      </c>
      <c r="M766" t="s">
        <v>76</v>
      </c>
    </row>
    <row r="767" spans="1:13" x14ac:dyDescent="0.3">
      <c r="A767" t="s">
        <v>2775</v>
      </c>
      <c r="B767" t="s">
        <v>46</v>
      </c>
      <c r="C767" t="s">
        <v>26</v>
      </c>
      <c r="D767" t="s">
        <v>118</v>
      </c>
      <c r="E767">
        <v>3038</v>
      </c>
      <c r="F767" t="s">
        <v>2776</v>
      </c>
      <c r="G767" t="s">
        <v>2777</v>
      </c>
      <c r="H767" t="s">
        <v>2778</v>
      </c>
      <c r="I767" t="s">
        <v>122</v>
      </c>
      <c r="J767" t="s">
        <v>123</v>
      </c>
      <c r="L767">
        <v>45691</v>
      </c>
      <c r="M767" t="s">
        <v>200</v>
      </c>
    </row>
    <row r="768" spans="1:13" x14ac:dyDescent="0.3">
      <c r="A768" t="s">
        <v>2779</v>
      </c>
      <c r="B768" t="s">
        <v>37</v>
      </c>
      <c r="C768" t="s">
        <v>26</v>
      </c>
      <c r="D768" t="s">
        <v>136</v>
      </c>
      <c r="E768">
        <v>3039</v>
      </c>
      <c r="F768" t="s">
        <v>2780</v>
      </c>
      <c r="G768" t="s">
        <v>2781</v>
      </c>
      <c r="H768" t="s">
        <v>2781</v>
      </c>
      <c r="I768" t="s">
        <v>15</v>
      </c>
      <c r="J768" t="s">
        <v>14</v>
      </c>
      <c r="L768">
        <v>45719</v>
      </c>
      <c r="M768" t="s">
        <v>382</v>
      </c>
    </row>
    <row r="769" spans="1:13" x14ac:dyDescent="0.3">
      <c r="A769" t="s">
        <v>2782</v>
      </c>
      <c r="B769" t="s">
        <v>46</v>
      </c>
      <c r="C769" t="s">
        <v>22</v>
      </c>
      <c r="D769" t="s">
        <v>444</v>
      </c>
      <c r="E769">
        <v>3042</v>
      </c>
      <c r="F769" t="s">
        <v>2783</v>
      </c>
      <c r="G769" t="s">
        <v>2784</v>
      </c>
      <c r="H769" t="s">
        <v>2784</v>
      </c>
      <c r="I769" t="s">
        <v>448</v>
      </c>
      <c r="J769" t="s">
        <v>449</v>
      </c>
      <c r="L769">
        <v>45715</v>
      </c>
      <c r="M769" t="s">
        <v>363</v>
      </c>
    </row>
    <row r="770" spans="1:13" x14ac:dyDescent="0.3">
      <c r="A770" t="s">
        <v>2785</v>
      </c>
      <c r="B770" t="s">
        <v>37</v>
      </c>
      <c r="C770" t="s">
        <v>26</v>
      </c>
      <c r="D770" t="s">
        <v>71</v>
      </c>
      <c r="E770">
        <v>3034</v>
      </c>
      <c r="F770" t="s">
        <v>2786</v>
      </c>
      <c r="G770" t="s">
        <v>2787</v>
      </c>
      <c r="H770" t="s">
        <v>2787</v>
      </c>
      <c r="I770" t="s">
        <v>74</v>
      </c>
      <c r="J770" t="s">
        <v>75</v>
      </c>
      <c r="L770">
        <v>45681</v>
      </c>
      <c r="M770" t="s">
        <v>205</v>
      </c>
    </row>
    <row r="771" spans="1:13" x14ac:dyDescent="0.3">
      <c r="A771" t="s">
        <v>2788</v>
      </c>
      <c r="B771" t="s">
        <v>37</v>
      </c>
      <c r="C771" t="s">
        <v>26</v>
      </c>
      <c r="D771" t="s">
        <v>55</v>
      </c>
      <c r="E771">
        <v>3033</v>
      </c>
      <c r="F771" t="s">
        <v>2789</v>
      </c>
      <c r="G771" t="s">
        <v>2790</v>
      </c>
      <c r="H771" t="s">
        <v>2791</v>
      </c>
      <c r="I771" t="s">
        <v>58</v>
      </c>
      <c r="J771" t="s">
        <v>59</v>
      </c>
      <c r="L771">
        <v>45696</v>
      </c>
      <c r="M771" t="s">
        <v>60</v>
      </c>
    </row>
    <row r="772" spans="1:13" x14ac:dyDescent="0.3">
      <c r="A772" t="s">
        <v>2792</v>
      </c>
      <c r="B772" t="s">
        <v>46</v>
      </c>
      <c r="C772" t="s">
        <v>26</v>
      </c>
      <c r="D772" t="s">
        <v>136</v>
      </c>
      <c r="E772">
        <v>3039</v>
      </c>
      <c r="F772" t="s">
        <v>2793</v>
      </c>
      <c r="G772" t="s">
        <v>2794</v>
      </c>
      <c r="H772" t="s">
        <v>2795</v>
      </c>
      <c r="I772" t="s">
        <v>15</v>
      </c>
      <c r="J772" t="s">
        <v>14</v>
      </c>
      <c r="K772" t="s">
        <v>21</v>
      </c>
      <c r="L772">
        <v>45740</v>
      </c>
      <c r="M772" t="s">
        <v>389</v>
      </c>
    </row>
    <row r="773" spans="1:13" x14ac:dyDescent="0.3">
      <c r="A773" t="s">
        <v>2796</v>
      </c>
      <c r="B773" t="s">
        <v>37</v>
      </c>
      <c r="C773" t="s">
        <v>25</v>
      </c>
      <c r="D773" t="s">
        <v>118</v>
      </c>
      <c r="E773">
        <v>3038</v>
      </c>
      <c r="F773" t="s">
        <v>2797</v>
      </c>
      <c r="G773" t="s">
        <v>2798</v>
      </c>
      <c r="H773" t="s">
        <v>2799</v>
      </c>
      <c r="I773" t="s">
        <v>122</v>
      </c>
      <c r="J773" t="s">
        <v>123</v>
      </c>
      <c r="L773">
        <v>45687</v>
      </c>
      <c r="M773" t="s">
        <v>344</v>
      </c>
    </row>
    <row r="774" spans="1:13" x14ac:dyDescent="0.3">
      <c r="A774" t="s">
        <v>2800</v>
      </c>
      <c r="B774" t="s">
        <v>46</v>
      </c>
      <c r="C774" t="s">
        <v>22</v>
      </c>
      <c r="D774" t="s">
        <v>55</v>
      </c>
      <c r="E774">
        <v>3033</v>
      </c>
      <c r="F774" t="s">
        <v>2801</v>
      </c>
      <c r="G774" t="s">
        <v>2802</v>
      </c>
      <c r="H774" t="s">
        <v>2802</v>
      </c>
      <c r="I774" t="s">
        <v>58</v>
      </c>
      <c r="J774" t="s">
        <v>59</v>
      </c>
      <c r="L774">
        <v>45658</v>
      </c>
      <c r="M774" t="s">
        <v>69</v>
      </c>
    </row>
    <row r="775" spans="1:13" x14ac:dyDescent="0.3">
      <c r="A775" t="s">
        <v>2803</v>
      </c>
      <c r="B775" t="s">
        <v>46</v>
      </c>
      <c r="C775" t="s">
        <v>24</v>
      </c>
      <c r="D775" t="s">
        <v>136</v>
      </c>
      <c r="E775">
        <v>3039</v>
      </c>
      <c r="F775" t="s">
        <v>2804</v>
      </c>
      <c r="G775" t="s">
        <v>2805</v>
      </c>
      <c r="H775" t="s">
        <v>2805</v>
      </c>
      <c r="I775" t="s">
        <v>15</v>
      </c>
      <c r="J775" t="s">
        <v>14</v>
      </c>
      <c r="K775" t="s">
        <v>21</v>
      </c>
      <c r="L775">
        <v>45720</v>
      </c>
      <c r="M775" t="s">
        <v>577</v>
      </c>
    </row>
    <row r="776" spans="1:13" x14ac:dyDescent="0.3">
      <c r="A776" t="s">
        <v>2806</v>
      </c>
      <c r="B776" t="s">
        <v>37</v>
      </c>
      <c r="C776" t="s">
        <v>24</v>
      </c>
      <c r="D776" t="s">
        <v>444</v>
      </c>
      <c r="E776">
        <v>3042</v>
      </c>
      <c r="F776" t="s">
        <v>2807</v>
      </c>
      <c r="G776" t="s">
        <v>2808</v>
      </c>
      <c r="H776" t="s">
        <v>2809</v>
      </c>
      <c r="I776" t="s">
        <v>448</v>
      </c>
      <c r="J776" t="s">
        <v>449</v>
      </c>
      <c r="K776" t="s">
        <v>21</v>
      </c>
      <c r="L776">
        <v>45707</v>
      </c>
      <c r="M776" t="s">
        <v>363</v>
      </c>
    </row>
    <row r="777" spans="1:13" x14ac:dyDescent="0.3">
      <c r="A777" t="s">
        <v>2810</v>
      </c>
      <c r="B777" t="s">
        <v>46</v>
      </c>
      <c r="C777" t="s">
        <v>25</v>
      </c>
      <c r="D777" t="s">
        <v>207</v>
      </c>
      <c r="E777">
        <v>3041</v>
      </c>
      <c r="F777" t="s">
        <v>2811</v>
      </c>
      <c r="G777" t="s">
        <v>2812</v>
      </c>
      <c r="H777" t="s">
        <v>2812</v>
      </c>
      <c r="I777" t="s">
        <v>211</v>
      </c>
      <c r="J777" t="s">
        <v>14</v>
      </c>
      <c r="K777" t="s">
        <v>21</v>
      </c>
      <c r="L777">
        <v>45719</v>
      </c>
      <c r="M777" t="s">
        <v>577</v>
      </c>
    </row>
    <row r="778" spans="1:13" x14ac:dyDescent="0.3">
      <c r="A778" t="s">
        <v>2813</v>
      </c>
      <c r="B778" t="s">
        <v>37</v>
      </c>
      <c r="C778" t="s">
        <v>26</v>
      </c>
      <c r="D778" t="s">
        <v>78</v>
      </c>
      <c r="E778">
        <v>3035</v>
      </c>
      <c r="F778" t="s">
        <v>2814</v>
      </c>
      <c r="G778" t="s">
        <v>2815</v>
      </c>
      <c r="H778" t="s">
        <v>2815</v>
      </c>
      <c r="I778" t="s">
        <v>81</v>
      </c>
      <c r="J778" t="s">
        <v>82</v>
      </c>
      <c r="L778">
        <v>45732</v>
      </c>
      <c r="M778" t="s">
        <v>205</v>
      </c>
    </row>
    <row r="779" spans="1:13" x14ac:dyDescent="0.3">
      <c r="A779" t="s">
        <v>2816</v>
      </c>
      <c r="B779" t="s">
        <v>37</v>
      </c>
      <c r="C779" t="s">
        <v>26</v>
      </c>
      <c r="D779" t="s">
        <v>136</v>
      </c>
      <c r="E779">
        <v>3039</v>
      </c>
      <c r="F779" t="s">
        <v>2817</v>
      </c>
      <c r="G779" t="s">
        <v>2818</v>
      </c>
      <c r="H779" t="s">
        <v>2819</v>
      </c>
      <c r="I779" t="s">
        <v>15</v>
      </c>
      <c r="J779" t="s">
        <v>14</v>
      </c>
      <c r="K779" t="s">
        <v>21</v>
      </c>
      <c r="L779">
        <v>45706</v>
      </c>
      <c r="M779" t="s">
        <v>140</v>
      </c>
    </row>
    <row r="780" spans="1:13" x14ac:dyDescent="0.3">
      <c r="A780" t="s">
        <v>2820</v>
      </c>
      <c r="B780" t="s">
        <v>37</v>
      </c>
      <c r="C780" t="s">
        <v>26</v>
      </c>
      <c r="D780" t="s">
        <v>47</v>
      </c>
      <c r="E780">
        <v>3032</v>
      </c>
      <c r="F780" t="s">
        <v>2821</v>
      </c>
      <c r="G780" t="s">
        <v>2822</v>
      </c>
      <c r="H780" t="s">
        <v>2823</v>
      </c>
      <c r="I780" t="s">
        <v>51</v>
      </c>
      <c r="J780" t="s">
        <v>52</v>
      </c>
      <c r="L780">
        <v>45737</v>
      </c>
      <c r="M780" t="s">
        <v>881</v>
      </c>
    </row>
    <row r="781" spans="1:13" x14ac:dyDescent="0.3">
      <c r="A781" t="s">
        <v>2824</v>
      </c>
      <c r="B781" t="s">
        <v>46</v>
      </c>
      <c r="C781" t="s">
        <v>25</v>
      </c>
      <c r="D781" t="s">
        <v>47</v>
      </c>
      <c r="E781">
        <v>3032</v>
      </c>
      <c r="F781" t="s">
        <v>2825</v>
      </c>
      <c r="G781" t="s">
        <v>2826</v>
      </c>
      <c r="H781" t="s">
        <v>2826</v>
      </c>
      <c r="I781" t="s">
        <v>51</v>
      </c>
      <c r="J781" t="s">
        <v>52</v>
      </c>
      <c r="L781">
        <v>45708</v>
      </c>
      <c r="M781" t="s">
        <v>476</v>
      </c>
    </row>
    <row r="782" spans="1:13" x14ac:dyDescent="0.3">
      <c r="A782" t="s">
        <v>2827</v>
      </c>
      <c r="B782" t="s">
        <v>46</v>
      </c>
      <c r="C782" t="s">
        <v>24</v>
      </c>
      <c r="D782" t="s">
        <v>38</v>
      </c>
      <c r="E782">
        <v>3031</v>
      </c>
      <c r="F782" t="s">
        <v>2828</v>
      </c>
      <c r="G782" t="s">
        <v>2829</v>
      </c>
      <c r="H782" t="s">
        <v>2830</v>
      </c>
      <c r="I782" t="s">
        <v>42</v>
      </c>
      <c r="J782" t="s">
        <v>43</v>
      </c>
      <c r="L782">
        <v>45706</v>
      </c>
      <c r="M782" t="s">
        <v>420</v>
      </c>
    </row>
    <row r="783" spans="1:13" x14ac:dyDescent="0.3">
      <c r="A783" t="s">
        <v>2831</v>
      </c>
      <c r="B783" t="s">
        <v>46</v>
      </c>
      <c r="C783" t="s">
        <v>25</v>
      </c>
      <c r="D783" t="s">
        <v>207</v>
      </c>
      <c r="E783">
        <v>3041</v>
      </c>
      <c r="F783" t="s">
        <v>2832</v>
      </c>
      <c r="G783" t="s">
        <v>2833</v>
      </c>
      <c r="H783" t="s">
        <v>2833</v>
      </c>
      <c r="I783" t="s">
        <v>211</v>
      </c>
      <c r="J783" t="s">
        <v>14</v>
      </c>
      <c r="L783">
        <v>45718</v>
      </c>
      <c r="M783" t="s">
        <v>577</v>
      </c>
    </row>
    <row r="784" spans="1:13" x14ac:dyDescent="0.3">
      <c r="A784" t="s">
        <v>2834</v>
      </c>
      <c r="B784" t="s">
        <v>46</v>
      </c>
      <c r="C784" t="s">
        <v>24</v>
      </c>
      <c r="D784" t="s">
        <v>78</v>
      </c>
      <c r="E784">
        <v>3035</v>
      </c>
      <c r="F784" t="s">
        <v>2835</v>
      </c>
      <c r="G784" t="s">
        <v>2836</v>
      </c>
      <c r="H784" t="s">
        <v>2837</v>
      </c>
      <c r="I784" t="s">
        <v>81</v>
      </c>
      <c r="J784" t="s">
        <v>82</v>
      </c>
      <c r="L784">
        <v>45714</v>
      </c>
      <c r="M784" t="s">
        <v>489</v>
      </c>
    </row>
    <row r="785" spans="1:13" x14ac:dyDescent="0.3">
      <c r="A785" t="s">
        <v>2838</v>
      </c>
      <c r="B785" t="s">
        <v>37</v>
      </c>
      <c r="C785" t="s">
        <v>22</v>
      </c>
      <c r="D785" t="s">
        <v>47</v>
      </c>
      <c r="E785">
        <v>3032</v>
      </c>
      <c r="F785" t="s">
        <v>2839</v>
      </c>
      <c r="G785" t="s">
        <v>2840</v>
      </c>
      <c r="H785" t="s">
        <v>2840</v>
      </c>
      <c r="I785" t="s">
        <v>51</v>
      </c>
      <c r="J785" t="s">
        <v>52</v>
      </c>
      <c r="L785">
        <v>45708</v>
      </c>
      <c r="M785" t="s">
        <v>261</v>
      </c>
    </row>
    <row r="786" spans="1:13" x14ac:dyDescent="0.3">
      <c r="A786" t="s">
        <v>2841</v>
      </c>
      <c r="B786" t="s">
        <v>46</v>
      </c>
      <c r="C786" t="s">
        <v>22</v>
      </c>
      <c r="D786" t="s">
        <v>191</v>
      </c>
      <c r="E786">
        <v>3040</v>
      </c>
      <c r="F786" t="s">
        <v>2842</v>
      </c>
      <c r="G786" t="s">
        <v>2843</v>
      </c>
      <c r="H786" t="s">
        <v>2843</v>
      </c>
      <c r="I786" t="s">
        <v>194</v>
      </c>
      <c r="J786" t="s">
        <v>13</v>
      </c>
      <c r="L786">
        <v>45724</v>
      </c>
      <c r="M786" t="s">
        <v>160</v>
      </c>
    </row>
    <row r="787" spans="1:13" x14ac:dyDescent="0.3">
      <c r="A787" t="s">
        <v>2844</v>
      </c>
      <c r="B787" t="s">
        <v>46</v>
      </c>
      <c r="C787" t="s">
        <v>22</v>
      </c>
      <c r="D787" t="s">
        <v>55</v>
      </c>
      <c r="E787">
        <v>3033</v>
      </c>
      <c r="F787" t="s">
        <v>2845</v>
      </c>
      <c r="G787" t="s">
        <v>2846</v>
      </c>
      <c r="H787" t="s">
        <v>2847</v>
      </c>
      <c r="I787" t="s">
        <v>58</v>
      </c>
      <c r="J787" t="s">
        <v>59</v>
      </c>
      <c r="L787">
        <v>45728</v>
      </c>
      <c r="M787" t="s">
        <v>60</v>
      </c>
    </row>
    <row r="788" spans="1:13" x14ac:dyDescent="0.3">
      <c r="A788" t="s">
        <v>2848</v>
      </c>
      <c r="B788" t="s">
        <v>46</v>
      </c>
      <c r="C788" t="s">
        <v>22</v>
      </c>
      <c r="D788" t="s">
        <v>444</v>
      </c>
      <c r="E788">
        <v>3042</v>
      </c>
      <c r="F788" t="s">
        <v>2849</v>
      </c>
      <c r="G788" t="s">
        <v>2850</v>
      </c>
      <c r="H788" t="s">
        <v>2850</v>
      </c>
      <c r="I788" t="s">
        <v>448</v>
      </c>
      <c r="J788" t="s">
        <v>449</v>
      </c>
      <c r="L788">
        <v>45722</v>
      </c>
      <c r="M788" t="s">
        <v>224</v>
      </c>
    </row>
    <row r="789" spans="1:13" x14ac:dyDescent="0.3">
      <c r="A789" t="s">
        <v>2851</v>
      </c>
      <c r="B789" t="s">
        <v>37</v>
      </c>
      <c r="C789" t="s">
        <v>26</v>
      </c>
      <c r="D789" t="s">
        <v>207</v>
      </c>
      <c r="E789">
        <v>3041</v>
      </c>
      <c r="F789" t="s">
        <v>2852</v>
      </c>
      <c r="G789" t="s">
        <v>2853</v>
      </c>
      <c r="H789" t="s">
        <v>2853</v>
      </c>
      <c r="I789" t="s">
        <v>211</v>
      </c>
      <c r="J789" t="s">
        <v>14</v>
      </c>
      <c r="L789">
        <v>45696</v>
      </c>
      <c r="M789" t="s">
        <v>300</v>
      </c>
    </row>
    <row r="790" spans="1:13" x14ac:dyDescent="0.3">
      <c r="A790" t="s">
        <v>2854</v>
      </c>
      <c r="B790" t="s">
        <v>46</v>
      </c>
      <c r="C790" t="s">
        <v>26</v>
      </c>
      <c r="D790" t="s">
        <v>207</v>
      </c>
      <c r="E790">
        <v>3041</v>
      </c>
      <c r="F790" t="s">
        <v>2855</v>
      </c>
      <c r="G790" t="s">
        <v>2856</v>
      </c>
      <c r="H790" t="s">
        <v>2856</v>
      </c>
      <c r="I790" t="s">
        <v>211</v>
      </c>
      <c r="J790" t="s">
        <v>14</v>
      </c>
      <c r="K790" t="s">
        <v>21</v>
      </c>
      <c r="L790">
        <v>45727</v>
      </c>
      <c r="M790" t="s">
        <v>394</v>
      </c>
    </row>
    <row r="791" spans="1:13" x14ac:dyDescent="0.3">
      <c r="A791" t="s">
        <v>2857</v>
      </c>
      <c r="B791" t="s">
        <v>46</v>
      </c>
      <c r="C791" t="s">
        <v>25</v>
      </c>
      <c r="D791" t="s">
        <v>191</v>
      </c>
      <c r="E791">
        <v>3040</v>
      </c>
      <c r="F791" t="s">
        <v>2858</v>
      </c>
      <c r="G791" t="s">
        <v>2859</v>
      </c>
      <c r="H791" t="s">
        <v>2859</v>
      </c>
      <c r="I791" t="s">
        <v>194</v>
      </c>
      <c r="J791" t="s">
        <v>13</v>
      </c>
      <c r="L791">
        <v>45669</v>
      </c>
      <c r="M791" t="s">
        <v>160</v>
      </c>
    </row>
    <row r="792" spans="1:13" x14ac:dyDescent="0.3">
      <c r="A792" t="s">
        <v>2860</v>
      </c>
      <c r="B792" t="s">
        <v>37</v>
      </c>
      <c r="C792" t="s">
        <v>24</v>
      </c>
      <c r="D792" t="s">
        <v>97</v>
      </c>
      <c r="E792">
        <v>3036</v>
      </c>
      <c r="F792" t="s">
        <v>2861</v>
      </c>
      <c r="G792" t="s">
        <v>2862</v>
      </c>
      <c r="H792" t="s">
        <v>2863</v>
      </c>
      <c r="I792" t="s">
        <v>100</v>
      </c>
      <c r="J792" t="s">
        <v>101</v>
      </c>
      <c r="K792" t="s">
        <v>21</v>
      </c>
      <c r="L792">
        <v>45673</v>
      </c>
      <c r="M792" t="s">
        <v>128</v>
      </c>
    </row>
    <row r="793" spans="1:13" x14ac:dyDescent="0.3">
      <c r="A793" t="s">
        <v>2864</v>
      </c>
      <c r="B793" t="s">
        <v>46</v>
      </c>
      <c r="C793" t="s">
        <v>25</v>
      </c>
      <c r="D793" t="s">
        <v>78</v>
      </c>
      <c r="E793">
        <v>3035</v>
      </c>
      <c r="F793" t="s">
        <v>2865</v>
      </c>
      <c r="G793" t="s">
        <v>2866</v>
      </c>
      <c r="H793" t="s">
        <v>2866</v>
      </c>
      <c r="I793" t="s">
        <v>81</v>
      </c>
      <c r="J793" t="s">
        <v>82</v>
      </c>
      <c r="L793">
        <v>45742</v>
      </c>
      <c r="M793" t="s">
        <v>69</v>
      </c>
    </row>
    <row r="794" spans="1:13" x14ac:dyDescent="0.3">
      <c r="A794" t="s">
        <v>2867</v>
      </c>
      <c r="B794" t="s">
        <v>46</v>
      </c>
      <c r="C794" t="s">
        <v>26</v>
      </c>
      <c r="D794" t="s">
        <v>38</v>
      </c>
      <c r="E794">
        <v>3031</v>
      </c>
      <c r="F794" t="s">
        <v>2868</v>
      </c>
      <c r="G794" t="s">
        <v>2869</v>
      </c>
      <c r="H794" t="s">
        <v>2870</v>
      </c>
      <c r="I794" t="s">
        <v>42</v>
      </c>
      <c r="J794" t="s">
        <v>43</v>
      </c>
      <c r="L794">
        <v>45683</v>
      </c>
      <c r="M794" t="s">
        <v>420</v>
      </c>
    </row>
    <row r="795" spans="1:13" x14ac:dyDescent="0.3">
      <c r="A795" t="s">
        <v>2871</v>
      </c>
      <c r="B795" t="s">
        <v>37</v>
      </c>
      <c r="C795" t="s">
        <v>22</v>
      </c>
      <c r="D795" t="s">
        <v>47</v>
      </c>
      <c r="E795">
        <v>3032</v>
      </c>
      <c r="F795" t="s">
        <v>2872</v>
      </c>
      <c r="G795" t="s">
        <v>2873</v>
      </c>
      <c r="H795" t="s">
        <v>2873</v>
      </c>
      <c r="I795" t="s">
        <v>51</v>
      </c>
      <c r="J795" t="s">
        <v>52</v>
      </c>
      <c r="L795">
        <v>45670</v>
      </c>
      <c r="M795" t="s">
        <v>261</v>
      </c>
    </row>
    <row r="796" spans="1:13" x14ac:dyDescent="0.3">
      <c r="A796" t="s">
        <v>2874</v>
      </c>
      <c r="B796" t="s">
        <v>37</v>
      </c>
      <c r="C796" t="s">
        <v>22</v>
      </c>
      <c r="D796" t="s">
        <v>47</v>
      </c>
      <c r="E796">
        <v>3032</v>
      </c>
      <c r="F796" t="s">
        <v>2875</v>
      </c>
      <c r="G796" t="s">
        <v>2876</v>
      </c>
      <c r="H796" t="s">
        <v>2877</v>
      </c>
      <c r="I796" t="s">
        <v>51</v>
      </c>
      <c r="J796" t="s">
        <v>52</v>
      </c>
      <c r="K796" t="s">
        <v>21</v>
      </c>
      <c r="L796">
        <v>45708</v>
      </c>
      <c r="M796" t="s">
        <v>144</v>
      </c>
    </row>
    <row r="797" spans="1:13" x14ac:dyDescent="0.3">
      <c r="A797" t="s">
        <v>2878</v>
      </c>
      <c r="B797" t="s">
        <v>46</v>
      </c>
      <c r="C797" t="s">
        <v>26</v>
      </c>
      <c r="D797" t="s">
        <v>47</v>
      </c>
      <c r="E797">
        <v>3032</v>
      </c>
      <c r="F797" t="s">
        <v>323</v>
      </c>
      <c r="G797" t="s">
        <v>2879</v>
      </c>
      <c r="H797" t="s">
        <v>2880</v>
      </c>
      <c r="I797" t="s">
        <v>51</v>
      </c>
      <c r="J797" t="s">
        <v>52</v>
      </c>
      <c r="L797">
        <v>45706</v>
      </c>
      <c r="M797" t="s">
        <v>261</v>
      </c>
    </row>
    <row r="798" spans="1:13" x14ac:dyDescent="0.3">
      <c r="A798" t="s">
        <v>2881</v>
      </c>
      <c r="B798" t="s">
        <v>46</v>
      </c>
      <c r="C798" t="s">
        <v>22</v>
      </c>
      <c r="D798" t="s">
        <v>97</v>
      </c>
      <c r="E798">
        <v>3036</v>
      </c>
      <c r="F798" t="s">
        <v>2882</v>
      </c>
      <c r="G798" t="s">
        <v>2883</v>
      </c>
      <c r="H798" t="s">
        <v>2883</v>
      </c>
      <c r="I798" t="s">
        <v>100</v>
      </c>
      <c r="J798" t="s">
        <v>101</v>
      </c>
      <c r="L798">
        <v>45684</v>
      </c>
      <c r="M798" t="s">
        <v>102</v>
      </c>
    </row>
    <row r="799" spans="1:13" x14ac:dyDescent="0.3">
      <c r="A799" t="s">
        <v>2884</v>
      </c>
      <c r="B799" t="s">
        <v>46</v>
      </c>
      <c r="C799" t="s">
        <v>26</v>
      </c>
      <c r="D799" t="s">
        <v>71</v>
      </c>
      <c r="E799">
        <v>3034</v>
      </c>
      <c r="F799" t="s">
        <v>2885</v>
      </c>
      <c r="G799" t="s">
        <v>2886</v>
      </c>
      <c r="H799" t="s">
        <v>2887</v>
      </c>
      <c r="I799" t="s">
        <v>74</v>
      </c>
      <c r="J799" t="s">
        <v>75</v>
      </c>
      <c r="K799" t="s">
        <v>21</v>
      </c>
      <c r="L799">
        <v>45726</v>
      </c>
      <c r="M799" t="s">
        <v>112</v>
      </c>
    </row>
    <row r="800" spans="1:13" x14ac:dyDescent="0.3">
      <c r="A800" t="s">
        <v>2888</v>
      </c>
      <c r="B800" t="s">
        <v>37</v>
      </c>
      <c r="C800" t="s">
        <v>26</v>
      </c>
      <c r="D800" t="s">
        <v>97</v>
      </c>
      <c r="E800">
        <v>3036</v>
      </c>
      <c r="F800" t="s">
        <v>2889</v>
      </c>
      <c r="G800" t="s">
        <v>2890</v>
      </c>
      <c r="H800" t="s">
        <v>2890</v>
      </c>
      <c r="I800" t="s">
        <v>100</v>
      </c>
      <c r="J800" t="s">
        <v>101</v>
      </c>
      <c r="K800" t="s">
        <v>21</v>
      </c>
      <c r="L800">
        <v>45690</v>
      </c>
      <c r="M800" t="s">
        <v>102</v>
      </c>
    </row>
    <row r="801" spans="1:13" x14ac:dyDescent="0.3">
      <c r="A801" t="s">
        <v>2891</v>
      </c>
      <c r="B801" t="s">
        <v>46</v>
      </c>
      <c r="C801" t="s">
        <v>24</v>
      </c>
      <c r="D801" t="s">
        <v>207</v>
      </c>
      <c r="E801">
        <v>3041</v>
      </c>
      <c r="F801" t="s">
        <v>2892</v>
      </c>
      <c r="G801" t="s">
        <v>2893</v>
      </c>
      <c r="H801" t="s">
        <v>2894</v>
      </c>
      <c r="I801" t="s">
        <v>211</v>
      </c>
      <c r="J801" t="s">
        <v>14</v>
      </c>
      <c r="K801" t="s">
        <v>21</v>
      </c>
      <c r="L801">
        <v>45726</v>
      </c>
      <c r="M801" t="s">
        <v>363</v>
      </c>
    </row>
    <row r="802" spans="1:13" x14ac:dyDescent="0.3">
      <c r="A802" t="s">
        <v>2895</v>
      </c>
      <c r="B802" t="s">
        <v>37</v>
      </c>
      <c r="C802" t="s">
        <v>22</v>
      </c>
      <c r="D802" t="s">
        <v>191</v>
      </c>
      <c r="E802">
        <v>3040</v>
      </c>
      <c r="F802" t="s">
        <v>2896</v>
      </c>
      <c r="G802" t="s">
        <v>2897</v>
      </c>
      <c r="H802" t="s">
        <v>2897</v>
      </c>
      <c r="I802" t="s">
        <v>194</v>
      </c>
      <c r="J802" t="s">
        <v>13</v>
      </c>
      <c r="L802">
        <v>45714</v>
      </c>
      <c r="M802" t="s">
        <v>195</v>
      </c>
    </row>
    <row r="803" spans="1:13" x14ac:dyDescent="0.3">
      <c r="A803" t="s">
        <v>2898</v>
      </c>
      <c r="B803" t="s">
        <v>37</v>
      </c>
      <c r="C803" t="s">
        <v>25</v>
      </c>
      <c r="D803" t="s">
        <v>444</v>
      </c>
      <c r="E803">
        <v>3042</v>
      </c>
      <c r="F803" t="s">
        <v>2899</v>
      </c>
      <c r="G803" t="s">
        <v>2900</v>
      </c>
      <c r="H803" t="s">
        <v>2901</v>
      </c>
      <c r="I803" t="s">
        <v>448</v>
      </c>
      <c r="J803" t="s">
        <v>449</v>
      </c>
      <c r="L803">
        <v>45723</v>
      </c>
      <c r="M803" t="s">
        <v>481</v>
      </c>
    </row>
    <row r="804" spans="1:13" x14ac:dyDescent="0.3">
      <c r="A804" t="s">
        <v>2902</v>
      </c>
      <c r="B804" t="s">
        <v>46</v>
      </c>
      <c r="C804" t="s">
        <v>22</v>
      </c>
      <c r="D804" t="s">
        <v>55</v>
      </c>
      <c r="E804">
        <v>3033</v>
      </c>
      <c r="F804" t="s">
        <v>2903</v>
      </c>
      <c r="G804" t="s">
        <v>2904</v>
      </c>
      <c r="H804" t="s">
        <v>2905</v>
      </c>
      <c r="I804" t="s">
        <v>58</v>
      </c>
      <c r="J804" t="s">
        <v>59</v>
      </c>
      <c r="L804">
        <v>45715</v>
      </c>
      <c r="M804" t="s">
        <v>90</v>
      </c>
    </row>
    <row r="805" spans="1:13" x14ac:dyDescent="0.3">
      <c r="A805" t="s">
        <v>2906</v>
      </c>
      <c r="B805" t="s">
        <v>46</v>
      </c>
      <c r="C805" t="s">
        <v>26</v>
      </c>
      <c r="D805" t="s">
        <v>71</v>
      </c>
      <c r="E805">
        <v>3034</v>
      </c>
      <c r="F805" t="s">
        <v>2907</v>
      </c>
      <c r="G805" t="s">
        <v>2908</v>
      </c>
      <c r="H805" t="s">
        <v>2909</v>
      </c>
      <c r="I805" t="s">
        <v>74</v>
      </c>
      <c r="J805" t="s">
        <v>75</v>
      </c>
      <c r="L805">
        <v>45721</v>
      </c>
      <c r="M805" t="s">
        <v>76</v>
      </c>
    </row>
    <row r="806" spans="1:13" x14ac:dyDescent="0.3">
      <c r="A806" t="s">
        <v>2910</v>
      </c>
      <c r="B806" t="s">
        <v>37</v>
      </c>
      <c r="C806" t="s">
        <v>22</v>
      </c>
      <c r="D806" t="s">
        <v>444</v>
      </c>
      <c r="E806">
        <v>3042</v>
      </c>
      <c r="F806" t="s">
        <v>2911</v>
      </c>
      <c r="G806" t="s">
        <v>2912</v>
      </c>
      <c r="H806" t="s">
        <v>2912</v>
      </c>
      <c r="I806" t="s">
        <v>448</v>
      </c>
      <c r="J806" t="s">
        <v>449</v>
      </c>
      <c r="K806" t="s">
        <v>21</v>
      </c>
      <c r="L806">
        <v>45669</v>
      </c>
      <c r="M806" t="s">
        <v>481</v>
      </c>
    </row>
    <row r="807" spans="1:13" x14ac:dyDescent="0.3">
      <c r="A807" t="s">
        <v>2913</v>
      </c>
      <c r="B807" t="s">
        <v>37</v>
      </c>
      <c r="C807" t="s">
        <v>22</v>
      </c>
      <c r="D807" t="s">
        <v>104</v>
      </c>
      <c r="E807">
        <v>3037</v>
      </c>
      <c r="F807" t="s">
        <v>2914</v>
      </c>
      <c r="G807" t="s">
        <v>2915</v>
      </c>
      <c r="H807" t="s">
        <v>2915</v>
      </c>
      <c r="I807" t="s">
        <v>12</v>
      </c>
      <c r="J807" t="s">
        <v>13</v>
      </c>
      <c r="K807" t="s">
        <v>21</v>
      </c>
      <c r="L807">
        <v>45735</v>
      </c>
      <c r="M807" t="s">
        <v>189</v>
      </c>
    </row>
    <row r="808" spans="1:13" x14ac:dyDescent="0.3">
      <c r="A808" t="s">
        <v>2916</v>
      </c>
      <c r="B808" t="s">
        <v>37</v>
      </c>
      <c r="C808" t="s">
        <v>26</v>
      </c>
      <c r="D808" t="s">
        <v>47</v>
      </c>
      <c r="E808">
        <v>3032</v>
      </c>
      <c r="F808" t="s">
        <v>2917</v>
      </c>
      <c r="G808" t="s">
        <v>2918</v>
      </c>
      <c r="H808" t="s">
        <v>2919</v>
      </c>
      <c r="I808" t="s">
        <v>51</v>
      </c>
      <c r="J808" t="s">
        <v>52</v>
      </c>
      <c r="K808" t="s">
        <v>21</v>
      </c>
      <c r="L808">
        <v>45697</v>
      </c>
      <c r="M808" t="s">
        <v>476</v>
      </c>
    </row>
    <row r="809" spans="1:13" x14ac:dyDescent="0.3">
      <c r="A809" t="s">
        <v>2920</v>
      </c>
      <c r="B809" t="s">
        <v>46</v>
      </c>
      <c r="C809" t="s">
        <v>22</v>
      </c>
      <c r="D809" t="s">
        <v>71</v>
      </c>
      <c r="E809">
        <v>3034</v>
      </c>
      <c r="F809" t="s">
        <v>2921</v>
      </c>
      <c r="G809" t="s">
        <v>2922</v>
      </c>
      <c r="H809" t="s">
        <v>2923</v>
      </c>
      <c r="I809" t="s">
        <v>74</v>
      </c>
      <c r="J809" t="s">
        <v>75</v>
      </c>
      <c r="L809">
        <v>45675</v>
      </c>
      <c r="M809" t="s">
        <v>165</v>
      </c>
    </row>
    <row r="810" spans="1:13" x14ac:dyDescent="0.3">
      <c r="A810" t="s">
        <v>2924</v>
      </c>
      <c r="B810" t="s">
        <v>46</v>
      </c>
      <c r="C810" t="s">
        <v>24</v>
      </c>
      <c r="D810" t="s">
        <v>104</v>
      </c>
      <c r="E810">
        <v>3037</v>
      </c>
      <c r="F810" t="s">
        <v>2925</v>
      </c>
      <c r="G810" t="s">
        <v>2926</v>
      </c>
      <c r="H810" t="s">
        <v>2927</v>
      </c>
      <c r="I810" t="s">
        <v>12</v>
      </c>
      <c r="J810" t="s">
        <v>13</v>
      </c>
      <c r="L810">
        <v>45721</v>
      </c>
      <c r="M810" t="s">
        <v>76</v>
      </c>
    </row>
    <row r="811" spans="1:13" x14ac:dyDescent="0.3">
      <c r="A811" t="s">
        <v>2928</v>
      </c>
      <c r="B811" t="s">
        <v>46</v>
      </c>
      <c r="C811" t="s">
        <v>25</v>
      </c>
      <c r="D811" t="s">
        <v>78</v>
      </c>
      <c r="E811">
        <v>3035</v>
      </c>
      <c r="F811" t="s">
        <v>2929</v>
      </c>
      <c r="G811" t="s">
        <v>2930</v>
      </c>
      <c r="H811" t="s">
        <v>2931</v>
      </c>
      <c r="I811" t="s">
        <v>81</v>
      </c>
      <c r="J811" t="s">
        <v>82</v>
      </c>
      <c r="L811">
        <v>45682</v>
      </c>
      <c r="M811" t="s">
        <v>69</v>
      </c>
    </row>
    <row r="812" spans="1:13" x14ac:dyDescent="0.3">
      <c r="A812" t="s">
        <v>2932</v>
      </c>
      <c r="B812" t="s">
        <v>37</v>
      </c>
      <c r="C812" t="s">
        <v>26</v>
      </c>
      <c r="D812" t="s">
        <v>97</v>
      </c>
      <c r="E812">
        <v>3036</v>
      </c>
      <c r="F812" t="s">
        <v>2933</v>
      </c>
      <c r="G812" t="s">
        <v>2934</v>
      </c>
      <c r="H812" t="s">
        <v>2934</v>
      </c>
      <c r="I812" t="s">
        <v>100</v>
      </c>
      <c r="J812" t="s">
        <v>101</v>
      </c>
      <c r="L812">
        <v>45716</v>
      </c>
      <c r="M812" t="s">
        <v>102</v>
      </c>
    </row>
    <row r="813" spans="1:13" x14ac:dyDescent="0.3">
      <c r="A813" t="s">
        <v>2935</v>
      </c>
      <c r="B813" t="s">
        <v>46</v>
      </c>
      <c r="C813" t="s">
        <v>24</v>
      </c>
      <c r="D813" t="s">
        <v>55</v>
      </c>
      <c r="E813">
        <v>3033</v>
      </c>
      <c r="F813" t="s">
        <v>2936</v>
      </c>
      <c r="G813" t="s">
        <v>2937</v>
      </c>
      <c r="H813" t="s">
        <v>2937</v>
      </c>
      <c r="I813" t="s">
        <v>58</v>
      </c>
      <c r="J813" t="s">
        <v>59</v>
      </c>
      <c r="L813">
        <v>45716</v>
      </c>
      <c r="M813" t="s">
        <v>95</v>
      </c>
    </row>
    <row r="814" spans="1:13" x14ac:dyDescent="0.3">
      <c r="A814" t="s">
        <v>2938</v>
      </c>
      <c r="B814" t="s">
        <v>37</v>
      </c>
      <c r="C814" t="s">
        <v>24</v>
      </c>
      <c r="D814" t="s">
        <v>136</v>
      </c>
      <c r="E814">
        <v>3039</v>
      </c>
      <c r="F814" t="s">
        <v>2939</v>
      </c>
      <c r="G814" t="s">
        <v>2940</v>
      </c>
      <c r="H814" t="s">
        <v>2940</v>
      </c>
      <c r="I814" t="s">
        <v>15</v>
      </c>
      <c r="J814" t="s">
        <v>14</v>
      </c>
      <c r="K814" t="s">
        <v>21</v>
      </c>
      <c r="L814">
        <v>45696</v>
      </c>
      <c r="M814" t="s">
        <v>140</v>
      </c>
    </row>
    <row r="815" spans="1:13" x14ac:dyDescent="0.3">
      <c r="A815" t="s">
        <v>2941</v>
      </c>
      <c r="B815" t="s">
        <v>46</v>
      </c>
      <c r="C815" t="s">
        <v>24</v>
      </c>
      <c r="D815" t="s">
        <v>104</v>
      </c>
      <c r="E815">
        <v>3037</v>
      </c>
      <c r="F815" t="s">
        <v>2942</v>
      </c>
      <c r="G815" t="s">
        <v>2943</v>
      </c>
      <c r="H815" t="s">
        <v>2943</v>
      </c>
      <c r="I815" t="s">
        <v>12</v>
      </c>
      <c r="J815" t="s">
        <v>13</v>
      </c>
      <c r="K815" t="s">
        <v>21</v>
      </c>
      <c r="L815">
        <v>45712</v>
      </c>
      <c r="M815" t="s">
        <v>189</v>
      </c>
    </row>
    <row r="816" spans="1:13" x14ac:dyDescent="0.3">
      <c r="A816" t="s">
        <v>2944</v>
      </c>
      <c r="B816" t="s">
        <v>46</v>
      </c>
      <c r="C816" t="s">
        <v>22</v>
      </c>
      <c r="D816" t="s">
        <v>191</v>
      </c>
      <c r="E816">
        <v>3040</v>
      </c>
      <c r="F816" t="s">
        <v>2945</v>
      </c>
      <c r="G816" t="s">
        <v>2946</v>
      </c>
      <c r="H816" t="s">
        <v>2947</v>
      </c>
      <c r="I816" t="s">
        <v>194</v>
      </c>
      <c r="J816" t="s">
        <v>13</v>
      </c>
      <c r="L816">
        <v>45716</v>
      </c>
      <c r="M816" t="s">
        <v>300</v>
      </c>
    </row>
    <row r="817" spans="1:13" x14ac:dyDescent="0.3">
      <c r="A817" t="s">
        <v>2948</v>
      </c>
      <c r="B817" t="s">
        <v>46</v>
      </c>
      <c r="C817" t="s">
        <v>22</v>
      </c>
      <c r="D817" t="s">
        <v>55</v>
      </c>
      <c r="E817">
        <v>3033</v>
      </c>
      <c r="F817" t="s">
        <v>2949</v>
      </c>
      <c r="G817" t="s">
        <v>2950</v>
      </c>
      <c r="H817" t="s">
        <v>2950</v>
      </c>
      <c r="I817" t="s">
        <v>58</v>
      </c>
      <c r="J817" t="s">
        <v>59</v>
      </c>
      <c r="L817">
        <v>45693</v>
      </c>
      <c r="M817" t="s">
        <v>90</v>
      </c>
    </row>
    <row r="818" spans="1:13" x14ac:dyDescent="0.3">
      <c r="A818" t="s">
        <v>2951</v>
      </c>
      <c r="B818" t="s">
        <v>37</v>
      </c>
      <c r="C818" t="s">
        <v>24</v>
      </c>
      <c r="D818" t="s">
        <v>118</v>
      </c>
      <c r="E818">
        <v>3038</v>
      </c>
      <c r="F818" t="s">
        <v>2952</v>
      </c>
      <c r="G818" t="s">
        <v>2953</v>
      </c>
      <c r="H818" t="s">
        <v>2953</v>
      </c>
      <c r="I818" t="s">
        <v>122</v>
      </c>
      <c r="J818" t="s">
        <v>123</v>
      </c>
      <c r="K818" t="s">
        <v>21</v>
      </c>
      <c r="L818">
        <v>45709</v>
      </c>
      <c r="M818" t="s">
        <v>581</v>
      </c>
    </row>
    <row r="819" spans="1:13" x14ac:dyDescent="0.3">
      <c r="A819" t="s">
        <v>2954</v>
      </c>
      <c r="B819" t="s">
        <v>37</v>
      </c>
      <c r="C819" t="s">
        <v>26</v>
      </c>
      <c r="D819" t="s">
        <v>78</v>
      </c>
      <c r="E819">
        <v>3035</v>
      </c>
      <c r="F819" t="s">
        <v>2955</v>
      </c>
      <c r="G819" t="s">
        <v>2956</v>
      </c>
      <c r="H819" t="s">
        <v>2957</v>
      </c>
      <c r="I819" t="s">
        <v>81</v>
      </c>
      <c r="J819" t="s">
        <v>82</v>
      </c>
      <c r="L819">
        <v>45745</v>
      </c>
      <c r="M819" t="s">
        <v>205</v>
      </c>
    </row>
    <row r="820" spans="1:13" x14ac:dyDescent="0.3">
      <c r="A820" t="s">
        <v>2958</v>
      </c>
      <c r="B820" t="s">
        <v>46</v>
      </c>
      <c r="C820" t="s">
        <v>24</v>
      </c>
      <c r="D820" t="s">
        <v>136</v>
      </c>
      <c r="E820">
        <v>3039</v>
      </c>
      <c r="F820" t="s">
        <v>2959</v>
      </c>
      <c r="G820" t="s">
        <v>2960</v>
      </c>
      <c r="H820" t="s">
        <v>2960</v>
      </c>
      <c r="I820" t="s">
        <v>15</v>
      </c>
      <c r="J820" t="s">
        <v>14</v>
      </c>
      <c r="K820" t="s">
        <v>21</v>
      </c>
      <c r="L820">
        <v>45683</v>
      </c>
      <c r="M820" t="s">
        <v>389</v>
      </c>
    </row>
    <row r="821" spans="1:13" x14ac:dyDescent="0.3">
      <c r="A821" t="s">
        <v>2961</v>
      </c>
      <c r="B821" t="s">
        <v>37</v>
      </c>
      <c r="C821" t="s">
        <v>26</v>
      </c>
      <c r="D821" t="s">
        <v>97</v>
      </c>
      <c r="E821">
        <v>3036</v>
      </c>
      <c r="F821" t="s">
        <v>2962</v>
      </c>
      <c r="G821" t="s">
        <v>2963</v>
      </c>
      <c r="H821" t="s">
        <v>2963</v>
      </c>
      <c r="I821" t="s">
        <v>100</v>
      </c>
      <c r="J821" t="s">
        <v>101</v>
      </c>
      <c r="K821" t="s">
        <v>21</v>
      </c>
      <c r="L821">
        <v>45726</v>
      </c>
      <c r="M821" t="s">
        <v>128</v>
      </c>
    </row>
    <row r="822" spans="1:13" x14ac:dyDescent="0.3">
      <c r="A822" t="s">
        <v>2964</v>
      </c>
      <c r="B822" t="s">
        <v>37</v>
      </c>
      <c r="C822" t="s">
        <v>25</v>
      </c>
      <c r="D822" t="s">
        <v>55</v>
      </c>
      <c r="E822">
        <v>3033</v>
      </c>
      <c r="F822" t="s">
        <v>2965</v>
      </c>
      <c r="G822" t="s">
        <v>2966</v>
      </c>
      <c r="H822" t="s">
        <v>2966</v>
      </c>
      <c r="I822" t="s">
        <v>58</v>
      </c>
      <c r="J822" t="s">
        <v>59</v>
      </c>
      <c r="K822" t="s">
        <v>21</v>
      </c>
      <c r="L822">
        <v>45708</v>
      </c>
      <c r="M822" t="s">
        <v>60</v>
      </c>
    </row>
    <row r="823" spans="1:13" x14ac:dyDescent="0.3">
      <c r="A823" t="s">
        <v>2967</v>
      </c>
      <c r="B823" t="s">
        <v>37</v>
      </c>
      <c r="C823" t="s">
        <v>22</v>
      </c>
      <c r="D823" t="s">
        <v>104</v>
      </c>
      <c r="E823">
        <v>3037</v>
      </c>
      <c r="F823" t="s">
        <v>2968</v>
      </c>
      <c r="G823" t="s">
        <v>2969</v>
      </c>
      <c r="H823" t="s">
        <v>2969</v>
      </c>
      <c r="I823" t="s">
        <v>12</v>
      </c>
      <c r="J823" t="s">
        <v>13</v>
      </c>
      <c r="L823">
        <v>45667</v>
      </c>
      <c r="M823" t="s">
        <v>224</v>
      </c>
    </row>
    <row r="824" spans="1:13" x14ac:dyDescent="0.3">
      <c r="A824" t="s">
        <v>2970</v>
      </c>
      <c r="B824" t="s">
        <v>37</v>
      </c>
      <c r="C824" t="s">
        <v>26</v>
      </c>
      <c r="D824" t="s">
        <v>78</v>
      </c>
      <c r="E824">
        <v>3035</v>
      </c>
      <c r="F824" t="s">
        <v>2971</v>
      </c>
      <c r="G824" t="s">
        <v>2972</v>
      </c>
      <c r="H824" t="s">
        <v>2973</v>
      </c>
      <c r="I824" t="s">
        <v>81</v>
      </c>
      <c r="J824" t="s">
        <v>82</v>
      </c>
      <c r="L824">
        <v>45708</v>
      </c>
      <c r="M824" t="s">
        <v>205</v>
      </c>
    </row>
    <row r="825" spans="1:13" x14ac:dyDescent="0.3">
      <c r="A825" t="s">
        <v>2974</v>
      </c>
      <c r="B825" t="s">
        <v>37</v>
      </c>
      <c r="C825" t="s">
        <v>24</v>
      </c>
      <c r="D825" t="s">
        <v>136</v>
      </c>
      <c r="E825">
        <v>3039</v>
      </c>
      <c r="F825" t="s">
        <v>2975</v>
      </c>
      <c r="G825" t="s">
        <v>2976</v>
      </c>
      <c r="H825" t="s">
        <v>2977</v>
      </c>
      <c r="I825" t="s">
        <v>15</v>
      </c>
      <c r="J825" t="s">
        <v>14</v>
      </c>
      <c r="K825" t="s">
        <v>21</v>
      </c>
      <c r="L825">
        <v>45681</v>
      </c>
      <c r="M825" t="s">
        <v>389</v>
      </c>
    </row>
    <row r="826" spans="1:13" x14ac:dyDescent="0.3">
      <c r="A826" t="s">
        <v>2978</v>
      </c>
      <c r="B826" t="s">
        <v>46</v>
      </c>
      <c r="C826" t="s">
        <v>22</v>
      </c>
      <c r="D826" t="s">
        <v>55</v>
      </c>
      <c r="E826">
        <v>3033</v>
      </c>
      <c r="F826" t="s">
        <v>2979</v>
      </c>
      <c r="G826" t="s">
        <v>2980</v>
      </c>
      <c r="H826" t="s">
        <v>2980</v>
      </c>
      <c r="I826" t="s">
        <v>58</v>
      </c>
      <c r="J826" t="s">
        <v>59</v>
      </c>
      <c r="K826" t="s">
        <v>21</v>
      </c>
      <c r="L826">
        <v>45739</v>
      </c>
      <c r="M826" t="s">
        <v>90</v>
      </c>
    </row>
    <row r="827" spans="1:13" x14ac:dyDescent="0.3">
      <c r="A827" t="s">
        <v>2981</v>
      </c>
      <c r="B827" t="s">
        <v>46</v>
      </c>
      <c r="C827" t="s">
        <v>26</v>
      </c>
      <c r="D827" t="s">
        <v>104</v>
      </c>
      <c r="E827">
        <v>3037</v>
      </c>
      <c r="F827" t="s">
        <v>2982</v>
      </c>
      <c r="G827" t="s">
        <v>2983</v>
      </c>
      <c r="H827" t="s">
        <v>2983</v>
      </c>
      <c r="I827" t="s">
        <v>12</v>
      </c>
      <c r="J827" t="s">
        <v>13</v>
      </c>
      <c r="K827" t="s">
        <v>21</v>
      </c>
      <c r="L827">
        <v>45738</v>
      </c>
      <c r="M827" t="s">
        <v>287</v>
      </c>
    </row>
    <row r="828" spans="1:13" x14ac:dyDescent="0.3">
      <c r="A828" t="s">
        <v>2984</v>
      </c>
      <c r="B828" t="s">
        <v>46</v>
      </c>
      <c r="C828" t="s">
        <v>25</v>
      </c>
      <c r="D828" t="s">
        <v>104</v>
      </c>
      <c r="E828">
        <v>3037</v>
      </c>
      <c r="F828" t="s">
        <v>2985</v>
      </c>
      <c r="G828" t="s">
        <v>2986</v>
      </c>
      <c r="H828" t="s">
        <v>2986</v>
      </c>
      <c r="I828" t="s">
        <v>12</v>
      </c>
      <c r="J828" t="s">
        <v>13</v>
      </c>
      <c r="L828">
        <v>45679</v>
      </c>
      <c r="M828" t="s">
        <v>189</v>
      </c>
    </row>
    <row r="829" spans="1:13" x14ac:dyDescent="0.3">
      <c r="A829" t="s">
        <v>2987</v>
      </c>
      <c r="B829" t="s">
        <v>46</v>
      </c>
      <c r="C829" t="s">
        <v>24</v>
      </c>
      <c r="D829" t="s">
        <v>55</v>
      </c>
      <c r="E829">
        <v>3033</v>
      </c>
      <c r="F829" t="s">
        <v>2988</v>
      </c>
      <c r="G829" t="s">
        <v>2989</v>
      </c>
      <c r="H829" t="s">
        <v>2989</v>
      </c>
      <c r="I829" t="s">
        <v>58</v>
      </c>
      <c r="J829" t="s">
        <v>59</v>
      </c>
      <c r="K829" t="s">
        <v>21</v>
      </c>
      <c r="L829">
        <v>45692</v>
      </c>
      <c r="M829" t="s">
        <v>95</v>
      </c>
    </row>
    <row r="830" spans="1:13" x14ac:dyDescent="0.3">
      <c r="A830" t="s">
        <v>2990</v>
      </c>
      <c r="B830" t="s">
        <v>46</v>
      </c>
      <c r="C830" t="s">
        <v>22</v>
      </c>
      <c r="D830" t="s">
        <v>191</v>
      </c>
      <c r="E830">
        <v>3040</v>
      </c>
      <c r="F830" t="s">
        <v>2991</v>
      </c>
      <c r="G830" t="s">
        <v>2992</v>
      </c>
      <c r="H830" t="s">
        <v>2992</v>
      </c>
      <c r="I830" t="s">
        <v>194</v>
      </c>
      <c r="J830" t="s">
        <v>13</v>
      </c>
      <c r="L830">
        <v>45709</v>
      </c>
      <c r="M830" t="s">
        <v>160</v>
      </c>
    </row>
    <row r="831" spans="1:13" x14ac:dyDescent="0.3">
      <c r="A831" t="s">
        <v>2993</v>
      </c>
      <c r="B831" t="s">
        <v>46</v>
      </c>
      <c r="C831" t="s">
        <v>22</v>
      </c>
      <c r="D831" t="s">
        <v>444</v>
      </c>
      <c r="E831">
        <v>3042</v>
      </c>
      <c r="F831" t="s">
        <v>2994</v>
      </c>
      <c r="G831" t="s">
        <v>2995</v>
      </c>
      <c r="H831" t="s">
        <v>2996</v>
      </c>
      <c r="I831" t="s">
        <v>448</v>
      </c>
      <c r="J831" t="s">
        <v>449</v>
      </c>
      <c r="L831">
        <v>45694</v>
      </c>
      <c r="M831" t="s">
        <v>107</v>
      </c>
    </row>
    <row r="832" spans="1:13" x14ac:dyDescent="0.3">
      <c r="A832" t="s">
        <v>2997</v>
      </c>
      <c r="B832" t="s">
        <v>46</v>
      </c>
      <c r="C832" t="s">
        <v>24</v>
      </c>
      <c r="D832" t="s">
        <v>104</v>
      </c>
      <c r="E832">
        <v>3037</v>
      </c>
      <c r="F832" t="s">
        <v>2998</v>
      </c>
      <c r="G832" t="s">
        <v>2999</v>
      </c>
      <c r="H832" t="s">
        <v>3000</v>
      </c>
      <c r="I832" t="s">
        <v>12</v>
      </c>
      <c r="J832" t="s">
        <v>13</v>
      </c>
      <c r="L832">
        <v>45730</v>
      </c>
      <c r="M832" t="s">
        <v>287</v>
      </c>
    </row>
    <row r="833" spans="1:13" x14ac:dyDescent="0.3">
      <c r="A833" t="s">
        <v>3001</v>
      </c>
      <c r="B833" t="s">
        <v>46</v>
      </c>
      <c r="C833" t="s">
        <v>22</v>
      </c>
      <c r="D833" t="s">
        <v>55</v>
      </c>
      <c r="E833">
        <v>3033</v>
      </c>
      <c r="F833" t="s">
        <v>590</v>
      </c>
      <c r="G833" t="s">
        <v>3002</v>
      </c>
      <c r="H833" t="s">
        <v>3002</v>
      </c>
      <c r="I833" t="s">
        <v>58</v>
      </c>
      <c r="J833" t="s">
        <v>59</v>
      </c>
      <c r="L833">
        <v>45745</v>
      </c>
      <c r="M833" t="s">
        <v>86</v>
      </c>
    </row>
    <row r="834" spans="1:13" x14ac:dyDescent="0.3">
      <c r="A834" t="s">
        <v>3003</v>
      </c>
      <c r="B834" t="s">
        <v>37</v>
      </c>
      <c r="C834" t="s">
        <v>26</v>
      </c>
      <c r="D834" t="s">
        <v>47</v>
      </c>
      <c r="E834">
        <v>3032</v>
      </c>
      <c r="F834" t="s">
        <v>3004</v>
      </c>
      <c r="G834" t="s">
        <v>3005</v>
      </c>
      <c r="H834" t="s">
        <v>3005</v>
      </c>
      <c r="I834" t="s">
        <v>51</v>
      </c>
      <c r="J834" t="s">
        <v>52</v>
      </c>
      <c r="K834" t="s">
        <v>21</v>
      </c>
      <c r="L834">
        <v>45689</v>
      </c>
      <c r="M834" t="s">
        <v>212</v>
      </c>
    </row>
    <row r="835" spans="1:13" x14ac:dyDescent="0.3">
      <c r="A835" t="s">
        <v>3006</v>
      </c>
      <c r="B835" t="s">
        <v>37</v>
      </c>
      <c r="C835" t="s">
        <v>22</v>
      </c>
      <c r="D835" t="s">
        <v>444</v>
      </c>
      <c r="E835">
        <v>3042</v>
      </c>
      <c r="F835" t="s">
        <v>3007</v>
      </c>
      <c r="G835" t="s">
        <v>3008</v>
      </c>
      <c r="H835" t="s">
        <v>3008</v>
      </c>
      <c r="I835" t="s">
        <v>448</v>
      </c>
      <c r="J835" t="s">
        <v>449</v>
      </c>
      <c r="L835">
        <v>45732</v>
      </c>
      <c r="M835" t="s">
        <v>224</v>
      </c>
    </row>
    <row r="836" spans="1:13" x14ac:dyDescent="0.3">
      <c r="A836" t="s">
        <v>3009</v>
      </c>
      <c r="B836" t="s">
        <v>37</v>
      </c>
      <c r="C836" t="s">
        <v>26</v>
      </c>
      <c r="D836" t="s">
        <v>207</v>
      </c>
      <c r="E836">
        <v>3041</v>
      </c>
      <c r="F836" t="s">
        <v>3010</v>
      </c>
      <c r="G836" t="s">
        <v>3011</v>
      </c>
      <c r="H836" t="s">
        <v>3011</v>
      </c>
      <c r="I836" t="s">
        <v>211</v>
      </c>
      <c r="J836" t="s">
        <v>14</v>
      </c>
      <c r="L836">
        <v>45731</v>
      </c>
      <c r="M836" t="s">
        <v>300</v>
      </c>
    </row>
    <row r="837" spans="1:13" x14ac:dyDescent="0.3">
      <c r="A837" t="s">
        <v>3012</v>
      </c>
      <c r="B837" t="s">
        <v>46</v>
      </c>
      <c r="C837" t="s">
        <v>22</v>
      </c>
      <c r="D837" t="s">
        <v>104</v>
      </c>
      <c r="E837">
        <v>3037</v>
      </c>
      <c r="F837" t="s">
        <v>3013</v>
      </c>
      <c r="G837" t="s">
        <v>3014</v>
      </c>
      <c r="H837" t="s">
        <v>3014</v>
      </c>
      <c r="I837" t="s">
        <v>12</v>
      </c>
      <c r="J837" t="s">
        <v>13</v>
      </c>
      <c r="K837" t="s">
        <v>21</v>
      </c>
      <c r="L837">
        <v>45677</v>
      </c>
      <c r="M837" t="s">
        <v>224</v>
      </c>
    </row>
    <row r="838" spans="1:13" x14ac:dyDescent="0.3">
      <c r="A838" t="s">
        <v>3015</v>
      </c>
      <c r="B838" t="s">
        <v>37</v>
      </c>
      <c r="C838" t="s">
        <v>24</v>
      </c>
      <c r="D838" t="s">
        <v>71</v>
      </c>
      <c r="E838">
        <v>3034</v>
      </c>
      <c r="F838" t="s">
        <v>3016</v>
      </c>
      <c r="G838" t="s">
        <v>3017</v>
      </c>
      <c r="H838" t="s">
        <v>3018</v>
      </c>
      <c r="I838" t="s">
        <v>74</v>
      </c>
      <c r="J838" t="s">
        <v>75</v>
      </c>
      <c r="L838">
        <v>45696</v>
      </c>
      <c r="M838" t="s">
        <v>76</v>
      </c>
    </row>
    <row r="839" spans="1:13" x14ac:dyDescent="0.3">
      <c r="A839" t="s">
        <v>3019</v>
      </c>
      <c r="B839" t="s">
        <v>46</v>
      </c>
      <c r="C839" t="s">
        <v>25</v>
      </c>
      <c r="D839" t="s">
        <v>38</v>
      </c>
      <c r="E839">
        <v>3031</v>
      </c>
      <c r="F839" t="s">
        <v>3020</v>
      </c>
      <c r="G839" t="s">
        <v>3021</v>
      </c>
      <c r="H839" t="s">
        <v>3022</v>
      </c>
      <c r="I839" t="s">
        <v>42</v>
      </c>
      <c r="J839" t="s">
        <v>43</v>
      </c>
      <c r="L839">
        <v>45708</v>
      </c>
      <c r="M839" t="s">
        <v>102</v>
      </c>
    </row>
    <row r="840" spans="1:13" x14ac:dyDescent="0.3">
      <c r="A840" t="s">
        <v>3023</v>
      </c>
      <c r="B840" t="s">
        <v>46</v>
      </c>
      <c r="C840" t="s">
        <v>24</v>
      </c>
      <c r="D840" t="s">
        <v>71</v>
      </c>
      <c r="E840">
        <v>3034</v>
      </c>
      <c r="F840" t="s">
        <v>3024</v>
      </c>
      <c r="G840" t="s">
        <v>3025</v>
      </c>
      <c r="H840" t="s">
        <v>3026</v>
      </c>
      <c r="I840" t="s">
        <v>74</v>
      </c>
      <c r="J840" t="s">
        <v>75</v>
      </c>
      <c r="L840">
        <v>45687</v>
      </c>
      <c r="M840" t="s">
        <v>205</v>
      </c>
    </row>
    <row r="841" spans="1:13" x14ac:dyDescent="0.3">
      <c r="A841" t="s">
        <v>3027</v>
      </c>
      <c r="B841" t="s">
        <v>46</v>
      </c>
      <c r="C841" t="s">
        <v>25</v>
      </c>
      <c r="D841" t="s">
        <v>78</v>
      </c>
      <c r="E841">
        <v>3035</v>
      </c>
      <c r="F841" t="s">
        <v>3028</v>
      </c>
      <c r="G841" t="s">
        <v>3029</v>
      </c>
      <c r="H841" t="s">
        <v>3030</v>
      </c>
      <c r="I841" t="s">
        <v>81</v>
      </c>
      <c r="J841" t="s">
        <v>82</v>
      </c>
      <c r="L841">
        <v>45663</v>
      </c>
      <c r="M841" t="s">
        <v>69</v>
      </c>
    </row>
    <row r="842" spans="1:13" x14ac:dyDescent="0.3">
      <c r="A842" t="s">
        <v>3031</v>
      </c>
      <c r="B842" t="s">
        <v>37</v>
      </c>
      <c r="C842" t="s">
        <v>26</v>
      </c>
      <c r="D842" t="s">
        <v>71</v>
      </c>
      <c r="E842">
        <v>3034</v>
      </c>
      <c r="F842" t="s">
        <v>3032</v>
      </c>
      <c r="G842" t="s">
        <v>3033</v>
      </c>
      <c r="H842" t="s">
        <v>3033</v>
      </c>
      <c r="I842" t="s">
        <v>74</v>
      </c>
      <c r="J842" t="s">
        <v>75</v>
      </c>
      <c r="K842" t="s">
        <v>21</v>
      </c>
      <c r="L842">
        <v>45705</v>
      </c>
      <c r="M842" t="s">
        <v>205</v>
      </c>
    </row>
    <row r="843" spans="1:13" x14ac:dyDescent="0.3">
      <c r="A843" t="s">
        <v>3034</v>
      </c>
      <c r="B843" t="s">
        <v>46</v>
      </c>
      <c r="C843" t="s">
        <v>22</v>
      </c>
      <c r="D843" t="s">
        <v>71</v>
      </c>
      <c r="E843">
        <v>3034</v>
      </c>
      <c r="F843" t="s">
        <v>3035</v>
      </c>
      <c r="G843" t="s">
        <v>3036</v>
      </c>
      <c r="H843" t="s">
        <v>3036</v>
      </c>
      <c r="I843" t="s">
        <v>74</v>
      </c>
      <c r="J843" t="s">
        <v>75</v>
      </c>
      <c r="L843">
        <v>45678</v>
      </c>
      <c r="M843" t="s">
        <v>205</v>
      </c>
    </row>
    <row r="844" spans="1:13" x14ac:dyDescent="0.3">
      <c r="A844" t="s">
        <v>3037</v>
      </c>
      <c r="B844" t="s">
        <v>37</v>
      </c>
      <c r="C844" t="s">
        <v>25</v>
      </c>
      <c r="D844" t="s">
        <v>38</v>
      </c>
      <c r="E844">
        <v>3031</v>
      </c>
      <c r="F844" t="s">
        <v>3038</v>
      </c>
      <c r="G844" t="s">
        <v>3039</v>
      </c>
      <c r="H844" t="s">
        <v>3040</v>
      </c>
      <c r="I844" t="s">
        <v>42</v>
      </c>
      <c r="J844" t="s">
        <v>43</v>
      </c>
      <c r="K844" t="s">
        <v>21</v>
      </c>
      <c r="L844">
        <v>45667</v>
      </c>
      <c r="M844" t="s">
        <v>44</v>
      </c>
    </row>
    <row r="845" spans="1:13" x14ac:dyDescent="0.3">
      <c r="A845" t="s">
        <v>3041</v>
      </c>
      <c r="B845" t="s">
        <v>46</v>
      </c>
      <c r="C845" t="s">
        <v>22</v>
      </c>
      <c r="D845" t="s">
        <v>118</v>
      </c>
      <c r="E845">
        <v>3038</v>
      </c>
      <c r="F845" t="s">
        <v>3042</v>
      </c>
      <c r="G845" t="s">
        <v>3043</v>
      </c>
      <c r="H845" t="s">
        <v>3043</v>
      </c>
      <c r="I845" t="s">
        <v>122</v>
      </c>
      <c r="J845" t="s">
        <v>123</v>
      </c>
      <c r="L845">
        <v>45698</v>
      </c>
      <c r="M845" t="s">
        <v>359</v>
      </c>
    </row>
    <row r="846" spans="1:13" x14ac:dyDescent="0.3">
      <c r="A846" t="s">
        <v>3044</v>
      </c>
      <c r="B846" t="s">
        <v>37</v>
      </c>
      <c r="C846" t="s">
        <v>24</v>
      </c>
      <c r="D846" t="s">
        <v>97</v>
      </c>
      <c r="E846">
        <v>3036</v>
      </c>
      <c r="F846" t="s">
        <v>3045</v>
      </c>
      <c r="G846" t="s">
        <v>3046</v>
      </c>
      <c r="H846" t="s">
        <v>3046</v>
      </c>
      <c r="I846" t="s">
        <v>100</v>
      </c>
      <c r="J846" t="s">
        <v>101</v>
      </c>
      <c r="K846" t="s">
        <v>21</v>
      </c>
      <c r="L846">
        <v>45698</v>
      </c>
      <c r="M846" t="s">
        <v>292</v>
      </c>
    </row>
    <row r="847" spans="1:13" x14ac:dyDescent="0.3">
      <c r="A847" t="s">
        <v>3047</v>
      </c>
      <c r="B847" t="s">
        <v>37</v>
      </c>
      <c r="C847" t="s">
        <v>24</v>
      </c>
      <c r="D847" t="s">
        <v>78</v>
      </c>
      <c r="E847">
        <v>3035</v>
      </c>
      <c r="F847" t="s">
        <v>3048</v>
      </c>
      <c r="G847" t="s">
        <v>3049</v>
      </c>
      <c r="H847" t="s">
        <v>3050</v>
      </c>
      <c r="I847" t="s">
        <v>81</v>
      </c>
      <c r="J847" t="s">
        <v>82</v>
      </c>
      <c r="L847">
        <v>45729</v>
      </c>
      <c r="M847" t="s">
        <v>69</v>
      </c>
    </row>
    <row r="848" spans="1:13" x14ac:dyDescent="0.3">
      <c r="A848" t="s">
        <v>3051</v>
      </c>
      <c r="B848" t="s">
        <v>37</v>
      </c>
      <c r="C848" t="s">
        <v>22</v>
      </c>
      <c r="D848" t="s">
        <v>191</v>
      </c>
      <c r="E848">
        <v>3040</v>
      </c>
      <c r="F848" t="s">
        <v>3052</v>
      </c>
      <c r="G848" t="s">
        <v>3053</v>
      </c>
      <c r="H848" t="s">
        <v>3053</v>
      </c>
      <c r="I848" t="s">
        <v>194</v>
      </c>
      <c r="J848" t="s">
        <v>13</v>
      </c>
      <c r="L848">
        <v>45678</v>
      </c>
      <c r="M848" t="s">
        <v>195</v>
      </c>
    </row>
    <row r="849" spans="1:13" x14ac:dyDescent="0.3">
      <c r="A849" t="s">
        <v>3054</v>
      </c>
      <c r="B849" t="s">
        <v>37</v>
      </c>
      <c r="C849" t="s">
        <v>25</v>
      </c>
      <c r="D849" t="s">
        <v>97</v>
      </c>
      <c r="E849">
        <v>3036</v>
      </c>
      <c r="F849" t="s">
        <v>56</v>
      </c>
      <c r="G849" t="s">
        <v>3055</v>
      </c>
      <c r="H849" t="s">
        <v>3055</v>
      </c>
      <c r="I849" t="s">
        <v>100</v>
      </c>
      <c r="J849" t="s">
        <v>101</v>
      </c>
      <c r="L849">
        <v>45686</v>
      </c>
      <c r="M849" t="s">
        <v>165</v>
      </c>
    </row>
    <row r="850" spans="1:13" x14ac:dyDescent="0.3">
      <c r="A850" t="s">
        <v>3056</v>
      </c>
      <c r="B850" t="s">
        <v>46</v>
      </c>
      <c r="C850" t="s">
        <v>22</v>
      </c>
      <c r="D850" t="s">
        <v>118</v>
      </c>
      <c r="E850">
        <v>3038</v>
      </c>
      <c r="F850" t="s">
        <v>3057</v>
      </c>
      <c r="G850" t="s">
        <v>3058</v>
      </c>
      <c r="H850" t="s">
        <v>3058</v>
      </c>
      <c r="I850" t="s">
        <v>122</v>
      </c>
      <c r="J850" t="s">
        <v>123</v>
      </c>
      <c r="L850">
        <v>45743</v>
      </c>
      <c r="M850" t="s">
        <v>359</v>
      </c>
    </row>
    <row r="851" spans="1:13" x14ac:dyDescent="0.3">
      <c r="A851" t="s">
        <v>3059</v>
      </c>
      <c r="B851" t="s">
        <v>46</v>
      </c>
      <c r="C851" t="s">
        <v>22</v>
      </c>
      <c r="D851" t="s">
        <v>78</v>
      </c>
      <c r="E851">
        <v>3035</v>
      </c>
      <c r="F851" t="s">
        <v>3060</v>
      </c>
      <c r="G851" t="s">
        <v>3061</v>
      </c>
      <c r="H851" t="s">
        <v>3062</v>
      </c>
      <c r="I851" t="s">
        <v>81</v>
      </c>
      <c r="J851" t="s">
        <v>82</v>
      </c>
      <c r="L851">
        <v>45689</v>
      </c>
      <c r="M851" t="s">
        <v>95</v>
      </c>
    </row>
    <row r="852" spans="1:13" x14ac:dyDescent="0.3">
      <c r="A852" t="s">
        <v>3063</v>
      </c>
      <c r="B852" t="s">
        <v>37</v>
      </c>
      <c r="C852" t="s">
        <v>26</v>
      </c>
      <c r="D852" t="s">
        <v>78</v>
      </c>
      <c r="E852">
        <v>3035</v>
      </c>
      <c r="F852" t="s">
        <v>3064</v>
      </c>
      <c r="G852" t="s">
        <v>3065</v>
      </c>
      <c r="H852" t="s">
        <v>3065</v>
      </c>
      <c r="I852" t="s">
        <v>81</v>
      </c>
      <c r="J852" t="s">
        <v>82</v>
      </c>
      <c r="L852">
        <v>45737</v>
      </c>
      <c r="M852" t="s">
        <v>95</v>
      </c>
    </row>
    <row r="853" spans="1:13" x14ac:dyDescent="0.3">
      <c r="A853" t="s">
        <v>3066</v>
      </c>
      <c r="B853" t="s">
        <v>46</v>
      </c>
      <c r="C853" t="s">
        <v>25</v>
      </c>
      <c r="D853" t="s">
        <v>38</v>
      </c>
      <c r="E853">
        <v>3031</v>
      </c>
      <c r="F853" t="s">
        <v>3067</v>
      </c>
      <c r="G853" t="s">
        <v>3068</v>
      </c>
      <c r="H853" t="s">
        <v>3068</v>
      </c>
      <c r="I853" t="s">
        <v>42</v>
      </c>
      <c r="J853" t="s">
        <v>43</v>
      </c>
      <c r="K853" t="s">
        <v>21</v>
      </c>
      <c r="L853">
        <v>45721</v>
      </c>
      <c r="M853" t="s">
        <v>128</v>
      </c>
    </row>
    <row r="854" spans="1:13" x14ac:dyDescent="0.3">
      <c r="A854" t="s">
        <v>3069</v>
      </c>
      <c r="B854" t="s">
        <v>37</v>
      </c>
      <c r="C854" t="s">
        <v>26</v>
      </c>
      <c r="D854" t="s">
        <v>444</v>
      </c>
      <c r="E854">
        <v>3042</v>
      </c>
      <c r="F854" t="s">
        <v>3070</v>
      </c>
      <c r="G854" t="s">
        <v>3071</v>
      </c>
      <c r="H854" t="s">
        <v>3072</v>
      </c>
      <c r="I854" t="s">
        <v>448</v>
      </c>
      <c r="J854" t="s">
        <v>449</v>
      </c>
      <c r="L854">
        <v>45680</v>
      </c>
      <c r="M854" t="s">
        <v>450</v>
      </c>
    </row>
    <row r="855" spans="1:13" x14ac:dyDescent="0.3">
      <c r="A855" t="s">
        <v>3073</v>
      </c>
      <c r="B855" t="s">
        <v>37</v>
      </c>
      <c r="C855" t="s">
        <v>25</v>
      </c>
      <c r="D855" t="s">
        <v>136</v>
      </c>
      <c r="E855">
        <v>3039</v>
      </c>
      <c r="F855" t="s">
        <v>3074</v>
      </c>
      <c r="G855" t="s">
        <v>3075</v>
      </c>
      <c r="H855" t="s">
        <v>3076</v>
      </c>
      <c r="I855" t="s">
        <v>15</v>
      </c>
      <c r="J855" t="s">
        <v>14</v>
      </c>
      <c r="K855" t="s">
        <v>21</v>
      </c>
      <c r="L855">
        <v>45713</v>
      </c>
      <c r="M855" t="s">
        <v>577</v>
      </c>
    </row>
    <row r="856" spans="1:13" x14ac:dyDescent="0.3">
      <c r="A856" t="s">
        <v>3077</v>
      </c>
      <c r="B856" t="s">
        <v>46</v>
      </c>
      <c r="C856" t="s">
        <v>25</v>
      </c>
      <c r="D856" t="s">
        <v>47</v>
      </c>
      <c r="E856">
        <v>3032</v>
      </c>
      <c r="F856" t="s">
        <v>3078</v>
      </c>
      <c r="G856" t="s">
        <v>3079</v>
      </c>
      <c r="H856" t="s">
        <v>3079</v>
      </c>
      <c r="I856" t="s">
        <v>51</v>
      </c>
      <c r="J856" t="s">
        <v>52</v>
      </c>
      <c r="K856" t="s">
        <v>21</v>
      </c>
      <c r="L856">
        <v>45664</v>
      </c>
      <c r="M856" t="s">
        <v>881</v>
      </c>
    </row>
    <row r="857" spans="1:13" x14ac:dyDescent="0.3">
      <c r="A857" t="s">
        <v>3080</v>
      </c>
      <c r="B857" t="s">
        <v>46</v>
      </c>
      <c r="C857" t="s">
        <v>25</v>
      </c>
      <c r="D857" t="s">
        <v>444</v>
      </c>
      <c r="E857">
        <v>3042</v>
      </c>
      <c r="F857" t="s">
        <v>3081</v>
      </c>
      <c r="G857" t="s">
        <v>3082</v>
      </c>
      <c r="H857" t="s">
        <v>3083</v>
      </c>
      <c r="I857" t="s">
        <v>448</v>
      </c>
      <c r="J857" t="s">
        <v>449</v>
      </c>
      <c r="L857">
        <v>45660</v>
      </c>
      <c r="M857" t="s">
        <v>363</v>
      </c>
    </row>
    <row r="858" spans="1:13" x14ac:dyDescent="0.3">
      <c r="A858" t="s">
        <v>3084</v>
      </c>
      <c r="B858" t="s">
        <v>46</v>
      </c>
      <c r="C858" t="s">
        <v>22</v>
      </c>
      <c r="D858" t="s">
        <v>118</v>
      </c>
      <c r="E858">
        <v>3038</v>
      </c>
      <c r="F858" t="s">
        <v>3085</v>
      </c>
      <c r="G858" t="s">
        <v>3086</v>
      </c>
      <c r="H858" t="s">
        <v>3086</v>
      </c>
      <c r="I858" t="s">
        <v>122</v>
      </c>
      <c r="J858" t="s">
        <v>123</v>
      </c>
      <c r="K858" t="s">
        <v>21</v>
      </c>
      <c r="L858">
        <v>45710</v>
      </c>
      <c r="M858" t="s">
        <v>389</v>
      </c>
    </row>
    <row r="859" spans="1:13" x14ac:dyDescent="0.3">
      <c r="A859" t="s">
        <v>3087</v>
      </c>
      <c r="B859" t="s">
        <v>46</v>
      </c>
      <c r="C859" t="s">
        <v>26</v>
      </c>
      <c r="D859" t="s">
        <v>78</v>
      </c>
      <c r="E859">
        <v>3035</v>
      </c>
      <c r="F859" t="s">
        <v>3088</v>
      </c>
      <c r="G859" t="s">
        <v>3089</v>
      </c>
      <c r="H859" t="s">
        <v>3089</v>
      </c>
      <c r="I859" t="s">
        <v>81</v>
      </c>
      <c r="J859" t="s">
        <v>82</v>
      </c>
      <c r="K859" t="s">
        <v>21</v>
      </c>
      <c r="L859">
        <v>45704</v>
      </c>
      <c r="M859" t="s">
        <v>69</v>
      </c>
    </row>
    <row r="860" spans="1:13" x14ac:dyDescent="0.3">
      <c r="A860" t="s">
        <v>3090</v>
      </c>
      <c r="B860" t="s">
        <v>37</v>
      </c>
      <c r="C860" t="s">
        <v>24</v>
      </c>
      <c r="D860" t="s">
        <v>104</v>
      </c>
      <c r="E860">
        <v>3037</v>
      </c>
      <c r="F860" t="s">
        <v>3091</v>
      </c>
      <c r="G860" t="s">
        <v>3092</v>
      </c>
      <c r="H860" t="s">
        <v>3092</v>
      </c>
      <c r="I860" t="s">
        <v>12</v>
      </c>
      <c r="J860" t="s">
        <v>13</v>
      </c>
      <c r="L860">
        <v>45671</v>
      </c>
      <c r="M860" t="s">
        <v>287</v>
      </c>
    </row>
    <row r="861" spans="1:13" x14ac:dyDescent="0.3">
      <c r="A861" t="s">
        <v>3093</v>
      </c>
      <c r="B861" t="s">
        <v>46</v>
      </c>
      <c r="C861" t="s">
        <v>26</v>
      </c>
      <c r="D861" t="s">
        <v>55</v>
      </c>
      <c r="E861">
        <v>3033</v>
      </c>
      <c r="F861" t="s">
        <v>3094</v>
      </c>
      <c r="G861" t="s">
        <v>3095</v>
      </c>
      <c r="H861" t="s">
        <v>3095</v>
      </c>
      <c r="I861" t="s">
        <v>58</v>
      </c>
      <c r="J861" t="s">
        <v>59</v>
      </c>
      <c r="L861">
        <v>45724</v>
      </c>
      <c r="M861" t="s">
        <v>95</v>
      </c>
    </row>
    <row r="862" spans="1:13" x14ac:dyDescent="0.3">
      <c r="A862" t="s">
        <v>3096</v>
      </c>
      <c r="B862" t="s">
        <v>46</v>
      </c>
      <c r="C862" t="s">
        <v>26</v>
      </c>
      <c r="D862" t="s">
        <v>118</v>
      </c>
      <c r="E862">
        <v>3038</v>
      </c>
      <c r="F862" t="s">
        <v>3097</v>
      </c>
      <c r="G862" t="s">
        <v>3098</v>
      </c>
      <c r="H862" t="s">
        <v>3098</v>
      </c>
      <c r="I862" t="s">
        <v>122</v>
      </c>
      <c r="J862" t="s">
        <v>123</v>
      </c>
      <c r="L862">
        <v>45666</v>
      </c>
      <c r="M862" t="s">
        <v>124</v>
      </c>
    </row>
    <row r="863" spans="1:13" x14ac:dyDescent="0.3">
      <c r="A863" t="s">
        <v>3099</v>
      </c>
      <c r="B863" t="s">
        <v>46</v>
      </c>
      <c r="C863" t="s">
        <v>22</v>
      </c>
      <c r="D863" t="s">
        <v>118</v>
      </c>
      <c r="E863">
        <v>3038</v>
      </c>
      <c r="F863" t="s">
        <v>3100</v>
      </c>
      <c r="G863" t="s">
        <v>3101</v>
      </c>
      <c r="H863" t="s">
        <v>3101</v>
      </c>
      <c r="I863" t="s">
        <v>122</v>
      </c>
      <c r="J863" t="s">
        <v>123</v>
      </c>
      <c r="L863">
        <v>45718</v>
      </c>
      <c r="M863" t="s">
        <v>359</v>
      </c>
    </row>
    <row r="864" spans="1:13" x14ac:dyDescent="0.3">
      <c r="A864" t="s">
        <v>3102</v>
      </c>
      <c r="B864" t="s">
        <v>46</v>
      </c>
      <c r="C864" t="s">
        <v>22</v>
      </c>
      <c r="D864" t="s">
        <v>47</v>
      </c>
      <c r="E864">
        <v>3032</v>
      </c>
      <c r="F864" t="s">
        <v>3103</v>
      </c>
      <c r="G864" t="s">
        <v>3104</v>
      </c>
      <c r="H864" t="s">
        <v>3105</v>
      </c>
      <c r="I864" t="s">
        <v>51</v>
      </c>
      <c r="J864" t="s">
        <v>52</v>
      </c>
      <c r="K864" t="s">
        <v>21</v>
      </c>
      <c r="L864">
        <v>45689</v>
      </c>
      <c r="M864" t="s">
        <v>144</v>
      </c>
    </row>
    <row r="865" spans="1:13" x14ac:dyDescent="0.3">
      <c r="A865" t="s">
        <v>3106</v>
      </c>
      <c r="B865" t="s">
        <v>37</v>
      </c>
      <c r="C865" t="s">
        <v>25</v>
      </c>
      <c r="D865" t="s">
        <v>47</v>
      </c>
      <c r="E865">
        <v>3032</v>
      </c>
      <c r="F865" t="s">
        <v>2219</v>
      </c>
      <c r="G865" t="s">
        <v>3107</v>
      </c>
      <c r="H865" t="s">
        <v>3108</v>
      </c>
      <c r="I865" t="s">
        <v>51</v>
      </c>
      <c r="J865" t="s">
        <v>52</v>
      </c>
      <c r="L865">
        <v>45670</v>
      </c>
      <c r="M865" t="s">
        <v>212</v>
      </c>
    </row>
    <row r="866" spans="1:13" x14ac:dyDescent="0.3">
      <c r="A866" t="s">
        <v>3109</v>
      </c>
      <c r="B866" t="s">
        <v>46</v>
      </c>
      <c r="C866" t="s">
        <v>24</v>
      </c>
      <c r="D866" t="s">
        <v>207</v>
      </c>
      <c r="E866">
        <v>3041</v>
      </c>
      <c r="F866" t="s">
        <v>3110</v>
      </c>
      <c r="G866" t="s">
        <v>3111</v>
      </c>
      <c r="H866" t="s">
        <v>3112</v>
      </c>
      <c r="I866" t="s">
        <v>211</v>
      </c>
      <c r="J866" t="s">
        <v>14</v>
      </c>
      <c r="K866" t="s">
        <v>21</v>
      </c>
      <c r="L866">
        <v>45695</v>
      </c>
      <c r="M866" t="s">
        <v>363</v>
      </c>
    </row>
    <row r="867" spans="1:13" x14ac:dyDescent="0.3">
      <c r="A867" t="s">
        <v>3113</v>
      </c>
      <c r="B867" t="s">
        <v>37</v>
      </c>
      <c r="C867" t="s">
        <v>24</v>
      </c>
      <c r="D867" t="s">
        <v>71</v>
      </c>
      <c r="E867">
        <v>3034</v>
      </c>
      <c r="F867" t="s">
        <v>3114</v>
      </c>
      <c r="G867" t="s">
        <v>3115</v>
      </c>
      <c r="H867" t="s">
        <v>3115</v>
      </c>
      <c r="I867" t="s">
        <v>74</v>
      </c>
      <c r="J867" t="s">
        <v>75</v>
      </c>
      <c r="L867">
        <v>45709</v>
      </c>
      <c r="M867" t="s">
        <v>212</v>
      </c>
    </row>
    <row r="868" spans="1:13" x14ac:dyDescent="0.3">
      <c r="A868" t="s">
        <v>3116</v>
      </c>
      <c r="B868" t="s">
        <v>37</v>
      </c>
      <c r="C868" t="s">
        <v>26</v>
      </c>
      <c r="D868" t="s">
        <v>78</v>
      </c>
      <c r="E868">
        <v>3035</v>
      </c>
      <c r="F868" t="s">
        <v>3117</v>
      </c>
      <c r="G868" t="s">
        <v>3118</v>
      </c>
      <c r="H868" t="s">
        <v>3118</v>
      </c>
      <c r="I868" t="s">
        <v>81</v>
      </c>
      <c r="J868" t="s">
        <v>82</v>
      </c>
      <c r="K868" t="s">
        <v>21</v>
      </c>
      <c r="L868">
        <v>45670</v>
      </c>
      <c r="M868" t="s">
        <v>205</v>
      </c>
    </row>
    <row r="869" spans="1:13" x14ac:dyDescent="0.3">
      <c r="A869" t="s">
        <v>3119</v>
      </c>
      <c r="B869" t="s">
        <v>46</v>
      </c>
      <c r="C869" t="s">
        <v>24</v>
      </c>
      <c r="D869" t="s">
        <v>78</v>
      </c>
      <c r="E869">
        <v>3035</v>
      </c>
      <c r="F869" t="s">
        <v>3120</v>
      </c>
      <c r="G869" t="s">
        <v>3121</v>
      </c>
      <c r="H869" t="s">
        <v>3121</v>
      </c>
      <c r="I869" t="s">
        <v>81</v>
      </c>
      <c r="J869" t="s">
        <v>82</v>
      </c>
      <c r="K869" t="s">
        <v>21</v>
      </c>
      <c r="L869">
        <v>45738</v>
      </c>
      <c r="M869" t="s">
        <v>95</v>
      </c>
    </row>
    <row r="870" spans="1:13" x14ac:dyDescent="0.3">
      <c r="A870" t="s">
        <v>3122</v>
      </c>
      <c r="B870" t="s">
        <v>46</v>
      </c>
      <c r="C870" t="s">
        <v>24</v>
      </c>
      <c r="D870" t="s">
        <v>118</v>
      </c>
      <c r="E870">
        <v>3038</v>
      </c>
      <c r="F870" t="s">
        <v>3123</v>
      </c>
      <c r="G870" t="s">
        <v>3124</v>
      </c>
      <c r="H870" t="s">
        <v>3125</v>
      </c>
      <c r="I870" t="s">
        <v>122</v>
      </c>
      <c r="J870" t="s">
        <v>123</v>
      </c>
      <c r="L870">
        <v>45722</v>
      </c>
      <c r="M870" t="s">
        <v>389</v>
      </c>
    </row>
    <row r="871" spans="1:13" x14ac:dyDescent="0.3">
      <c r="A871" t="s">
        <v>3126</v>
      </c>
      <c r="B871" t="s">
        <v>37</v>
      </c>
      <c r="C871" t="s">
        <v>25</v>
      </c>
      <c r="D871" t="s">
        <v>47</v>
      </c>
      <c r="E871">
        <v>3032</v>
      </c>
      <c r="F871" t="s">
        <v>3127</v>
      </c>
      <c r="G871" t="s">
        <v>3128</v>
      </c>
      <c r="H871" t="s">
        <v>3128</v>
      </c>
      <c r="I871" t="s">
        <v>51</v>
      </c>
      <c r="J871" t="s">
        <v>52</v>
      </c>
      <c r="L871">
        <v>45659</v>
      </c>
      <c r="M871" t="s">
        <v>656</v>
      </c>
    </row>
    <row r="872" spans="1:13" x14ac:dyDescent="0.3">
      <c r="A872" t="s">
        <v>3129</v>
      </c>
      <c r="B872" t="s">
        <v>46</v>
      </c>
      <c r="C872" t="s">
        <v>25</v>
      </c>
      <c r="D872" t="s">
        <v>47</v>
      </c>
      <c r="E872">
        <v>3032</v>
      </c>
      <c r="F872" t="s">
        <v>3130</v>
      </c>
      <c r="G872" t="s">
        <v>3131</v>
      </c>
      <c r="H872" t="s">
        <v>3132</v>
      </c>
      <c r="I872" t="s">
        <v>51</v>
      </c>
      <c r="J872" t="s">
        <v>52</v>
      </c>
      <c r="L872">
        <v>45701</v>
      </c>
      <c r="M872" t="s">
        <v>656</v>
      </c>
    </row>
    <row r="873" spans="1:13" x14ac:dyDescent="0.3">
      <c r="A873" t="s">
        <v>3133</v>
      </c>
      <c r="B873" t="s">
        <v>46</v>
      </c>
      <c r="C873" t="s">
        <v>26</v>
      </c>
      <c r="D873" t="s">
        <v>55</v>
      </c>
      <c r="E873">
        <v>3033</v>
      </c>
      <c r="F873" t="s">
        <v>3134</v>
      </c>
      <c r="G873" t="s">
        <v>3135</v>
      </c>
      <c r="H873" t="s">
        <v>3135</v>
      </c>
      <c r="I873" t="s">
        <v>58</v>
      </c>
      <c r="J873" t="s">
        <v>59</v>
      </c>
      <c r="L873">
        <v>45659</v>
      </c>
      <c r="M873" t="s">
        <v>86</v>
      </c>
    </row>
    <row r="874" spans="1:13" x14ac:dyDescent="0.3">
      <c r="A874" t="s">
        <v>3136</v>
      </c>
      <c r="B874" t="s">
        <v>37</v>
      </c>
      <c r="C874" t="s">
        <v>25</v>
      </c>
      <c r="D874" t="s">
        <v>444</v>
      </c>
      <c r="E874">
        <v>3042</v>
      </c>
      <c r="F874" t="s">
        <v>3137</v>
      </c>
      <c r="G874" t="s">
        <v>3138</v>
      </c>
      <c r="H874" t="s">
        <v>3138</v>
      </c>
      <c r="I874" t="s">
        <v>448</v>
      </c>
      <c r="J874" t="s">
        <v>449</v>
      </c>
      <c r="K874" t="s">
        <v>21</v>
      </c>
      <c r="L874">
        <v>45708</v>
      </c>
      <c r="M874" t="s">
        <v>363</v>
      </c>
    </row>
    <row r="875" spans="1:13" x14ac:dyDescent="0.3">
      <c r="A875" t="s">
        <v>3139</v>
      </c>
      <c r="B875" t="s">
        <v>37</v>
      </c>
      <c r="C875" t="s">
        <v>24</v>
      </c>
      <c r="D875" t="s">
        <v>38</v>
      </c>
      <c r="E875">
        <v>3031</v>
      </c>
      <c r="F875" t="s">
        <v>3140</v>
      </c>
      <c r="G875" t="s">
        <v>3141</v>
      </c>
      <c r="H875" t="s">
        <v>3141</v>
      </c>
      <c r="I875" t="s">
        <v>42</v>
      </c>
      <c r="J875" t="s">
        <v>43</v>
      </c>
      <c r="K875" t="s">
        <v>21</v>
      </c>
      <c r="L875">
        <v>45704</v>
      </c>
      <c r="M875" t="s">
        <v>76</v>
      </c>
    </row>
    <row r="876" spans="1:13" x14ac:dyDescent="0.3">
      <c r="A876" t="s">
        <v>3142</v>
      </c>
      <c r="B876" t="s">
        <v>37</v>
      </c>
      <c r="C876" t="s">
        <v>26</v>
      </c>
      <c r="D876" t="s">
        <v>47</v>
      </c>
      <c r="E876">
        <v>3032</v>
      </c>
      <c r="F876" t="s">
        <v>3143</v>
      </c>
      <c r="G876" t="s">
        <v>3144</v>
      </c>
      <c r="H876" t="s">
        <v>3144</v>
      </c>
      <c r="I876" t="s">
        <v>51</v>
      </c>
      <c r="J876" t="s">
        <v>52</v>
      </c>
      <c r="L876">
        <v>45716</v>
      </c>
      <c r="M876" t="s">
        <v>656</v>
      </c>
    </row>
    <row r="877" spans="1:13" x14ac:dyDescent="0.3">
      <c r="A877" t="s">
        <v>3145</v>
      </c>
      <c r="B877" t="s">
        <v>37</v>
      </c>
      <c r="C877" t="s">
        <v>25</v>
      </c>
      <c r="D877" t="s">
        <v>78</v>
      </c>
      <c r="E877">
        <v>3035</v>
      </c>
      <c r="F877" t="s">
        <v>3146</v>
      </c>
      <c r="G877" t="s">
        <v>3147</v>
      </c>
      <c r="H877" t="s">
        <v>3147</v>
      </c>
      <c r="I877" t="s">
        <v>81</v>
      </c>
      <c r="J877" t="s">
        <v>82</v>
      </c>
      <c r="L877">
        <v>45711</v>
      </c>
      <c r="M877" t="s">
        <v>69</v>
      </c>
    </row>
    <row r="878" spans="1:13" x14ac:dyDescent="0.3">
      <c r="A878" t="s">
        <v>3148</v>
      </c>
      <c r="B878" t="s">
        <v>37</v>
      </c>
      <c r="C878" t="s">
        <v>26</v>
      </c>
      <c r="D878" t="s">
        <v>207</v>
      </c>
      <c r="E878">
        <v>3041</v>
      </c>
      <c r="F878" t="s">
        <v>3149</v>
      </c>
      <c r="G878" t="s">
        <v>3150</v>
      </c>
      <c r="H878" t="s">
        <v>3150</v>
      </c>
      <c r="I878" t="s">
        <v>211</v>
      </c>
      <c r="J878" t="s">
        <v>14</v>
      </c>
      <c r="L878">
        <v>45688</v>
      </c>
      <c r="M878" t="s">
        <v>212</v>
      </c>
    </row>
    <row r="879" spans="1:13" x14ac:dyDescent="0.3">
      <c r="A879" t="s">
        <v>3151</v>
      </c>
      <c r="B879" t="s">
        <v>37</v>
      </c>
      <c r="C879" t="s">
        <v>25</v>
      </c>
      <c r="D879" t="s">
        <v>71</v>
      </c>
      <c r="E879">
        <v>3034</v>
      </c>
      <c r="F879" t="s">
        <v>3152</v>
      </c>
      <c r="G879" t="s">
        <v>3153</v>
      </c>
      <c r="H879" t="s">
        <v>3153</v>
      </c>
      <c r="I879" t="s">
        <v>74</v>
      </c>
      <c r="J879" t="s">
        <v>75</v>
      </c>
      <c r="L879">
        <v>45670</v>
      </c>
      <c r="M879" t="s">
        <v>76</v>
      </c>
    </row>
    <row r="880" spans="1:13" x14ac:dyDescent="0.3">
      <c r="A880" t="s">
        <v>3154</v>
      </c>
      <c r="B880" t="s">
        <v>37</v>
      </c>
      <c r="C880" t="s">
        <v>25</v>
      </c>
      <c r="D880" t="s">
        <v>55</v>
      </c>
      <c r="E880">
        <v>3033</v>
      </c>
      <c r="F880" t="s">
        <v>3155</v>
      </c>
      <c r="G880" t="s">
        <v>3156</v>
      </c>
      <c r="H880" t="s">
        <v>3156</v>
      </c>
      <c r="I880" t="s">
        <v>58</v>
      </c>
      <c r="J880" t="s">
        <v>59</v>
      </c>
      <c r="L880">
        <v>45686</v>
      </c>
      <c r="M880" t="s">
        <v>90</v>
      </c>
    </row>
    <row r="881" spans="1:13" x14ac:dyDescent="0.3">
      <c r="A881" t="s">
        <v>3157</v>
      </c>
      <c r="B881" t="s">
        <v>37</v>
      </c>
      <c r="C881" t="s">
        <v>22</v>
      </c>
      <c r="D881" t="s">
        <v>97</v>
      </c>
      <c r="E881">
        <v>3036</v>
      </c>
      <c r="F881" t="s">
        <v>3158</v>
      </c>
      <c r="G881" t="s">
        <v>3159</v>
      </c>
      <c r="H881" t="s">
        <v>3160</v>
      </c>
      <c r="I881" t="s">
        <v>100</v>
      </c>
      <c r="J881" t="s">
        <v>101</v>
      </c>
      <c r="K881" t="s">
        <v>21</v>
      </c>
      <c r="L881">
        <v>45701</v>
      </c>
      <c r="M881" t="s">
        <v>165</v>
      </c>
    </row>
    <row r="882" spans="1:13" x14ac:dyDescent="0.3">
      <c r="A882" t="s">
        <v>3161</v>
      </c>
      <c r="B882" t="s">
        <v>37</v>
      </c>
      <c r="C882" t="s">
        <v>24</v>
      </c>
      <c r="D882" t="s">
        <v>97</v>
      </c>
      <c r="E882">
        <v>3036</v>
      </c>
      <c r="F882" t="s">
        <v>3162</v>
      </c>
      <c r="G882" t="s">
        <v>3163</v>
      </c>
      <c r="H882" t="s">
        <v>3164</v>
      </c>
      <c r="I882" t="s">
        <v>100</v>
      </c>
      <c r="J882" t="s">
        <v>101</v>
      </c>
      <c r="L882">
        <v>45672</v>
      </c>
      <c r="M882" t="s">
        <v>102</v>
      </c>
    </row>
    <row r="883" spans="1:13" x14ac:dyDescent="0.3">
      <c r="A883" t="s">
        <v>3165</v>
      </c>
      <c r="B883" t="s">
        <v>37</v>
      </c>
      <c r="C883" t="s">
        <v>26</v>
      </c>
      <c r="D883" t="s">
        <v>97</v>
      </c>
      <c r="E883">
        <v>3036</v>
      </c>
      <c r="F883" t="s">
        <v>3166</v>
      </c>
      <c r="G883" t="s">
        <v>3167</v>
      </c>
      <c r="H883" t="s">
        <v>3167</v>
      </c>
      <c r="I883" t="s">
        <v>100</v>
      </c>
      <c r="J883" t="s">
        <v>101</v>
      </c>
      <c r="L883">
        <v>45702</v>
      </c>
      <c r="M883" t="s">
        <v>292</v>
      </c>
    </row>
    <row r="884" spans="1:13" x14ac:dyDescent="0.3">
      <c r="A884" t="s">
        <v>3168</v>
      </c>
      <c r="B884" t="s">
        <v>46</v>
      </c>
      <c r="C884" t="s">
        <v>26</v>
      </c>
      <c r="D884" t="s">
        <v>97</v>
      </c>
      <c r="E884">
        <v>3036</v>
      </c>
      <c r="F884" t="s">
        <v>3169</v>
      </c>
      <c r="G884" t="s">
        <v>3170</v>
      </c>
      <c r="H884" t="s">
        <v>3171</v>
      </c>
      <c r="I884" t="s">
        <v>100</v>
      </c>
      <c r="J884" t="s">
        <v>101</v>
      </c>
      <c r="L884">
        <v>45683</v>
      </c>
      <c r="M884" t="s">
        <v>128</v>
      </c>
    </row>
    <row r="885" spans="1:13" x14ac:dyDescent="0.3">
      <c r="A885" t="s">
        <v>3172</v>
      </c>
      <c r="B885" t="s">
        <v>46</v>
      </c>
      <c r="C885" t="s">
        <v>25</v>
      </c>
      <c r="D885" t="s">
        <v>38</v>
      </c>
      <c r="E885">
        <v>3031</v>
      </c>
      <c r="F885" t="s">
        <v>3173</v>
      </c>
      <c r="G885" t="s">
        <v>3174</v>
      </c>
      <c r="H885" t="s">
        <v>3175</v>
      </c>
      <c r="I885" t="s">
        <v>42</v>
      </c>
      <c r="J885" t="s">
        <v>43</v>
      </c>
      <c r="L885">
        <v>45700</v>
      </c>
      <c r="M885" t="s">
        <v>44</v>
      </c>
    </row>
    <row r="886" spans="1:13" x14ac:dyDescent="0.3">
      <c r="A886" t="s">
        <v>3176</v>
      </c>
      <c r="B886" t="s">
        <v>37</v>
      </c>
      <c r="C886" t="s">
        <v>24</v>
      </c>
      <c r="D886" t="s">
        <v>55</v>
      </c>
      <c r="E886">
        <v>3033</v>
      </c>
      <c r="F886" t="s">
        <v>3177</v>
      </c>
      <c r="G886" t="s">
        <v>3178</v>
      </c>
      <c r="H886" t="s">
        <v>3179</v>
      </c>
      <c r="I886" t="s">
        <v>58</v>
      </c>
      <c r="J886" t="s">
        <v>59</v>
      </c>
      <c r="K886" t="s">
        <v>21</v>
      </c>
      <c r="L886">
        <v>45725</v>
      </c>
      <c r="M886" t="s">
        <v>90</v>
      </c>
    </row>
    <row r="887" spans="1:13" x14ac:dyDescent="0.3">
      <c r="A887" t="s">
        <v>3180</v>
      </c>
      <c r="B887" t="s">
        <v>46</v>
      </c>
      <c r="C887" t="s">
        <v>25</v>
      </c>
      <c r="D887" t="s">
        <v>104</v>
      </c>
      <c r="E887">
        <v>3037</v>
      </c>
      <c r="F887" t="s">
        <v>3181</v>
      </c>
      <c r="G887" t="s">
        <v>3182</v>
      </c>
      <c r="H887" t="s">
        <v>3183</v>
      </c>
      <c r="I887" t="s">
        <v>12</v>
      </c>
      <c r="J887" t="s">
        <v>13</v>
      </c>
      <c r="L887">
        <v>45742</v>
      </c>
      <c r="M887" t="s">
        <v>224</v>
      </c>
    </row>
    <row r="888" spans="1:13" x14ac:dyDescent="0.3">
      <c r="A888" t="s">
        <v>3184</v>
      </c>
      <c r="B888" t="s">
        <v>37</v>
      </c>
      <c r="C888" t="s">
        <v>22</v>
      </c>
      <c r="D888" t="s">
        <v>136</v>
      </c>
      <c r="E888">
        <v>3039</v>
      </c>
      <c r="F888" t="s">
        <v>3185</v>
      </c>
      <c r="G888" t="s">
        <v>3186</v>
      </c>
      <c r="H888" t="s">
        <v>3186</v>
      </c>
      <c r="I888" t="s">
        <v>15</v>
      </c>
      <c r="J888" t="s">
        <v>14</v>
      </c>
      <c r="L888">
        <v>45729</v>
      </c>
      <c r="M888" t="s">
        <v>160</v>
      </c>
    </row>
    <row r="889" spans="1:13" x14ac:dyDescent="0.3">
      <c r="A889" t="s">
        <v>3187</v>
      </c>
      <c r="B889" t="s">
        <v>37</v>
      </c>
      <c r="C889" t="s">
        <v>25</v>
      </c>
      <c r="D889" t="s">
        <v>47</v>
      </c>
      <c r="E889">
        <v>3032</v>
      </c>
      <c r="F889" t="s">
        <v>3188</v>
      </c>
      <c r="G889" t="s">
        <v>3189</v>
      </c>
      <c r="H889" t="s">
        <v>3189</v>
      </c>
      <c r="I889" t="s">
        <v>51</v>
      </c>
      <c r="J889" t="s">
        <v>52</v>
      </c>
      <c r="L889">
        <v>45669</v>
      </c>
      <c r="M889" t="s">
        <v>542</v>
      </c>
    </row>
    <row r="890" spans="1:13" x14ac:dyDescent="0.3">
      <c r="A890" t="s">
        <v>3190</v>
      </c>
      <c r="B890" t="s">
        <v>46</v>
      </c>
      <c r="C890" t="s">
        <v>26</v>
      </c>
      <c r="D890" t="s">
        <v>207</v>
      </c>
      <c r="E890">
        <v>3041</v>
      </c>
      <c r="F890" t="s">
        <v>3191</v>
      </c>
      <c r="G890" t="s">
        <v>3192</v>
      </c>
      <c r="H890" t="s">
        <v>3192</v>
      </c>
      <c r="I890" t="s">
        <v>211</v>
      </c>
      <c r="J890" t="s">
        <v>14</v>
      </c>
      <c r="K890" t="s">
        <v>21</v>
      </c>
      <c r="L890">
        <v>45716</v>
      </c>
      <c r="M890" t="s">
        <v>394</v>
      </c>
    </row>
    <row r="891" spans="1:13" x14ac:dyDescent="0.3">
      <c r="A891" t="s">
        <v>3193</v>
      </c>
      <c r="B891" t="s">
        <v>37</v>
      </c>
      <c r="C891" t="s">
        <v>22</v>
      </c>
      <c r="D891" t="s">
        <v>444</v>
      </c>
      <c r="E891">
        <v>3042</v>
      </c>
      <c r="F891" t="s">
        <v>3194</v>
      </c>
      <c r="G891" t="s">
        <v>3195</v>
      </c>
      <c r="H891" t="s">
        <v>3195</v>
      </c>
      <c r="I891" t="s">
        <v>448</v>
      </c>
      <c r="J891" t="s">
        <v>449</v>
      </c>
      <c r="L891">
        <v>45719</v>
      </c>
      <c r="M891" t="s">
        <v>224</v>
      </c>
    </row>
    <row r="892" spans="1:13" x14ac:dyDescent="0.3">
      <c r="A892" t="s">
        <v>3196</v>
      </c>
      <c r="B892" t="s">
        <v>37</v>
      </c>
      <c r="C892" t="s">
        <v>25</v>
      </c>
      <c r="D892" t="s">
        <v>136</v>
      </c>
      <c r="E892">
        <v>3039</v>
      </c>
      <c r="F892" t="s">
        <v>3197</v>
      </c>
      <c r="G892" t="s">
        <v>3198</v>
      </c>
      <c r="H892" t="s">
        <v>3198</v>
      </c>
      <c r="I892" t="s">
        <v>15</v>
      </c>
      <c r="J892" t="s">
        <v>14</v>
      </c>
      <c r="L892">
        <v>45723</v>
      </c>
      <c r="M892" t="s">
        <v>987</v>
      </c>
    </row>
    <row r="893" spans="1:13" x14ac:dyDescent="0.3">
      <c r="A893" t="s">
        <v>3199</v>
      </c>
      <c r="B893" t="s">
        <v>46</v>
      </c>
      <c r="C893" t="s">
        <v>25</v>
      </c>
      <c r="D893" t="s">
        <v>97</v>
      </c>
      <c r="E893">
        <v>3036</v>
      </c>
      <c r="F893" t="s">
        <v>3200</v>
      </c>
      <c r="G893" t="s">
        <v>3201</v>
      </c>
      <c r="H893" t="s">
        <v>3201</v>
      </c>
      <c r="I893" t="s">
        <v>100</v>
      </c>
      <c r="J893" t="s">
        <v>101</v>
      </c>
      <c r="L893">
        <v>45704</v>
      </c>
      <c r="M893" t="s">
        <v>102</v>
      </c>
    </row>
    <row r="894" spans="1:13" x14ac:dyDescent="0.3">
      <c r="A894" t="s">
        <v>3202</v>
      </c>
      <c r="B894" t="s">
        <v>46</v>
      </c>
      <c r="C894" t="s">
        <v>26</v>
      </c>
      <c r="D894" t="s">
        <v>78</v>
      </c>
      <c r="E894">
        <v>3035</v>
      </c>
      <c r="F894" t="s">
        <v>3203</v>
      </c>
      <c r="G894" t="s">
        <v>3204</v>
      </c>
      <c r="H894" t="s">
        <v>3204</v>
      </c>
      <c r="I894" t="s">
        <v>81</v>
      </c>
      <c r="J894" t="s">
        <v>82</v>
      </c>
      <c r="K894" t="s">
        <v>21</v>
      </c>
      <c r="L894">
        <v>45689</v>
      </c>
      <c r="M894" t="s">
        <v>69</v>
      </c>
    </row>
    <row r="895" spans="1:13" x14ac:dyDescent="0.3">
      <c r="A895" t="s">
        <v>3205</v>
      </c>
      <c r="B895" t="s">
        <v>37</v>
      </c>
      <c r="C895" t="s">
        <v>22</v>
      </c>
      <c r="D895" t="s">
        <v>55</v>
      </c>
      <c r="E895">
        <v>3033</v>
      </c>
      <c r="F895" t="s">
        <v>3206</v>
      </c>
      <c r="G895" t="s">
        <v>3207</v>
      </c>
      <c r="H895" t="s">
        <v>3207</v>
      </c>
      <c r="I895" t="s">
        <v>58</v>
      </c>
      <c r="J895" t="s">
        <v>59</v>
      </c>
      <c r="K895" t="s">
        <v>21</v>
      </c>
      <c r="L895">
        <v>45683</v>
      </c>
      <c r="M895" t="s">
        <v>86</v>
      </c>
    </row>
    <row r="896" spans="1:13" x14ac:dyDescent="0.3">
      <c r="A896" t="s">
        <v>3208</v>
      </c>
      <c r="B896" t="s">
        <v>37</v>
      </c>
      <c r="C896" t="s">
        <v>24</v>
      </c>
      <c r="D896" t="s">
        <v>444</v>
      </c>
      <c r="E896">
        <v>3042</v>
      </c>
      <c r="F896" t="s">
        <v>3209</v>
      </c>
      <c r="G896" t="s">
        <v>3210</v>
      </c>
      <c r="H896" t="s">
        <v>3210</v>
      </c>
      <c r="I896" t="s">
        <v>448</v>
      </c>
      <c r="J896" t="s">
        <v>449</v>
      </c>
      <c r="L896">
        <v>45698</v>
      </c>
      <c r="M896" t="s">
        <v>481</v>
      </c>
    </row>
    <row r="897" spans="1:13" x14ac:dyDescent="0.3">
      <c r="A897" t="s">
        <v>3211</v>
      </c>
      <c r="B897" t="s">
        <v>37</v>
      </c>
      <c r="C897" t="s">
        <v>22</v>
      </c>
      <c r="D897" t="s">
        <v>38</v>
      </c>
      <c r="E897">
        <v>3031</v>
      </c>
      <c r="F897" t="s">
        <v>3212</v>
      </c>
      <c r="G897" t="s">
        <v>3213</v>
      </c>
      <c r="H897" t="s">
        <v>3213</v>
      </c>
      <c r="I897" t="s">
        <v>42</v>
      </c>
      <c r="J897" t="s">
        <v>43</v>
      </c>
      <c r="L897">
        <v>45659</v>
      </c>
      <c r="M897" t="s">
        <v>287</v>
      </c>
    </row>
    <row r="898" spans="1:13" x14ac:dyDescent="0.3">
      <c r="A898" t="s">
        <v>3214</v>
      </c>
      <c r="B898" t="s">
        <v>46</v>
      </c>
      <c r="C898" t="s">
        <v>24</v>
      </c>
      <c r="D898" t="s">
        <v>136</v>
      </c>
      <c r="E898">
        <v>3039</v>
      </c>
      <c r="F898" t="s">
        <v>3215</v>
      </c>
      <c r="G898" t="s">
        <v>3216</v>
      </c>
      <c r="H898" t="s">
        <v>3217</v>
      </c>
      <c r="I898" t="s">
        <v>15</v>
      </c>
      <c r="J898" t="s">
        <v>14</v>
      </c>
      <c r="L898">
        <v>45708</v>
      </c>
      <c r="M898" t="s">
        <v>160</v>
      </c>
    </row>
    <row r="899" spans="1:13" x14ac:dyDescent="0.3">
      <c r="A899" t="s">
        <v>3218</v>
      </c>
      <c r="B899" t="s">
        <v>37</v>
      </c>
      <c r="C899" t="s">
        <v>24</v>
      </c>
      <c r="D899" t="s">
        <v>71</v>
      </c>
      <c r="E899">
        <v>3034</v>
      </c>
      <c r="F899" t="s">
        <v>3219</v>
      </c>
      <c r="G899" t="s">
        <v>3220</v>
      </c>
      <c r="H899" t="s">
        <v>3220</v>
      </c>
      <c r="I899" t="s">
        <v>74</v>
      </c>
      <c r="J899" t="s">
        <v>75</v>
      </c>
      <c r="K899" t="s">
        <v>21</v>
      </c>
      <c r="L899">
        <v>45740</v>
      </c>
      <c r="M899" t="s">
        <v>76</v>
      </c>
    </row>
    <row r="900" spans="1:13" x14ac:dyDescent="0.3">
      <c r="A900" t="s">
        <v>3221</v>
      </c>
      <c r="B900" t="s">
        <v>37</v>
      </c>
      <c r="C900" t="s">
        <v>22</v>
      </c>
      <c r="D900" t="s">
        <v>78</v>
      </c>
      <c r="E900">
        <v>3035</v>
      </c>
      <c r="F900" t="s">
        <v>3222</v>
      </c>
      <c r="G900" t="s">
        <v>3223</v>
      </c>
      <c r="H900" t="s">
        <v>3224</v>
      </c>
      <c r="I900" t="s">
        <v>81</v>
      </c>
      <c r="J900" t="s">
        <v>82</v>
      </c>
      <c r="K900" t="s">
        <v>21</v>
      </c>
      <c r="L900">
        <v>45668</v>
      </c>
      <c r="M900" t="s">
        <v>489</v>
      </c>
    </row>
    <row r="901" spans="1:13" x14ac:dyDescent="0.3">
      <c r="A901" t="s">
        <v>3225</v>
      </c>
      <c r="B901" t="s">
        <v>46</v>
      </c>
      <c r="C901" t="s">
        <v>22</v>
      </c>
      <c r="D901" t="s">
        <v>207</v>
      </c>
      <c r="E901">
        <v>3041</v>
      </c>
      <c r="F901" t="s">
        <v>3226</v>
      </c>
      <c r="G901" t="s">
        <v>3227</v>
      </c>
      <c r="H901" t="s">
        <v>3228</v>
      </c>
      <c r="I901" t="s">
        <v>211</v>
      </c>
      <c r="J901" t="s">
        <v>14</v>
      </c>
      <c r="L901">
        <v>45711</v>
      </c>
      <c r="M901" t="s">
        <v>128</v>
      </c>
    </row>
    <row r="902" spans="1:13" x14ac:dyDescent="0.3">
      <c r="A902" t="s">
        <v>3229</v>
      </c>
      <c r="B902" t="s">
        <v>46</v>
      </c>
      <c r="C902" t="s">
        <v>22</v>
      </c>
      <c r="D902" t="s">
        <v>191</v>
      </c>
      <c r="E902">
        <v>3040</v>
      </c>
      <c r="F902" t="s">
        <v>3230</v>
      </c>
      <c r="G902" t="s">
        <v>3231</v>
      </c>
      <c r="H902" t="s">
        <v>3231</v>
      </c>
      <c r="I902" t="s">
        <v>194</v>
      </c>
      <c r="J902" t="s">
        <v>13</v>
      </c>
      <c r="L902">
        <v>45733</v>
      </c>
      <c r="M902" t="s">
        <v>717</v>
      </c>
    </row>
    <row r="903" spans="1:13" x14ac:dyDescent="0.3">
      <c r="A903" t="s">
        <v>3232</v>
      </c>
      <c r="B903" t="s">
        <v>37</v>
      </c>
      <c r="C903" t="s">
        <v>22</v>
      </c>
      <c r="D903" t="s">
        <v>47</v>
      </c>
      <c r="E903">
        <v>3032</v>
      </c>
      <c r="F903" t="s">
        <v>3233</v>
      </c>
      <c r="G903" t="s">
        <v>3234</v>
      </c>
      <c r="H903" t="s">
        <v>3234</v>
      </c>
      <c r="I903" t="s">
        <v>51</v>
      </c>
      <c r="J903" t="s">
        <v>52</v>
      </c>
      <c r="L903">
        <v>45659</v>
      </c>
      <c r="M903" t="s">
        <v>656</v>
      </c>
    </row>
    <row r="904" spans="1:13" x14ac:dyDescent="0.3">
      <c r="A904" t="s">
        <v>3235</v>
      </c>
      <c r="B904" t="s">
        <v>46</v>
      </c>
      <c r="C904" t="s">
        <v>26</v>
      </c>
      <c r="D904" t="s">
        <v>38</v>
      </c>
      <c r="E904">
        <v>3031</v>
      </c>
      <c r="F904" t="s">
        <v>3236</v>
      </c>
      <c r="G904" t="s">
        <v>3237</v>
      </c>
      <c r="H904" t="s">
        <v>3238</v>
      </c>
      <c r="I904" t="s">
        <v>42</v>
      </c>
      <c r="J904" t="s">
        <v>43</v>
      </c>
      <c r="L904">
        <v>45676</v>
      </c>
      <c r="M904" t="s">
        <v>287</v>
      </c>
    </row>
    <row r="905" spans="1:13" x14ac:dyDescent="0.3">
      <c r="A905" t="s">
        <v>3239</v>
      </c>
      <c r="B905" t="s">
        <v>46</v>
      </c>
      <c r="C905" t="s">
        <v>25</v>
      </c>
      <c r="D905" t="s">
        <v>55</v>
      </c>
      <c r="E905">
        <v>3033</v>
      </c>
      <c r="F905" t="s">
        <v>3240</v>
      </c>
      <c r="G905" t="s">
        <v>3241</v>
      </c>
      <c r="H905" t="s">
        <v>3241</v>
      </c>
      <c r="I905" t="s">
        <v>58</v>
      </c>
      <c r="J905" t="s">
        <v>59</v>
      </c>
      <c r="L905">
        <v>45700</v>
      </c>
      <c r="M905" t="s">
        <v>95</v>
      </c>
    </row>
    <row r="906" spans="1:13" x14ac:dyDescent="0.3">
      <c r="A906" t="s">
        <v>3242</v>
      </c>
      <c r="B906" t="s">
        <v>46</v>
      </c>
      <c r="C906" t="s">
        <v>26</v>
      </c>
      <c r="D906" t="s">
        <v>71</v>
      </c>
      <c r="E906">
        <v>3034</v>
      </c>
      <c r="F906" t="s">
        <v>3243</v>
      </c>
      <c r="G906" t="s">
        <v>3244</v>
      </c>
      <c r="H906" t="s">
        <v>3244</v>
      </c>
      <c r="I906" t="s">
        <v>74</v>
      </c>
      <c r="J906" t="s">
        <v>75</v>
      </c>
      <c r="K906" t="s">
        <v>21</v>
      </c>
      <c r="L906">
        <v>45667</v>
      </c>
      <c r="M906" t="s">
        <v>212</v>
      </c>
    </row>
    <row r="907" spans="1:13" x14ac:dyDescent="0.3">
      <c r="A907" t="s">
        <v>3245</v>
      </c>
      <c r="B907" t="s">
        <v>37</v>
      </c>
      <c r="C907" t="s">
        <v>26</v>
      </c>
      <c r="D907" t="s">
        <v>136</v>
      </c>
      <c r="E907">
        <v>3039</v>
      </c>
      <c r="F907" t="s">
        <v>3246</v>
      </c>
      <c r="G907" t="s">
        <v>3247</v>
      </c>
      <c r="H907" t="s">
        <v>3248</v>
      </c>
      <c r="I907" t="s">
        <v>15</v>
      </c>
      <c r="J907" t="s">
        <v>14</v>
      </c>
      <c r="K907" t="s">
        <v>21</v>
      </c>
      <c r="L907">
        <v>45660</v>
      </c>
      <c r="M907" t="s">
        <v>140</v>
      </c>
    </row>
    <row r="908" spans="1:13" x14ac:dyDescent="0.3">
      <c r="A908" t="s">
        <v>3249</v>
      </c>
      <c r="B908" t="s">
        <v>37</v>
      </c>
      <c r="C908" t="s">
        <v>25</v>
      </c>
      <c r="D908" t="s">
        <v>136</v>
      </c>
      <c r="E908">
        <v>3039</v>
      </c>
      <c r="F908" t="s">
        <v>3250</v>
      </c>
      <c r="G908" t="s">
        <v>3251</v>
      </c>
      <c r="H908" t="s">
        <v>3251</v>
      </c>
      <c r="I908" t="s">
        <v>15</v>
      </c>
      <c r="J908" t="s">
        <v>14</v>
      </c>
      <c r="L908">
        <v>45728</v>
      </c>
      <c r="M908" t="s">
        <v>382</v>
      </c>
    </row>
    <row r="909" spans="1:13" x14ac:dyDescent="0.3">
      <c r="A909" t="s">
        <v>3252</v>
      </c>
      <c r="B909" t="s">
        <v>46</v>
      </c>
      <c r="C909" t="s">
        <v>22</v>
      </c>
      <c r="D909" t="s">
        <v>191</v>
      </c>
      <c r="E909">
        <v>3040</v>
      </c>
      <c r="F909" t="s">
        <v>3253</v>
      </c>
      <c r="G909" t="s">
        <v>3254</v>
      </c>
      <c r="H909" t="s">
        <v>3255</v>
      </c>
      <c r="I909" t="s">
        <v>194</v>
      </c>
      <c r="J909" t="s">
        <v>13</v>
      </c>
      <c r="K909" t="s">
        <v>21</v>
      </c>
      <c r="L909">
        <v>45715</v>
      </c>
      <c r="M909" t="s">
        <v>224</v>
      </c>
    </row>
    <row r="910" spans="1:13" x14ac:dyDescent="0.3">
      <c r="A910" t="s">
        <v>3256</v>
      </c>
      <c r="B910" t="s">
        <v>37</v>
      </c>
      <c r="C910" t="s">
        <v>26</v>
      </c>
      <c r="D910" t="s">
        <v>47</v>
      </c>
      <c r="E910">
        <v>3032</v>
      </c>
      <c r="F910" t="s">
        <v>3257</v>
      </c>
      <c r="G910" t="s">
        <v>3258</v>
      </c>
      <c r="H910" t="s">
        <v>3259</v>
      </c>
      <c r="I910" t="s">
        <v>51</v>
      </c>
      <c r="J910" t="s">
        <v>52</v>
      </c>
      <c r="K910" t="s">
        <v>21</v>
      </c>
      <c r="L910">
        <v>45667</v>
      </c>
      <c r="M910" t="s">
        <v>656</v>
      </c>
    </row>
    <row r="911" spans="1:13" x14ac:dyDescent="0.3">
      <c r="A911" t="s">
        <v>3260</v>
      </c>
      <c r="B911" t="s">
        <v>37</v>
      </c>
      <c r="C911" t="s">
        <v>26</v>
      </c>
      <c r="D911" t="s">
        <v>118</v>
      </c>
      <c r="E911">
        <v>3038</v>
      </c>
      <c r="F911" t="s">
        <v>3261</v>
      </c>
      <c r="G911" t="s">
        <v>3262</v>
      </c>
      <c r="H911" t="s">
        <v>3262</v>
      </c>
      <c r="I911" t="s">
        <v>122</v>
      </c>
      <c r="J911" t="s">
        <v>123</v>
      </c>
      <c r="L911">
        <v>45719</v>
      </c>
      <c r="M911" t="s">
        <v>581</v>
      </c>
    </row>
    <row r="912" spans="1:13" x14ac:dyDescent="0.3">
      <c r="A912" t="s">
        <v>3263</v>
      </c>
      <c r="B912" t="s">
        <v>37</v>
      </c>
      <c r="C912" t="s">
        <v>26</v>
      </c>
      <c r="D912" t="s">
        <v>55</v>
      </c>
      <c r="E912">
        <v>3033</v>
      </c>
      <c r="F912" t="s">
        <v>3264</v>
      </c>
      <c r="G912" t="s">
        <v>3265</v>
      </c>
      <c r="H912" t="s">
        <v>3265</v>
      </c>
      <c r="I912" t="s">
        <v>58</v>
      </c>
      <c r="J912" t="s">
        <v>59</v>
      </c>
      <c r="L912">
        <v>45691</v>
      </c>
      <c r="M912" t="s">
        <v>90</v>
      </c>
    </row>
    <row r="913" spans="1:13" x14ac:dyDescent="0.3">
      <c r="A913" t="s">
        <v>3266</v>
      </c>
      <c r="B913" t="s">
        <v>37</v>
      </c>
      <c r="C913" t="s">
        <v>24</v>
      </c>
      <c r="D913" t="s">
        <v>118</v>
      </c>
      <c r="E913">
        <v>3038</v>
      </c>
      <c r="F913" t="s">
        <v>3267</v>
      </c>
      <c r="G913" t="s">
        <v>3268</v>
      </c>
      <c r="H913" t="s">
        <v>3268</v>
      </c>
      <c r="I913" t="s">
        <v>122</v>
      </c>
      <c r="J913" t="s">
        <v>123</v>
      </c>
      <c r="L913">
        <v>45708</v>
      </c>
      <c r="M913" t="s">
        <v>359</v>
      </c>
    </row>
    <row r="914" spans="1:13" x14ac:dyDescent="0.3">
      <c r="A914" t="s">
        <v>3269</v>
      </c>
      <c r="B914" t="s">
        <v>46</v>
      </c>
      <c r="C914" t="s">
        <v>26</v>
      </c>
      <c r="D914" t="s">
        <v>207</v>
      </c>
      <c r="E914">
        <v>3041</v>
      </c>
      <c r="F914" t="s">
        <v>3270</v>
      </c>
      <c r="G914" t="s">
        <v>3271</v>
      </c>
      <c r="H914" t="s">
        <v>3272</v>
      </c>
      <c r="I914" t="s">
        <v>211</v>
      </c>
      <c r="J914" t="s">
        <v>14</v>
      </c>
      <c r="K914" t="s">
        <v>21</v>
      </c>
      <c r="L914">
        <v>45728</v>
      </c>
      <c r="M914" t="s">
        <v>577</v>
      </c>
    </row>
    <row r="915" spans="1:13" x14ac:dyDescent="0.3">
      <c r="A915" t="s">
        <v>3273</v>
      </c>
      <c r="B915" t="s">
        <v>46</v>
      </c>
      <c r="C915" t="s">
        <v>25</v>
      </c>
      <c r="D915" t="s">
        <v>104</v>
      </c>
      <c r="E915">
        <v>3037</v>
      </c>
      <c r="F915" t="s">
        <v>3274</v>
      </c>
      <c r="G915" t="s">
        <v>3275</v>
      </c>
      <c r="H915" t="s">
        <v>3275</v>
      </c>
      <c r="I915" t="s">
        <v>12</v>
      </c>
      <c r="J915" t="s">
        <v>13</v>
      </c>
      <c r="K915" t="s">
        <v>21</v>
      </c>
      <c r="L915">
        <v>45700</v>
      </c>
      <c r="M915" t="s">
        <v>76</v>
      </c>
    </row>
    <row r="916" spans="1:13" x14ac:dyDescent="0.3">
      <c r="A916" t="s">
        <v>3276</v>
      </c>
      <c r="B916" t="s">
        <v>37</v>
      </c>
      <c r="C916" t="s">
        <v>25</v>
      </c>
      <c r="D916" t="s">
        <v>104</v>
      </c>
      <c r="E916">
        <v>3037</v>
      </c>
      <c r="F916" t="s">
        <v>3277</v>
      </c>
      <c r="G916" t="s">
        <v>3278</v>
      </c>
      <c r="H916" t="s">
        <v>3278</v>
      </c>
      <c r="I916" t="s">
        <v>12</v>
      </c>
      <c r="J916" t="s">
        <v>13</v>
      </c>
      <c r="K916" t="s">
        <v>21</v>
      </c>
      <c r="L916">
        <v>45674</v>
      </c>
      <c r="M916" t="s">
        <v>76</v>
      </c>
    </row>
    <row r="917" spans="1:13" x14ac:dyDescent="0.3">
      <c r="A917" t="s">
        <v>3279</v>
      </c>
      <c r="B917" t="s">
        <v>37</v>
      </c>
      <c r="C917" t="s">
        <v>24</v>
      </c>
      <c r="D917" t="s">
        <v>47</v>
      </c>
      <c r="E917">
        <v>3032</v>
      </c>
      <c r="F917" t="s">
        <v>2275</v>
      </c>
      <c r="G917" t="s">
        <v>3280</v>
      </c>
      <c r="H917" t="s">
        <v>3281</v>
      </c>
      <c r="I917" t="s">
        <v>51</v>
      </c>
      <c r="J917" t="s">
        <v>52</v>
      </c>
      <c r="L917">
        <v>45716</v>
      </c>
      <c r="M917" t="s">
        <v>881</v>
      </c>
    </row>
    <row r="918" spans="1:13" x14ac:dyDescent="0.3">
      <c r="A918" t="s">
        <v>3282</v>
      </c>
      <c r="B918" t="s">
        <v>37</v>
      </c>
      <c r="C918" t="s">
        <v>25</v>
      </c>
      <c r="D918" t="s">
        <v>97</v>
      </c>
      <c r="E918">
        <v>3036</v>
      </c>
      <c r="F918" t="s">
        <v>3283</v>
      </c>
      <c r="G918" t="s">
        <v>3284</v>
      </c>
      <c r="H918" t="s">
        <v>3284</v>
      </c>
      <c r="I918" t="s">
        <v>100</v>
      </c>
      <c r="J918" t="s">
        <v>101</v>
      </c>
      <c r="K918" t="s">
        <v>21</v>
      </c>
      <c r="L918">
        <v>45714</v>
      </c>
      <c r="M918" t="s">
        <v>65</v>
      </c>
    </row>
    <row r="919" spans="1:13" x14ac:dyDescent="0.3">
      <c r="A919" t="s">
        <v>3285</v>
      </c>
      <c r="B919" t="s">
        <v>46</v>
      </c>
      <c r="C919" t="s">
        <v>22</v>
      </c>
      <c r="D919" t="s">
        <v>47</v>
      </c>
      <c r="E919">
        <v>3032</v>
      </c>
      <c r="F919" t="s">
        <v>3286</v>
      </c>
      <c r="G919" t="s">
        <v>3287</v>
      </c>
      <c r="H919" t="s">
        <v>3288</v>
      </c>
      <c r="I919" t="s">
        <v>51</v>
      </c>
      <c r="J919" t="s">
        <v>52</v>
      </c>
      <c r="K919" t="s">
        <v>21</v>
      </c>
      <c r="L919">
        <v>45681</v>
      </c>
      <c r="M919" t="s">
        <v>90</v>
      </c>
    </row>
    <row r="920" spans="1:13" x14ac:dyDescent="0.3">
      <c r="A920" t="s">
        <v>3289</v>
      </c>
      <c r="B920" t="s">
        <v>37</v>
      </c>
      <c r="C920" t="s">
        <v>22</v>
      </c>
      <c r="D920" t="s">
        <v>104</v>
      </c>
      <c r="E920">
        <v>3037</v>
      </c>
      <c r="F920" t="s">
        <v>3290</v>
      </c>
      <c r="G920" t="s">
        <v>3291</v>
      </c>
      <c r="H920" t="s">
        <v>3292</v>
      </c>
      <c r="I920" t="s">
        <v>12</v>
      </c>
      <c r="J920" t="s">
        <v>13</v>
      </c>
      <c r="K920" t="s">
        <v>21</v>
      </c>
      <c r="L920">
        <v>45678</v>
      </c>
      <c r="M920" t="s">
        <v>224</v>
      </c>
    </row>
    <row r="921" spans="1:13" x14ac:dyDescent="0.3">
      <c r="A921" t="s">
        <v>3293</v>
      </c>
      <c r="B921" t="s">
        <v>37</v>
      </c>
      <c r="C921" t="s">
        <v>26</v>
      </c>
      <c r="D921" t="s">
        <v>104</v>
      </c>
      <c r="E921">
        <v>3037</v>
      </c>
      <c r="F921" t="s">
        <v>3294</v>
      </c>
      <c r="G921" t="s">
        <v>3295</v>
      </c>
      <c r="H921" t="s">
        <v>3296</v>
      </c>
      <c r="I921" t="s">
        <v>12</v>
      </c>
      <c r="J921" t="s">
        <v>13</v>
      </c>
      <c r="K921" t="s">
        <v>21</v>
      </c>
      <c r="L921">
        <v>45667</v>
      </c>
      <c r="M921" t="s">
        <v>287</v>
      </c>
    </row>
    <row r="922" spans="1:13" x14ac:dyDescent="0.3">
      <c r="A922" t="s">
        <v>3297</v>
      </c>
      <c r="B922" t="s">
        <v>37</v>
      </c>
      <c r="C922" t="s">
        <v>25</v>
      </c>
      <c r="D922" t="s">
        <v>78</v>
      </c>
      <c r="E922">
        <v>3035</v>
      </c>
      <c r="F922" t="s">
        <v>3298</v>
      </c>
      <c r="G922" t="s">
        <v>3299</v>
      </c>
      <c r="H922" t="s">
        <v>3300</v>
      </c>
      <c r="I922" t="s">
        <v>81</v>
      </c>
      <c r="J922" t="s">
        <v>82</v>
      </c>
      <c r="K922" t="s">
        <v>21</v>
      </c>
      <c r="L922">
        <v>45706</v>
      </c>
      <c r="M922" t="s">
        <v>69</v>
      </c>
    </row>
    <row r="923" spans="1:13" x14ac:dyDescent="0.3">
      <c r="A923" t="s">
        <v>3301</v>
      </c>
      <c r="B923" t="s">
        <v>37</v>
      </c>
      <c r="C923" t="s">
        <v>25</v>
      </c>
      <c r="D923" t="s">
        <v>78</v>
      </c>
      <c r="E923">
        <v>3035</v>
      </c>
      <c r="F923" t="s">
        <v>3302</v>
      </c>
      <c r="G923" t="s">
        <v>3303</v>
      </c>
      <c r="H923" t="s">
        <v>3304</v>
      </c>
      <c r="I923" t="s">
        <v>81</v>
      </c>
      <c r="J923" t="s">
        <v>82</v>
      </c>
      <c r="L923">
        <v>45685</v>
      </c>
      <c r="M923" t="s">
        <v>205</v>
      </c>
    </row>
    <row r="924" spans="1:13" x14ac:dyDescent="0.3">
      <c r="A924" t="s">
        <v>3305</v>
      </c>
      <c r="B924" t="s">
        <v>46</v>
      </c>
      <c r="C924" t="s">
        <v>25</v>
      </c>
      <c r="D924" t="s">
        <v>104</v>
      </c>
      <c r="E924">
        <v>3037</v>
      </c>
      <c r="F924" t="s">
        <v>3306</v>
      </c>
      <c r="G924" t="s">
        <v>3307</v>
      </c>
      <c r="H924" t="s">
        <v>3307</v>
      </c>
      <c r="I924" t="s">
        <v>12</v>
      </c>
      <c r="J924" t="s">
        <v>13</v>
      </c>
      <c r="K924" t="s">
        <v>21</v>
      </c>
      <c r="L924">
        <v>45664</v>
      </c>
      <c r="M924" t="s">
        <v>287</v>
      </c>
    </row>
    <row r="925" spans="1:13" x14ac:dyDescent="0.3">
      <c r="A925" t="s">
        <v>3308</v>
      </c>
      <c r="B925" t="s">
        <v>46</v>
      </c>
      <c r="C925" t="s">
        <v>25</v>
      </c>
      <c r="D925" t="s">
        <v>55</v>
      </c>
      <c r="E925">
        <v>3033</v>
      </c>
      <c r="F925" t="s">
        <v>3309</v>
      </c>
      <c r="G925" t="s">
        <v>3310</v>
      </c>
      <c r="H925" t="s">
        <v>3310</v>
      </c>
      <c r="I925" t="s">
        <v>58</v>
      </c>
      <c r="J925" t="s">
        <v>59</v>
      </c>
      <c r="K925" t="s">
        <v>21</v>
      </c>
      <c r="L925">
        <v>45705</v>
      </c>
      <c r="M925" t="s">
        <v>86</v>
      </c>
    </row>
    <row r="926" spans="1:13" x14ac:dyDescent="0.3">
      <c r="A926" t="s">
        <v>3311</v>
      </c>
      <c r="B926" t="s">
        <v>37</v>
      </c>
      <c r="C926" t="s">
        <v>26</v>
      </c>
      <c r="D926" t="s">
        <v>104</v>
      </c>
      <c r="E926">
        <v>3037</v>
      </c>
      <c r="F926" t="s">
        <v>3312</v>
      </c>
      <c r="G926" t="s">
        <v>3313</v>
      </c>
      <c r="H926" t="s">
        <v>3313</v>
      </c>
      <c r="I926" t="s">
        <v>12</v>
      </c>
      <c r="J926" t="s">
        <v>13</v>
      </c>
      <c r="L926">
        <v>45660</v>
      </c>
      <c r="M926" t="s">
        <v>107</v>
      </c>
    </row>
    <row r="927" spans="1:13" x14ac:dyDescent="0.3">
      <c r="A927" t="s">
        <v>3314</v>
      </c>
      <c r="B927" t="s">
        <v>46</v>
      </c>
      <c r="C927" t="s">
        <v>25</v>
      </c>
      <c r="D927" t="s">
        <v>47</v>
      </c>
      <c r="E927">
        <v>3032</v>
      </c>
      <c r="F927" t="s">
        <v>3315</v>
      </c>
      <c r="G927" t="s">
        <v>3316</v>
      </c>
      <c r="H927" t="s">
        <v>3317</v>
      </c>
      <c r="I927" t="s">
        <v>51</v>
      </c>
      <c r="J927" t="s">
        <v>52</v>
      </c>
      <c r="K927" t="s">
        <v>21</v>
      </c>
      <c r="L927">
        <v>45676</v>
      </c>
      <c r="M927" t="s">
        <v>476</v>
      </c>
    </row>
    <row r="928" spans="1:13" x14ac:dyDescent="0.3">
      <c r="A928" t="s">
        <v>3318</v>
      </c>
      <c r="B928" t="s">
        <v>46</v>
      </c>
      <c r="C928" t="s">
        <v>22</v>
      </c>
      <c r="D928" t="s">
        <v>97</v>
      </c>
      <c r="E928">
        <v>3036</v>
      </c>
      <c r="F928" t="s">
        <v>3319</v>
      </c>
      <c r="G928" t="s">
        <v>3320</v>
      </c>
      <c r="H928" t="s">
        <v>3320</v>
      </c>
      <c r="I928" t="s">
        <v>100</v>
      </c>
      <c r="J928" t="s">
        <v>101</v>
      </c>
      <c r="L928">
        <v>45724</v>
      </c>
      <c r="M928" t="s">
        <v>65</v>
      </c>
    </row>
    <row r="929" spans="1:13" x14ac:dyDescent="0.3">
      <c r="A929" t="s">
        <v>3321</v>
      </c>
      <c r="B929" t="s">
        <v>37</v>
      </c>
      <c r="C929" t="s">
        <v>26</v>
      </c>
      <c r="D929" t="s">
        <v>47</v>
      </c>
      <c r="E929">
        <v>3032</v>
      </c>
      <c r="F929" t="s">
        <v>3322</v>
      </c>
      <c r="G929" t="s">
        <v>3323</v>
      </c>
      <c r="H929" t="s">
        <v>3323</v>
      </c>
      <c r="I929" t="s">
        <v>51</v>
      </c>
      <c r="J929" t="s">
        <v>52</v>
      </c>
      <c r="L929">
        <v>45731</v>
      </c>
      <c r="M929" t="s">
        <v>90</v>
      </c>
    </row>
    <row r="930" spans="1:13" x14ac:dyDescent="0.3">
      <c r="A930" t="s">
        <v>3324</v>
      </c>
      <c r="B930" t="s">
        <v>46</v>
      </c>
      <c r="C930" t="s">
        <v>26</v>
      </c>
      <c r="D930" t="s">
        <v>97</v>
      </c>
      <c r="E930">
        <v>3036</v>
      </c>
      <c r="F930" t="s">
        <v>2548</v>
      </c>
      <c r="G930" t="s">
        <v>3325</v>
      </c>
      <c r="H930" t="s">
        <v>3325</v>
      </c>
      <c r="I930" t="s">
        <v>100</v>
      </c>
      <c r="J930" t="s">
        <v>101</v>
      </c>
      <c r="L930">
        <v>45679</v>
      </c>
      <c r="M930" t="s">
        <v>102</v>
      </c>
    </row>
    <row r="931" spans="1:13" x14ac:dyDescent="0.3">
      <c r="A931" t="s">
        <v>3326</v>
      </c>
      <c r="B931" t="s">
        <v>46</v>
      </c>
      <c r="C931" t="s">
        <v>26</v>
      </c>
      <c r="D931" t="s">
        <v>104</v>
      </c>
      <c r="E931">
        <v>3037</v>
      </c>
      <c r="F931" t="s">
        <v>3327</v>
      </c>
      <c r="G931" t="s">
        <v>3328</v>
      </c>
      <c r="H931" t="s">
        <v>3328</v>
      </c>
      <c r="I931" t="s">
        <v>12</v>
      </c>
      <c r="J931" t="s">
        <v>13</v>
      </c>
      <c r="L931">
        <v>45663</v>
      </c>
      <c r="M931" t="s">
        <v>224</v>
      </c>
    </row>
    <row r="932" spans="1:13" x14ac:dyDescent="0.3">
      <c r="A932" t="s">
        <v>3329</v>
      </c>
      <c r="B932" t="s">
        <v>46</v>
      </c>
      <c r="C932" t="s">
        <v>25</v>
      </c>
      <c r="D932" t="s">
        <v>55</v>
      </c>
      <c r="E932">
        <v>3033</v>
      </c>
      <c r="F932" t="s">
        <v>3330</v>
      </c>
      <c r="G932" t="s">
        <v>3331</v>
      </c>
      <c r="H932" t="s">
        <v>3332</v>
      </c>
      <c r="I932" t="s">
        <v>58</v>
      </c>
      <c r="J932" t="s">
        <v>59</v>
      </c>
      <c r="L932">
        <v>45731</v>
      </c>
      <c r="M932" t="s">
        <v>86</v>
      </c>
    </row>
    <row r="933" spans="1:13" x14ac:dyDescent="0.3">
      <c r="A933" t="s">
        <v>3333</v>
      </c>
      <c r="B933" t="s">
        <v>37</v>
      </c>
      <c r="C933" t="s">
        <v>26</v>
      </c>
      <c r="D933" t="s">
        <v>97</v>
      </c>
      <c r="E933">
        <v>3036</v>
      </c>
      <c r="F933" t="s">
        <v>3334</v>
      </c>
      <c r="G933" t="s">
        <v>3335</v>
      </c>
      <c r="H933" t="s">
        <v>3336</v>
      </c>
      <c r="I933" t="s">
        <v>100</v>
      </c>
      <c r="J933" t="s">
        <v>101</v>
      </c>
      <c r="L933">
        <v>45733</v>
      </c>
      <c r="M933" t="s">
        <v>102</v>
      </c>
    </row>
    <row r="934" spans="1:13" x14ac:dyDescent="0.3">
      <c r="A934" t="s">
        <v>3337</v>
      </c>
      <c r="B934" t="s">
        <v>46</v>
      </c>
      <c r="C934" t="s">
        <v>26</v>
      </c>
      <c r="D934" t="s">
        <v>55</v>
      </c>
      <c r="E934">
        <v>3033</v>
      </c>
      <c r="F934" t="s">
        <v>3338</v>
      </c>
      <c r="G934" t="s">
        <v>3339</v>
      </c>
      <c r="H934" t="s">
        <v>3340</v>
      </c>
      <c r="I934" t="s">
        <v>58</v>
      </c>
      <c r="J934" t="s">
        <v>59</v>
      </c>
      <c r="L934">
        <v>45743</v>
      </c>
      <c r="M934" t="s">
        <v>95</v>
      </c>
    </row>
    <row r="935" spans="1:13" x14ac:dyDescent="0.3">
      <c r="A935" t="s">
        <v>3341</v>
      </c>
      <c r="B935" t="s">
        <v>37</v>
      </c>
      <c r="C935" t="s">
        <v>22</v>
      </c>
      <c r="D935" t="s">
        <v>207</v>
      </c>
      <c r="E935">
        <v>3041</v>
      </c>
      <c r="F935" t="s">
        <v>3342</v>
      </c>
      <c r="G935" t="s">
        <v>3343</v>
      </c>
      <c r="H935" t="s">
        <v>3344</v>
      </c>
      <c r="I935" t="s">
        <v>211</v>
      </c>
      <c r="J935" t="s">
        <v>14</v>
      </c>
      <c r="L935">
        <v>45692</v>
      </c>
      <c r="M935" t="s">
        <v>394</v>
      </c>
    </row>
    <row r="936" spans="1:13" x14ac:dyDescent="0.3">
      <c r="A936" t="s">
        <v>3345</v>
      </c>
      <c r="B936" t="s">
        <v>37</v>
      </c>
      <c r="C936" t="s">
        <v>26</v>
      </c>
      <c r="D936" t="s">
        <v>191</v>
      </c>
      <c r="E936">
        <v>3040</v>
      </c>
      <c r="F936" t="s">
        <v>3346</v>
      </c>
      <c r="G936" t="s">
        <v>3347</v>
      </c>
      <c r="H936" t="s">
        <v>3347</v>
      </c>
      <c r="I936" t="s">
        <v>194</v>
      </c>
      <c r="J936" t="s">
        <v>13</v>
      </c>
      <c r="K936" t="s">
        <v>21</v>
      </c>
      <c r="L936">
        <v>45663</v>
      </c>
      <c r="M936" t="s">
        <v>160</v>
      </c>
    </row>
    <row r="937" spans="1:13" x14ac:dyDescent="0.3">
      <c r="A937" t="s">
        <v>3348</v>
      </c>
      <c r="B937" t="s">
        <v>46</v>
      </c>
      <c r="C937" t="s">
        <v>22</v>
      </c>
      <c r="D937" t="s">
        <v>47</v>
      </c>
      <c r="E937">
        <v>3032</v>
      </c>
      <c r="F937" t="s">
        <v>3349</v>
      </c>
      <c r="G937" t="s">
        <v>3350</v>
      </c>
      <c r="H937" t="s">
        <v>3351</v>
      </c>
      <c r="I937" t="s">
        <v>51</v>
      </c>
      <c r="J937" t="s">
        <v>52</v>
      </c>
      <c r="L937">
        <v>45675</v>
      </c>
      <c r="M937" t="s">
        <v>177</v>
      </c>
    </row>
    <row r="938" spans="1:13" x14ac:dyDescent="0.3">
      <c r="A938" t="s">
        <v>3352</v>
      </c>
      <c r="B938" t="s">
        <v>46</v>
      </c>
      <c r="C938" t="s">
        <v>22</v>
      </c>
      <c r="D938" t="s">
        <v>444</v>
      </c>
      <c r="E938">
        <v>3042</v>
      </c>
      <c r="F938" t="s">
        <v>308</v>
      </c>
      <c r="G938" t="s">
        <v>3353</v>
      </c>
      <c r="H938" t="s">
        <v>3354</v>
      </c>
      <c r="I938" t="s">
        <v>448</v>
      </c>
      <c r="J938" t="s">
        <v>449</v>
      </c>
      <c r="L938">
        <v>45669</v>
      </c>
      <c r="M938" t="s">
        <v>107</v>
      </c>
    </row>
    <row r="939" spans="1:13" x14ac:dyDescent="0.3">
      <c r="A939" t="s">
        <v>3355</v>
      </c>
      <c r="B939" t="s">
        <v>46</v>
      </c>
      <c r="C939" t="s">
        <v>22</v>
      </c>
      <c r="D939" t="s">
        <v>104</v>
      </c>
      <c r="E939">
        <v>3037</v>
      </c>
      <c r="F939" t="s">
        <v>3356</v>
      </c>
      <c r="G939" t="s">
        <v>3357</v>
      </c>
      <c r="H939" t="s">
        <v>3358</v>
      </c>
      <c r="I939" t="s">
        <v>12</v>
      </c>
      <c r="J939" t="s">
        <v>13</v>
      </c>
      <c r="K939" t="s">
        <v>21</v>
      </c>
      <c r="L939">
        <v>45667</v>
      </c>
      <c r="M939" t="s">
        <v>107</v>
      </c>
    </row>
    <row r="940" spans="1:13" x14ac:dyDescent="0.3">
      <c r="A940" t="s">
        <v>3359</v>
      </c>
      <c r="B940" t="s">
        <v>46</v>
      </c>
      <c r="C940" t="s">
        <v>26</v>
      </c>
      <c r="D940" t="s">
        <v>444</v>
      </c>
      <c r="E940">
        <v>3042</v>
      </c>
      <c r="F940" t="s">
        <v>3360</v>
      </c>
      <c r="G940" t="s">
        <v>3361</v>
      </c>
      <c r="H940" t="s">
        <v>3361</v>
      </c>
      <c r="I940" t="s">
        <v>448</v>
      </c>
      <c r="J940" t="s">
        <v>449</v>
      </c>
      <c r="K940" t="s">
        <v>21</v>
      </c>
      <c r="L940">
        <v>45729</v>
      </c>
      <c r="M940" t="s">
        <v>450</v>
      </c>
    </row>
    <row r="941" spans="1:13" x14ac:dyDescent="0.3">
      <c r="A941" t="s">
        <v>3362</v>
      </c>
      <c r="B941" t="s">
        <v>46</v>
      </c>
      <c r="C941" t="s">
        <v>24</v>
      </c>
      <c r="D941" t="s">
        <v>38</v>
      </c>
      <c r="E941">
        <v>3031</v>
      </c>
      <c r="F941" t="s">
        <v>3363</v>
      </c>
      <c r="G941" t="s">
        <v>3364</v>
      </c>
      <c r="H941" t="s">
        <v>3364</v>
      </c>
      <c r="I941" t="s">
        <v>42</v>
      </c>
      <c r="J941" t="s">
        <v>43</v>
      </c>
      <c r="L941">
        <v>45674</v>
      </c>
      <c r="M941" t="s">
        <v>76</v>
      </c>
    </row>
    <row r="942" spans="1:13" x14ac:dyDescent="0.3">
      <c r="A942" t="s">
        <v>3365</v>
      </c>
      <c r="B942" t="s">
        <v>46</v>
      </c>
      <c r="C942" t="s">
        <v>24</v>
      </c>
      <c r="D942" t="s">
        <v>78</v>
      </c>
      <c r="E942">
        <v>3035</v>
      </c>
      <c r="F942" t="s">
        <v>3366</v>
      </c>
      <c r="G942" t="s">
        <v>3367</v>
      </c>
      <c r="H942" t="s">
        <v>3368</v>
      </c>
      <c r="I942" t="s">
        <v>81</v>
      </c>
      <c r="J942" t="s">
        <v>82</v>
      </c>
      <c r="L942">
        <v>45674</v>
      </c>
      <c r="M942" t="s">
        <v>95</v>
      </c>
    </row>
    <row r="943" spans="1:13" x14ac:dyDescent="0.3">
      <c r="A943" t="s">
        <v>3369</v>
      </c>
      <c r="B943" t="s">
        <v>37</v>
      </c>
      <c r="C943" t="s">
        <v>22</v>
      </c>
      <c r="D943" t="s">
        <v>97</v>
      </c>
      <c r="E943">
        <v>3036</v>
      </c>
      <c r="F943" t="s">
        <v>1746</v>
      </c>
      <c r="G943" t="s">
        <v>3370</v>
      </c>
      <c r="H943" t="s">
        <v>3370</v>
      </c>
      <c r="I943" t="s">
        <v>100</v>
      </c>
      <c r="J943" t="s">
        <v>101</v>
      </c>
      <c r="K943" t="s">
        <v>21</v>
      </c>
      <c r="L943">
        <v>45662</v>
      </c>
      <c r="M943" t="s">
        <v>65</v>
      </c>
    </row>
    <row r="944" spans="1:13" x14ac:dyDescent="0.3">
      <c r="A944" t="s">
        <v>3371</v>
      </c>
      <c r="B944" t="s">
        <v>37</v>
      </c>
      <c r="C944" t="s">
        <v>25</v>
      </c>
      <c r="D944" t="s">
        <v>97</v>
      </c>
      <c r="E944">
        <v>3036</v>
      </c>
      <c r="F944" t="s">
        <v>3372</v>
      </c>
      <c r="G944" t="s">
        <v>3373</v>
      </c>
      <c r="H944" t="s">
        <v>3374</v>
      </c>
      <c r="I944" t="s">
        <v>100</v>
      </c>
      <c r="J944" t="s">
        <v>101</v>
      </c>
      <c r="K944" t="s">
        <v>21</v>
      </c>
      <c r="L944">
        <v>45701</v>
      </c>
      <c r="M944" t="s">
        <v>102</v>
      </c>
    </row>
    <row r="945" spans="1:13" x14ac:dyDescent="0.3">
      <c r="A945" t="s">
        <v>3375</v>
      </c>
      <c r="B945" t="s">
        <v>37</v>
      </c>
      <c r="C945" t="s">
        <v>26</v>
      </c>
      <c r="D945" t="s">
        <v>207</v>
      </c>
      <c r="E945">
        <v>3041</v>
      </c>
      <c r="F945" t="s">
        <v>3376</v>
      </c>
      <c r="G945" t="s">
        <v>3377</v>
      </c>
      <c r="H945" t="s">
        <v>3378</v>
      </c>
      <c r="I945" t="s">
        <v>211</v>
      </c>
      <c r="J945" t="s">
        <v>14</v>
      </c>
      <c r="L945">
        <v>45726</v>
      </c>
      <c r="M945" t="s">
        <v>212</v>
      </c>
    </row>
    <row r="946" spans="1:13" x14ac:dyDescent="0.3">
      <c r="A946" t="s">
        <v>3379</v>
      </c>
      <c r="B946" t="s">
        <v>37</v>
      </c>
      <c r="C946" t="s">
        <v>25</v>
      </c>
      <c r="D946" t="s">
        <v>104</v>
      </c>
      <c r="E946">
        <v>3037</v>
      </c>
      <c r="F946" t="s">
        <v>3380</v>
      </c>
      <c r="G946" t="s">
        <v>3381</v>
      </c>
      <c r="H946" t="s">
        <v>3382</v>
      </c>
      <c r="I946" t="s">
        <v>12</v>
      </c>
      <c r="J946" t="s">
        <v>13</v>
      </c>
      <c r="L946">
        <v>45681</v>
      </c>
      <c r="M946" t="s">
        <v>107</v>
      </c>
    </row>
    <row r="947" spans="1:13" x14ac:dyDescent="0.3">
      <c r="A947" t="s">
        <v>3383</v>
      </c>
      <c r="B947" t="s">
        <v>46</v>
      </c>
      <c r="C947" t="s">
        <v>24</v>
      </c>
      <c r="D947" t="s">
        <v>207</v>
      </c>
      <c r="E947">
        <v>3041</v>
      </c>
      <c r="F947" t="s">
        <v>3384</v>
      </c>
      <c r="G947" t="s">
        <v>3385</v>
      </c>
      <c r="H947" t="s">
        <v>3386</v>
      </c>
      <c r="I947" t="s">
        <v>211</v>
      </c>
      <c r="J947" t="s">
        <v>14</v>
      </c>
      <c r="K947" t="s">
        <v>21</v>
      </c>
      <c r="L947">
        <v>45743</v>
      </c>
      <c r="M947" t="s">
        <v>577</v>
      </c>
    </row>
    <row r="948" spans="1:13" x14ac:dyDescent="0.3">
      <c r="A948" t="s">
        <v>3387</v>
      </c>
      <c r="B948" t="s">
        <v>46</v>
      </c>
      <c r="C948" t="s">
        <v>24</v>
      </c>
      <c r="D948" t="s">
        <v>191</v>
      </c>
      <c r="E948">
        <v>3040</v>
      </c>
      <c r="F948" t="s">
        <v>3388</v>
      </c>
      <c r="G948" t="s">
        <v>3389</v>
      </c>
      <c r="H948" t="s">
        <v>3390</v>
      </c>
      <c r="I948" t="s">
        <v>194</v>
      </c>
      <c r="J948" t="s">
        <v>13</v>
      </c>
      <c r="L948">
        <v>45714</v>
      </c>
      <c r="M948" t="s">
        <v>160</v>
      </c>
    </row>
    <row r="949" spans="1:13" x14ac:dyDescent="0.3">
      <c r="A949" t="s">
        <v>3391</v>
      </c>
      <c r="B949" t="s">
        <v>46</v>
      </c>
      <c r="C949" t="s">
        <v>22</v>
      </c>
      <c r="D949" t="s">
        <v>78</v>
      </c>
      <c r="E949">
        <v>3035</v>
      </c>
      <c r="F949" t="s">
        <v>3392</v>
      </c>
      <c r="G949" t="s">
        <v>3393</v>
      </c>
      <c r="H949" t="s">
        <v>3393</v>
      </c>
      <c r="I949" t="s">
        <v>81</v>
      </c>
      <c r="J949" t="s">
        <v>82</v>
      </c>
      <c r="L949">
        <v>45658</v>
      </c>
      <c r="M949" t="s">
        <v>287</v>
      </c>
    </row>
    <row r="950" spans="1:13" x14ac:dyDescent="0.3">
      <c r="A950" t="s">
        <v>3394</v>
      </c>
      <c r="B950" t="s">
        <v>46</v>
      </c>
      <c r="C950" t="s">
        <v>26</v>
      </c>
      <c r="D950" t="s">
        <v>55</v>
      </c>
      <c r="E950">
        <v>3033</v>
      </c>
      <c r="F950" t="s">
        <v>3395</v>
      </c>
      <c r="G950" t="s">
        <v>3396</v>
      </c>
      <c r="H950" t="s">
        <v>3396</v>
      </c>
      <c r="I950" t="s">
        <v>58</v>
      </c>
      <c r="J950" t="s">
        <v>59</v>
      </c>
      <c r="K950" t="s">
        <v>21</v>
      </c>
      <c r="L950">
        <v>45664</v>
      </c>
      <c r="M950" t="s">
        <v>60</v>
      </c>
    </row>
    <row r="951" spans="1:13" x14ac:dyDescent="0.3">
      <c r="A951" t="s">
        <v>3397</v>
      </c>
      <c r="B951" t="s">
        <v>37</v>
      </c>
      <c r="C951" t="s">
        <v>26</v>
      </c>
      <c r="D951" t="s">
        <v>78</v>
      </c>
      <c r="E951">
        <v>3035</v>
      </c>
      <c r="F951" t="s">
        <v>1777</v>
      </c>
      <c r="G951" t="s">
        <v>3398</v>
      </c>
      <c r="H951" t="s">
        <v>3398</v>
      </c>
      <c r="I951" t="s">
        <v>81</v>
      </c>
      <c r="J951" t="s">
        <v>82</v>
      </c>
      <c r="L951">
        <v>45658</v>
      </c>
      <c r="M951" t="s">
        <v>95</v>
      </c>
    </row>
    <row r="952" spans="1:13" x14ac:dyDescent="0.3">
      <c r="A952" t="s">
        <v>3399</v>
      </c>
      <c r="B952" t="s">
        <v>46</v>
      </c>
      <c r="C952" t="s">
        <v>25</v>
      </c>
      <c r="D952" t="s">
        <v>71</v>
      </c>
      <c r="E952">
        <v>3034</v>
      </c>
      <c r="F952" t="s">
        <v>3400</v>
      </c>
      <c r="G952" t="s">
        <v>3401</v>
      </c>
      <c r="H952" t="s">
        <v>3401</v>
      </c>
      <c r="I952" t="s">
        <v>74</v>
      </c>
      <c r="J952" t="s">
        <v>75</v>
      </c>
      <c r="L952">
        <v>45671</v>
      </c>
      <c r="M952" t="s">
        <v>212</v>
      </c>
    </row>
    <row r="953" spans="1:13" x14ac:dyDescent="0.3">
      <c r="A953" t="s">
        <v>3402</v>
      </c>
      <c r="B953" t="s">
        <v>46</v>
      </c>
      <c r="C953" t="s">
        <v>24</v>
      </c>
      <c r="D953" t="s">
        <v>55</v>
      </c>
      <c r="E953">
        <v>3033</v>
      </c>
      <c r="F953" t="s">
        <v>3403</v>
      </c>
      <c r="G953" t="s">
        <v>3404</v>
      </c>
      <c r="H953" t="s">
        <v>3405</v>
      </c>
      <c r="I953" t="s">
        <v>58</v>
      </c>
      <c r="J953" t="s">
        <v>59</v>
      </c>
      <c r="L953">
        <v>45745</v>
      </c>
      <c r="M953" t="s">
        <v>86</v>
      </c>
    </row>
    <row r="954" spans="1:13" x14ac:dyDescent="0.3">
      <c r="A954" t="s">
        <v>3406</v>
      </c>
      <c r="B954" t="s">
        <v>46</v>
      </c>
      <c r="C954" t="s">
        <v>24</v>
      </c>
      <c r="D954" t="s">
        <v>38</v>
      </c>
      <c r="E954">
        <v>3031</v>
      </c>
      <c r="F954" t="s">
        <v>3407</v>
      </c>
      <c r="G954" t="s">
        <v>3408</v>
      </c>
      <c r="H954" t="s">
        <v>3408</v>
      </c>
      <c r="I954" t="s">
        <v>42</v>
      </c>
      <c r="J954" t="s">
        <v>43</v>
      </c>
      <c r="K954" t="s">
        <v>21</v>
      </c>
      <c r="L954">
        <v>45682</v>
      </c>
      <c r="M954" t="s">
        <v>44</v>
      </c>
    </row>
    <row r="955" spans="1:13" x14ac:dyDescent="0.3">
      <c r="A955" t="s">
        <v>3409</v>
      </c>
      <c r="B955" t="s">
        <v>46</v>
      </c>
      <c r="C955" t="s">
        <v>26</v>
      </c>
      <c r="D955" t="s">
        <v>71</v>
      </c>
      <c r="E955">
        <v>3034</v>
      </c>
      <c r="F955" t="s">
        <v>3410</v>
      </c>
      <c r="G955" t="s">
        <v>3411</v>
      </c>
      <c r="H955" t="s">
        <v>3411</v>
      </c>
      <c r="I955" t="s">
        <v>74</v>
      </c>
      <c r="J955" t="s">
        <v>75</v>
      </c>
      <c r="L955">
        <v>45694</v>
      </c>
      <c r="M955" t="s">
        <v>76</v>
      </c>
    </row>
    <row r="956" spans="1:13" x14ac:dyDescent="0.3">
      <c r="A956" t="s">
        <v>3412</v>
      </c>
      <c r="B956" t="s">
        <v>46</v>
      </c>
      <c r="C956" t="s">
        <v>22</v>
      </c>
      <c r="D956" t="s">
        <v>71</v>
      </c>
      <c r="E956">
        <v>3034</v>
      </c>
      <c r="F956" t="s">
        <v>3413</v>
      </c>
      <c r="G956" t="s">
        <v>3414</v>
      </c>
      <c r="H956" t="s">
        <v>3415</v>
      </c>
      <c r="I956" t="s">
        <v>74</v>
      </c>
      <c r="J956" t="s">
        <v>75</v>
      </c>
      <c r="L956">
        <v>45703</v>
      </c>
      <c r="M956" t="s">
        <v>212</v>
      </c>
    </row>
    <row r="957" spans="1:13" x14ac:dyDescent="0.3">
      <c r="A957" t="s">
        <v>3416</v>
      </c>
      <c r="B957" t="s">
        <v>46</v>
      </c>
      <c r="C957" t="s">
        <v>26</v>
      </c>
      <c r="D957" t="s">
        <v>136</v>
      </c>
      <c r="E957">
        <v>3039</v>
      </c>
      <c r="F957" t="s">
        <v>3417</v>
      </c>
      <c r="G957" t="s">
        <v>3418</v>
      </c>
      <c r="H957" t="s">
        <v>3419</v>
      </c>
      <c r="I957" t="s">
        <v>15</v>
      </c>
      <c r="J957" t="s">
        <v>14</v>
      </c>
      <c r="K957" t="s">
        <v>21</v>
      </c>
      <c r="L957">
        <v>45734</v>
      </c>
      <c r="M957" t="s">
        <v>95</v>
      </c>
    </row>
    <row r="958" spans="1:13" x14ac:dyDescent="0.3">
      <c r="A958" t="s">
        <v>3420</v>
      </c>
      <c r="B958" t="s">
        <v>37</v>
      </c>
      <c r="C958" t="s">
        <v>22</v>
      </c>
      <c r="D958" t="s">
        <v>136</v>
      </c>
      <c r="E958">
        <v>3039</v>
      </c>
      <c r="F958" t="s">
        <v>3421</v>
      </c>
      <c r="G958" t="s">
        <v>3422</v>
      </c>
      <c r="H958" t="s">
        <v>3423</v>
      </c>
      <c r="I958" t="s">
        <v>15</v>
      </c>
      <c r="J958" t="s">
        <v>14</v>
      </c>
      <c r="L958">
        <v>45702</v>
      </c>
      <c r="M958" t="s">
        <v>577</v>
      </c>
    </row>
    <row r="959" spans="1:13" x14ac:dyDescent="0.3">
      <c r="A959" t="s">
        <v>3424</v>
      </c>
      <c r="B959" t="s">
        <v>46</v>
      </c>
      <c r="C959" t="s">
        <v>25</v>
      </c>
      <c r="D959" t="s">
        <v>191</v>
      </c>
      <c r="E959">
        <v>3040</v>
      </c>
      <c r="F959" t="s">
        <v>3425</v>
      </c>
      <c r="G959" t="s">
        <v>3426</v>
      </c>
      <c r="H959" t="s">
        <v>3427</v>
      </c>
      <c r="I959" t="s">
        <v>194</v>
      </c>
      <c r="J959" t="s">
        <v>13</v>
      </c>
      <c r="L959">
        <v>45737</v>
      </c>
      <c r="M959" t="s">
        <v>224</v>
      </c>
    </row>
    <row r="960" spans="1:13" x14ac:dyDescent="0.3">
      <c r="A960" t="s">
        <v>3428</v>
      </c>
      <c r="B960" t="s">
        <v>37</v>
      </c>
      <c r="C960" t="s">
        <v>24</v>
      </c>
      <c r="D960" t="s">
        <v>55</v>
      </c>
      <c r="E960">
        <v>3033</v>
      </c>
      <c r="F960" t="s">
        <v>3429</v>
      </c>
      <c r="G960" t="s">
        <v>3430</v>
      </c>
      <c r="H960" t="s">
        <v>3430</v>
      </c>
      <c r="I960" t="s">
        <v>58</v>
      </c>
      <c r="J960" t="s">
        <v>59</v>
      </c>
      <c r="L960">
        <v>45708</v>
      </c>
      <c r="M960" t="s">
        <v>90</v>
      </c>
    </row>
    <row r="961" spans="1:13" x14ac:dyDescent="0.3">
      <c r="A961" t="s">
        <v>3431</v>
      </c>
      <c r="B961" t="s">
        <v>46</v>
      </c>
      <c r="C961" t="s">
        <v>25</v>
      </c>
      <c r="D961" t="s">
        <v>38</v>
      </c>
      <c r="E961">
        <v>3031</v>
      </c>
      <c r="F961" t="s">
        <v>3432</v>
      </c>
      <c r="G961" t="s">
        <v>3433</v>
      </c>
      <c r="H961" t="s">
        <v>3433</v>
      </c>
      <c r="I961" t="s">
        <v>42</v>
      </c>
      <c r="J961" t="s">
        <v>43</v>
      </c>
      <c r="K961" t="s">
        <v>21</v>
      </c>
      <c r="L961">
        <v>45669</v>
      </c>
      <c r="M961" t="s">
        <v>76</v>
      </c>
    </row>
    <row r="962" spans="1:13" x14ac:dyDescent="0.3">
      <c r="A962" t="s">
        <v>3434</v>
      </c>
      <c r="B962" t="s">
        <v>37</v>
      </c>
      <c r="C962" t="s">
        <v>24</v>
      </c>
      <c r="D962" t="s">
        <v>47</v>
      </c>
      <c r="E962">
        <v>3032</v>
      </c>
      <c r="F962" t="s">
        <v>3435</v>
      </c>
      <c r="G962" t="s">
        <v>3436</v>
      </c>
      <c r="H962" t="s">
        <v>3437</v>
      </c>
      <c r="I962" t="s">
        <v>51</v>
      </c>
      <c r="J962" t="s">
        <v>52</v>
      </c>
      <c r="L962">
        <v>45695</v>
      </c>
      <c r="M962" t="s">
        <v>177</v>
      </c>
    </row>
    <row r="963" spans="1:13" x14ac:dyDescent="0.3">
      <c r="A963" t="s">
        <v>3438</v>
      </c>
      <c r="B963" t="s">
        <v>37</v>
      </c>
      <c r="C963" t="s">
        <v>26</v>
      </c>
      <c r="D963" t="s">
        <v>136</v>
      </c>
      <c r="E963">
        <v>3039</v>
      </c>
      <c r="F963" t="s">
        <v>3439</v>
      </c>
      <c r="G963" t="s">
        <v>3440</v>
      </c>
      <c r="H963" t="s">
        <v>3440</v>
      </c>
      <c r="I963" t="s">
        <v>15</v>
      </c>
      <c r="J963" t="s">
        <v>14</v>
      </c>
      <c r="K963" t="s">
        <v>21</v>
      </c>
      <c r="L963">
        <v>45741</v>
      </c>
      <c r="M963" t="s">
        <v>987</v>
      </c>
    </row>
    <row r="964" spans="1:13" x14ac:dyDescent="0.3">
      <c r="A964" t="s">
        <v>3441</v>
      </c>
      <c r="B964" t="s">
        <v>46</v>
      </c>
      <c r="C964" t="s">
        <v>25</v>
      </c>
      <c r="D964" t="s">
        <v>444</v>
      </c>
      <c r="E964">
        <v>3042</v>
      </c>
      <c r="F964" t="s">
        <v>3442</v>
      </c>
      <c r="G964" t="s">
        <v>3443</v>
      </c>
      <c r="H964" t="s">
        <v>3443</v>
      </c>
      <c r="I964" t="s">
        <v>448</v>
      </c>
      <c r="J964" t="s">
        <v>449</v>
      </c>
      <c r="K964" t="s">
        <v>21</v>
      </c>
      <c r="L964">
        <v>45704</v>
      </c>
      <c r="M964" t="s">
        <v>363</v>
      </c>
    </row>
    <row r="965" spans="1:13" x14ac:dyDescent="0.3">
      <c r="A965" t="s">
        <v>3444</v>
      </c>
      <c r="B965" t="s">
        <v>46</v>
      </c>
      <c r="C965" t="s">
        <v>25</v>
      </c>
      <c r="D965" t="s">
        <v>71</v>
      </c>
      <c r="E965">
        <v>3034</v>
      </c>
      <c r="F965" t="s">
        <v>3445</v>
      </c>
      <c r="G965" t="s">
        <v>3446</v>
      </c>
      <c r="H965" t="s">
        <v>3446</v>
      </c>
      <c r="I965" t="s">
        <v>74</v>
      </c>
      <c r="J965" t="s">
        <v>75</v>
      </c>
      <c r="K965" t="s">
        <v>21</v>
      </c>
      <c r="L965">
        <v>45703</v>
      </c>
      <c r="M965" t="s">
        <v>76</v>
      </c>
    </row>
    <row r="966" spans="1:13" x14ac:dyDescent="0.3">
      <c r="A966" t="s">
        <v>3447</v>
      </c>
      <c r="B966" t="s">
        <v>46</v>
      </c>
      <c r="C966" t="s">
        <v>26</v>
      </c>
      <c r="D966" t="s">
        <v>71</v>
      </c>
      <c r="E966">
        <v>3034</v>
      </c>
      <c r="F966" t="s">
        <v>3448</v>
      </c>
      <c r="G966" t="s">
        <v>3449</v>
      </c>
      <c r="H966" t="s">
        <v>3450</v>
      </c>
      <c r="I966" t="s">
        <v>74</v>
      </c>
      <c r="J966" t="s">
        <v>75</v>
      </c>
      <c r="L966">
        <v>45661</v>
      </c>
      <c r="M966" t="s">
        <v>76</v>
      </c>
    </row>
    <row r="967" spans="1:13" x14ac:dyDescent="0.3">
      <c r="A967" t="s">
        <v>3451</v>
      </c>
      <c r="B967" t="s">
        <v>46</v>
      </c>
      <c r="C967" t="s">
        <v>26</v>
      </c>
      <c r="D967" t="s">
        <v>104</v>
      </c>
      <c r="E967">
        <v>3037</v>
      </c>
      <c r="F967" t="s">
        <v>3452</v>
      </c>
      <c r="G967" t="s">
        <v>3453</v>
      </c>
      <c r="H967" t="s">
        <v>3453</v>
      </c>
      <c r="I967" t="s">
        <v>12</v>
      </c>
      <c r="J967" t="s">
        <v>13</v>
      </c>
      <c r="L967">
        <v>45692</v>
      </c>
      <c r="M967" t="s">
        <v>76</v>
      </c>
    </row>
    <row r="968" spans="1:13" x14ac:dyDescent="0.3">
      <c r="A968" t="s">
        <v>3454</v>
      </c>
      <c r="B968" t="s">
        <v>37</v>
      </c>
      <c r="C968" t="s">
        <v>24</v>
      </c>
      <c r="D968" t="s">
        <v>444</v>
      </c>
      <c r="E968">
        <v>3042</v>
      </c>
      <c r="F968" t="s">
        <v>3455</v>
      </c>
      <c r="G968" t="s">
        <v>3456</v>
      </c>
      <c r="H968" t="s">
        <v>3457</v>
      </c>
      <c r="I968" t="s">
        <v>448</v>
      </c>
      <c r="J968" t="s">
        <v>449</v>
      </c>
      <c r="L968">
        <v>45702</v>
      </c>
      <c r="M968" t="s">
        <v>722</v>
      </c>
    </row>
    <row r="969" spans="1:13" x14ac:dyDescent="0.3">
      <c r="A969" t="s">
        <v>3458</v>
      </c>
      <c r="B969" t="s">
        <v>46</v>
      </c>
      <c r="C969" t="s">
        <v>24</v>
      </c>
      <c r="D969" t="s">
        <v>47</v>
      </c>
      <c r="E969">
        <v>3032</v>
      </c>
      <c r="F969" t="s">
        <v>3459</v>
      </c>
      <c r="G969" t="s">
        <v>3460</v>
      </c>
      <c r="H969" t="s">
        <v>3461</v>
      </c>
      <c r="I969" t="s">
        <v>51</v>
      </c>
      <c r="J969" t="s">
        <v>52</v>
      </c>
      <c r="K969" t="s">
        <v>21</v>
      </c>
      <c r="L969">
        <v>45670</v>
      </c>
      <c r="M969" t="s">
        <v>881</v>
      </c>
    </row>
    <row r="970" spans="1:13" x14ac:dyDescent="0.3">
      <c r="A970" t="s">
        <v>3462</v>
      </c>
      <c r="B970" t="s">
        <v>46</v>
      </c>
      <c r="C970" t="s">
        <v>24</v>
      </c>
      <c r="D970" t="s">
        <v>38</v>
      </c>
      <c r="E970">
        <v>3031</v>
      </c>
      <c r="F970" t="s">
        <v>3463</v>
      </c>
      <c r="G970" t="s">
        <v>3464</v>
      </c>
      <c r="H970" t="s">
        <v>3464</v>
      </c>
      <c r="I970" t="s">
        <v>42</v>
      </c>
      <c r="J970" t="s">
        <v>43</v>
      </c>
      <c r="K970" t="s">
        <v>21</v>
      </c>
      <c r="L970">
        <v>45706</v>
      </c>
      <c r="M970" t="s">
        <v>76</v>
      </c>
    </row>
    <row r="971" spans="1:13" x14ac:dyDescent="0.3">
      <c r="A971" t="s">
        <v>3465</v>
      </c>
      <c r="B971" t="s">
        <v>46</v>
      </c>
      <c r="C971" t="s">
        <v>24</v>
      </c>
      <c r="D971" t="s">
        <v>38</v>
      </c>
      <c r="E971">
        <v>3031</v>
      </c>
      <c r="F971" t="s">
        <v>3466</v>
      </c>
      <c r="G971" t="s">
        <v>3467</v>
      </c>
      <c r="H971" t="s">
        <v>3468</v>
      </c>
      <c r="I971" t="s">
        <v>42</v>
      </c>
      <c r="J971" t="s">
        <v>43</v>
      </c>
      <c r="L971">
        <v>45717</v>
      </c>
      <c r="M971" t="s">
        <v>76</v>
      </c>
    </row>
    <row r="972" spans="1:13" x14ac:dyDescent="0.3">
      <c r="A972" t="s">
        <v>3469</v>
      </c>
      <c r="B972" t="s">
        <v>46</v>
      </c>
      <c r="C972" t="s">
        <v>22</v>
      </c>
      <c r="D972" t="s">
        <v>55</v>
      </c>
      <c r="E972">
        <v>3033</v>
      </c>
      <c r="F972" t="s">
        <v>3470</v>
      </c>
      <c r="G972" t="s">
        <v>3471</v>
      </c>
      <c r="H972" t="s">
        <v>3471</v>
      </c>
      <c r="I972" t="s">
        <v>58</v>
      </c>
      <c r="J972" t="s">
        <v>59</v>
      </c>
      <c r="L972">
        <v>45725</v>
      </c>
      <c r="M972" t="s">
        <v>69</v>
      </c>
    </row>
    <row r="973" spans="1:13" x14ac:dyDescent="0.3">
      <c r="A973" t="s">
        <v>3472</v>
      </c>
      <c r="B973" t="s">
        <v>37</v>
      </c>
      <c r="C973" t="s">
        <v>26</v>
      </c>
      <c r="D973" t="s">
        <v>97</v>
      </c>
      <c r="E973">
        <v>3036</v>
      </c>
      <c r="F973" t="s">
        <v>3473</v>
      </c>
      <c r="G973" t="s">
        <v>3474</v>
      </c>
      <c r="H973" t="s">
        <v>3475</v>
      </c>
      <c r="I973" t="s">
        <v>100</v>
      </c>
      <c r="J973" t="s">
        <v>101</v>
      </c>
      <c r="L973">
        <v>45679</v>
      </c>
      <c r="M973" t="s">
        <v>102</v>
      </c>
    </row>
    <row r="974" spans="1:13" x14ac:dyDescent="0.3">
      <c r="A974" t="s">
        <v>3476</v>
      </c>
      <c r="B974" t="s">
        <v>46</v>
      </c>
      <c r="C974" t="s">
        <v>26</v>
      </c>
      <c r="D974" t="s">
        <v>444</v>
      </c>
      <c r="E974">
        <v>3042</v>
      </c>
      <c r="F974" t="s">
        <v>3477</v>
      </c>
      <c r="G974" t="s">
        <v>3478</v>
      </c>
      <c r="H974" t="s">
        <v>3479</v>
      </c>
      <c r="I974" t="s">
        <v>448</v>
      </c>
      <c r="J974" t="s">
        <v>449</v>
      </c>
      <c r="L974">
        <v>45736</v>
      </c>
      <c r="M974" t="s">
        <v>450</v>
      </c>
    </row>
    <row r="975" spans="1:13" x14ac:dyDescent="0.3">
      <c r="A975" t="s">
        <v>3480</v>
      </c>
      <c r="B975" t="s">
        <v>37</v>
      </c>
      <c r="C975" t="s">
        <v>24</v>
      </c>
      <c r="D975" t="s">
        <v>71</v>
      </c>
      <c r="E975">
        <v>3034</v>
      </c>
      <c r="F975" t="s">
        <v>3481</v>
      </c>
      <c r="G975" t="s">
        <v>3482</v>
      </c>
      <c r="H975" t="s">
        <v>3482</v>
      </c>
      <c r="I975" t="s">
        <v>74</v>
      </c>
      <c r="J975" t="s">
        <v>75</v>
      </c>
      <c r="L975">
        <v>45713</v>
      </c>
      <c r="M975" t="s">
        <v>165</v>
      </c>
    </row>
    <row r="976" spans="1:13" x14ac:dyDescent="0.3">
      <c r="A976" t="s">
        <v>3483</v>
      </c>
      <c r="B976" t="s">
        <v>37</v>
      </c>
      <c r="C976" t="s">
        <v>25</v>
      </c>
      <c r="D976" t="s">
        <v>55</v>
      </c>
      <c r="E976">
        <v>3033</v>
      </c>
      <c r="F976" t="s">
        <v>3484</v>
      </c>
      <c r="G976" t="s">
        <v>3485</v>
      </c>
      <c r="H976" t="s">
        <v>3485</v>
      </c>
      <c r="I976" t="s">
        <v>58</v>
      </c>
      <c r="J976" t="s">
        <v>59</v>
      </c>
      <c r="K976" t="s">
        <v>21</v>
      </c>
      <c r="L976">
        <v>45742</v>
      </c>
      <c r="M976" t="s">
        <v>90</v>
      </c>
    </row>
    <row r="977" spans="1:13" x14ac:dyDescent="0.3">
      <c r="A977" t="s">
        <v>3486</v>
      </c>
      <c r="B977" t="s">
        <v>46</v>
      </c>
      <c r="C977" t="s">
        <v>24</v>
      </c>
      <c r="D977" t="s">
        <v>444</v>
      </c>
      <c r="E977">
        <v>3042</v>
      </c>
      <c r="F977" t="s">
        <v>3487</v>
      </c>
      <c r="G977" t="s">
        <v>3488</v>
      </c>
      <c r="H977" t="s">
        <v>3489</v>
      </c>
      <c r="I977" t="s">
        <v>448</v>
      </c>
      <c r="J977" t="s">
        <v>449</v>
      </c>
      <c r="K977" t="s">
        <v>21</v>
      </c>
      <c r="L977">
        <v>45660</v>
      </c>
      <c r="M977" t="s">
        <v>363</v>
      </c>
    </row>
    <row r="978" spans="1:13" x14ac:dyDescent="0.3">
      <c r="A978" t="s">
        <v>3490</v>
      </c>
      <c r="B978" t="s">
        <v>46</v>
      </c>
      <c r="C978" t="s">
        <v>26</v>
      </c>
      <c r="D978" t="s">
        <v>71</v>
      </c>
      <c r="E978">
        <v>3034</v>
      </c>
      <c r="F978" t="s">
        <v>3491</v>
      </c>
      <c r="G978" t="s">
        <v>3492</v>
      </c>
      <c r="H978" t="s">
        <v>3493</v>
      </c>
      <c r="I978" t="s">
        <v>74</v>
      </c>
      <c r="J978" t="s">
        <v>75</v>
      </c>
      <c r="L978">
        <v>45740</v>
      </c>
      <c r="M978" t="s">
        <v>205</v>
      </c>
    </row>
    <row r="979" spans="1:13" x14ac:dyDescent="0.3">
      <c r="A979" t="s">
        <v>3494</v>
      </c>
      <c r="B979" t="s">
        <v>37</v>
      </c>
      <c r="C979" t="s">
        <v>22</v>
      </c>
      <c r="D979" t="s">
        <v>55</v>
      </c>
      <c r="E979">
        <v>3033</v>
      </c>
      <c r="F979" t="s">
        <v>23</v>
      </c>
      <c r="G979" t="s">
        <v>3495</v>
      </c>
      <c r="H979" t="s">
        <v>3496</v>
      </c>
      <c r="I979" t="s">
        <v>58</v>
      </c>
      <c r="J979" t="s">
        <v>59</v>
      </c>
      <c r="K979" t="s">
        <v>21</v>
      </c>
      <c r="L979">
        <v>45661</v>
      </c>
      <c r="M979" t="s">
        <v>69</v>
      </c>
    </row>
    <row r="980" spans="1:13" x14ac:dyDescent="0.3">
      <c r="A980" t="s">
        <v>3497</v>
      </c>
      <c r="B980" t="s">
        <v>37</v>
      </c>
      <c r="C980" t="s">
        <v>25</v>
      </c>
      <c r="D980" t="s">
        <v>444</v>
      </c>
      <c r="E980">
        <v>3042</v>
      </c>
      <c r="F980" t="s">
        <v>3498</v>
      </c>
      <c r="G980" t="s">
        <v>3499</v>
      </c>
      <c r="H980" t="s">
        <v>3500</v>
      </c>
      <c r="I980" t="s">
        <v>448</v>
      </c>
      <c r="J980" t="s">
        <v>449</v>
      </c>
      <c r="L980">
        <v>45665</v>
      </c>
      <c r="M980" t="s">
        <v>363</v>
      </c>
    </row>
    <row r="981" spans="1:13" x14ac:dyDescent="0.3">
      <c r="A981" t="s">
        <v>3501</v>
      </c>
      <c r="B981" t="s">
        <v>46</v>
      </c>
      <c r="C981" t="s">
        <v>22</v>
      </c>
      <c r="D981" t="s">
        <v>55</v>
      </c>
      <c r="E981">
        <v>3033</v>
      </c>
      <c r="F981" t="s">
        <v>1456</v>
      </c>
      <c r="G981" t="s">
        <v>3502</v>
      </c>
      <c r="H981" t="s">
        <v>3503</v>
      </c>
      <c r="I981" t="s">
        <v>58</v>
      </c>
      <c r="J981" t="s">
        <v>59</v>
      </c>
      <c r="K981" t="s">
        <v>21</v>
      </c>
      <c r="L981">
        <v>45670</v>
      </c>
      <c r="M981" t="s">
        <v>86</v>
      </c>
    </row>
    <row r="982" spans="1:13" x14ac:dyDescent="0.3">
      <c r="A982" t="s">
        <v>3504</v>
      </c>
      <c r="B982" t="s">
        <v>46</v>
      </c>
      <c r="C982" t="s">
        <v>25</v>
      </c>
      <c r="D982" t="s">
        <v>38</v>
      </c>
      <c r="E982">
        <v>3031</v>
      </c>
      <c r="F982" t="s">
        <v>28</v>
      </c>
      <c r="G982" t="s">
        <v>3505</v>
      </c>
      <c r="H982" t="s">
        <v>3506</v>
      </c>
      <c r="I982" t="s">
        <v>42</v>
      </c>
      <c r="J982" t="s">
        <v>43</v>
      </c>
      <c r="L982">
        <v>45733</v>
      </c>
      <c r="M982" t="s">
        <v>287</v>
      </c>
    </row>
    <row r="983" spans="1:13" x14ac:dyDescent="0.3">
      <c r="A983" t="s">
        <v>3507</v>
      </c>
      <c r="B983" t="s">
        <v>37</v>
      </c>
      <c r="C983" t="s">
        <v>25</v>
      </c>
      <c r="D983" t="s">
        <v>47</v>
      </c>
      <c r="E983">
        <v>3032</v>
      </c>
      <c r="F983" t="s">
        <v>3508</v>
      </c>
      <c r="G983" t="s">
        <v>3509</v>
      </c>
      <c r="H983" t="s">
        <v>3510</v>
      </c>
      <c r="I983" t="s">
        <v>51</v>
      </c>
      <c r="J983" t="s">
        <v>52</v>
      </c>
      <c r="L983">
        <v>45732</v>
      </c>
      <c r="M983" t="s">
        <v>881</v>
      </c>
    </row>
    <row r="984" spans="1:13" x14ac:dyDescent="0.3">
      <c r="A984" t="s">
        <v>3511</v>
      </c>
      <c r="B984" t="s">
        <v>37</v>
      </c>
      <c r="C984" t="s">
        <v>24</v>
      </c>
      <c r="D984" t="s">
        <v>97</v>
      </c>
      <c r="E984">
        <v>3036</v>
      </c>
      <c r="F984" t="s">
        <v>3512</v>
      </c>
      <c r="G984" t="s">
        <v>3513</v>
      </c>
      <c r="H984" t="s">
        <v>3514</v>
      </c>
      <c r="I984" t="s">
        <v>100</v>
      </c>
      <c r="J984" t="s">
        <v>101</v>
      </c>
      <c r="L984">
        <v>45691</v>
      </c>
      <c r="M984" t="s">
        <v>165</v>
      </c>
    </row>
    <row r="985" spans="1:13" x14ac:dyDescent="0.3">
      <c r="A985" t="s">
        <v>3515</v>
      </c>
      <c r="B985" t="s">
        <v>37</v>
      </c>
      <c r="C985" t="s">
        <v>22</v>
      </c>
      <c r="D985" t="s">
        <v>78</v>
      </c>
      <c r="E985">
        <v>3035</v>
      </c>
      <c r="F985" t="s">
        <v>3516</v>
      </c>
      <c r="G985" t="s">
        <v>3517</v>
      </c>
      <c r="H985" t="s">
        <v>3517</v>
      </c>
      <c r="I985" t="s">
        <v>81</v>
      </c>
      <c r="J985" t="s">
        <v>82</v>
      </c>
      <c r="L985">
        <v>45736</v>
      </c>
      <c r="M985" t="s">
        <v>489</v>
      </c>
    </row>
    <row r="986" spans="1:13" x14ac:dyDescent="0.3">
      <c r="A986" t="s">
        <v>3518</v>
      </c>
      <c r="B986" t="s">
        <v>37</v>
      </c>
      <c r="C986" t="s">
        <v>24</v>
      </c>
      <c r="D986" t="s">
        <v>97</v>
      </c>
      <c r="E986">
        <v>3036</v>
      </c>
      <c r="F986" t="s">
        <v>3519</v>
      </c>
      <c r="G986" t="s">
        <v>3520</v>
      </c>
      <c r="H986" t="s">
        <v>3521</v>
      </c>
      <c r="I986" t="s">
        <v>100</v>
      </c>
      <c r="J986" t="s">
        <v>101</v>
      </c>
      <c r="K986" t="s">
        <v>21</v>
      </c>
      <c r="L986">
        <v>45686</v>
      </c>
      <c r="M986" t="s">
        <v>165</v>
      </c>
    </row>
    <row r="987" spans="1:13" x14ac:dyDescent="0.3">
      <c r="A987" t="s">
        <v>3522</v>
      </c>
      <c r="B987" t="s">
        <v>37</v>
      </c>
      <c r="C987" t="s">
        <v>25</v>
      </c>
      <c r="D987" t="s">
        <v>136</v>
      </c>
      <c r="E987">
        <v>3039</v>
      </c>
      <c r="F987" t="s">
        <v>3523</v>
      </c>
      <c r="G987" t="s">
        <v>3524</v>
      </c>
      <c r="H987" t="s">
        <v>3524</v>
      </c>
      <c r="I987" t="s">
        <v>15</v>
      </c>
      <c r="J987" t="s">
        <v>14</v>
      </c>
      <c r="L987">
        <v>45745</v>
      </c>
      <c r="M987" t="s">
        <v>95</v>
      </c>
    </row>
    <row r="988" spans="1:13" x14ac:dyDescent="0.3">
      <c r="A988" t="s">
        <v>3525</v>
      </c>
      <c r="B988" t="s">
        <v>37</v>
      </c>
      <c r="C988" t="s">
        <v>22</v>
      </c>
      <c r="D988" t="s">
        <v>207</v>
      </c>
      <c r="E988">
        <v>3041</v>
      </c>
      <c r="F988" t="s">
        <v>3526</v>
      </c>
      <c r="G988" t="s">
        <v>3527</v>
      </c>
      <c r="H988" t="s">
        <v>3527</v>
      </c>
      <c r="I988" t="s">
        <v>211</v>
      </c>
      <c r="J988" t="s">
        <v>14</v>
      </c>
      <c r="L988">
        <v>45663</v>
      </c>
      <c r="M988" t="s">
        <v>394</v>
      </c>
    </row>
    <row r="989" spans="1:13" x14ac:dyDescent="0.3">
      <c r="A989" t="s">
        <v>3528</v>
      </c>
      <c r="B989" t="s">
        <v>46</v>
      </c>
      <c r="C989" t="s">
        <v>24</v>
      </c>
      <c r="D989" t="s">
        <v>38</v>
      </c>
      <c r="E989">
        <v>3031</v>
      </c>
      <c r="F989" t="s">
        <v>3529</v>
      </c>
      <c r="G989" t="s">
        <v>3530</v>
      </c>
      <c r="H989" t="s">
        <v>3530</v>
      </c>
      <c r="I989" t="s">
        <v>42</v>
      </c>
      <c r="J989" t="s">
        <v>43</v>
      </c>
      <c r="K989" t="s">
        <v>21</v>
      </c>
      <c r="L989">
        <v>45669</v>
      </c>
      <c r="M989" t="s">
        <v>287</v>
      </c>
    </row>
    <row r="990" spans="1:13" x14ac:dyDescent="0.3">
      <c r="A990" t="s">
        <v>3531</v>
      </c>
      <c r="B990" t="s">
        <v>46</v>
      </c>
      <c r="C990" t="s">
        <v>22</v>
      </c>
      <c r="D990" t="s">
        <v>136</v>
      </c>
      <c r="E990">
        <v>3039</v>
      </c>
      <c r="F990" t="s">
        <v>3532</v>
      </c>
      <c r="G990" t="s">
        <v>3533</v>
      </c>
      <c r="H990" t="s">
        <v>3534</v>
      </c>
      <c r="I990" t="s">
        <v>15</v>
      </c>
      <c r="J990" t="s">
        <v>14</v>
      </c>
      <c r="K990" t="s">
        <v>21</v>
      </c>
      <c r="L990">
        <v>45687</v>
      </c>
      <c r="M990" t="s">
        <v>577</v>
      </c>
    </row>
    <row r="991" spans="1:13" x14ac:dyDescent="0.3">
      <c r="A991" t="s">
        <v>3535</v>
      </c>
      <c r="B991" t="s">
        <v>37</v>
      </c>
      <c r="C991" t="s">
        <v>22</v>
      </c>
      <c r="D991" t="s">
        <v>47</v>
      </c>
      <c r="E991">
        <v>3032</v>
      </c>
      <c r="F991" t="s">
        <v>3536</v>
      </c>
      <c r="G991" t="s">
        <v>3537</v>
      </c>
      <c r="H991" t="s">
        <v>3538</v>
      </c>
      <c r="I991" t="s">
        <v>51</v>
      </c>
      <c r="J991" t="s">
        <v>52</v>
      </c>
      <c r="L991">
        <v>45677</v>
      </c>
      <c r="M991" t="s">
        <v>656</v>
      </c>
    </row>
    <row r="992" spans="1:13" x14ac:dyDescent="0.3">
      <c r="A992" t="s">
        <v>3539</v>
      </c>
      <c r="B992" t="s">
        <v>37</v>
      </c>
      <c r="C992" t="s">
        <v>25</v>
      </c>
      <c r="D992" t="s">
        <v>38</v>
      </c>
      <c r="E992">
        <v>3031</v>
      </c>
      <c r="F992" t="s">
        <v>3540</v>
      </c>
      <c r="G992" t="s">
        <v>3541</v>
      </c>
      <c r="H992" t="s">
        <v>3542</v>
      </c>
      <c r="I992" t="s">
        <v>42</v>
      </c>
      <c r="J992" t="s">
        <v>43</v>
      </c>
      <c r="L992">
        <v>45738</v>
      </c>
      <c r="M992" t="s">
        <v>102</v>
      </c>
    </row>
    <row r="993" spans="1:13" x14ac:dyDescent="0.3">
      <c r="A993" t="s">
        <v>3543</v>
      </c>
      <c r="B993" t="s">
        <v>37</v>
      </c>
      <c r="C993" t="s">
        <v>25</v>
      </c>
      <c r="D993" t="s">
        <v>136</v>
      </c>
      <c r="E993">
        <v>3039</v>
      </c>
      <c r="F993" t="s">
        <v>3544</v>
      </c>
      <c r="G993" t="s">
        <v>3545</v>
      </c>
      <c r="H993" t="s">
        <v>3545</v>
      </c>
      <c r="I993" t="s">
        <v>15</v>
      </c>
      <c r="J993" t="s">
        <v>14</v>
      </c>
      <c r="L993">
        <v>45728</v>
      </c>
      <c r="M993" t="s">
        <v>987</v>
      </c>
    </row>
    <row r="994" spans="1:13" x14ac:dyDescent="0.3">
      <c r="A994" t="s">
        <v>3546</v>
      </c>
      <c r="B994" t="s">
        <v>46</v>
      </c>
      <c r="C994" t="s">
        <v>26</v>
      </c>
      <c r="D994" t="s">
        <v>118</v>
      </c>
      <c r="E994">
        <v>3038</v>
      </c>
      <c r="F994" t="s">
        <v>3547</v>
      </c>
      <c r="G994" t="s">
        <v>3548</v>
      </c>
      <c r="H994" t="s">
        <v>3549</v>
      </c>
      <c r="I994" t="s">
        <v>122</v>
      </c>
      <c r="J994" t="s">
        <v>123</v>
      </c>
      <c r="L994">
        <v>45685</v>
      </c>
      <c r="M994" t="s">
        <v>359</v>
      </c>
    </row>
    <row r="995" spans="1:13" x14ac:dyDescent="0.3">
      <c r="A995" t="s">
        <v>3550</v>
      </c>
      <c r="B995" t="s">
        <v>46</v>
      </c>
      <c r="C995" t="s">
        <v>26</v>
      </c>
      <c r="D995" t="s">
        <v>38</v>
      </c>
      <c r="E995">
        <v>3031</v>
      </c>
      <c r="F995" t="s">
        <v>3298</v>
      </c>
      <c r="G995" t="s">
        <v>3551</v>
      </c>
      <c r="H995" t="s">
        <v>3551</v>
      </c>
      <c r="I995" t="s">
        <v>42</v>
      </c>
      <c r="J995" t="s">
        <v>43</v>
      </c>
      <c r="L995">
        <v>45693</v>
      </c>
      <c r="M995" t="s">
        <v>102</v>
      </c>
    </row>
    <row r="996" spans="1:13" x14ac:dyDescent="0.3">
      <c r="A996" t="s">
        <v>3552</v>
      </c>
      <c r="B996" t="s">
        <v>37</v>
      </c>
      <c r="C996" t="s">
        <v>22</v>
      </c>
      <c r="D996" t="s">
        <v>47</v>
      </c>
      <c r="E996">
        <v>3032</v>
      </c>
      <c r="F996" t="s">
        <v>3553</v>
      </c>
      <c r="G996" t="s">
        <v>3554</v>
      </c>
      <c r="H996" t="s">
        <v>3555</v>
      </c>
      <c r="I996" t="s">
        <v>51</v>
      </c>
      <c r="J996" t="s">
        <v>52</v>
      </c>
      <c r="L996">
        <v>45702</v>
      </c>
      <c r="M996" t="s">
        <v>177</v>
      </c>
    </row>
    <row r="997" spans="1:13" x14ac:dyDescent="0.3">
      <c r="A997" t="s">
        <v>3556</v>
      </c>
      <c r="B997" t="s">
        <v>46</v>
      </c>
      <c r="C997" t="s">
        <v>26</v>
      </c>
      <c r="D997" t="s">
        <v>71</v>
      </c>
      <c r="E997">
        <v>3034</v>
      </c>
      <c r="F997" t="s">
        <v>3557</v>
      </c>
      <c r="G997" t="s">
        <v>3558</v>
      </c>
      <c r="H997" t="s">
        <v>3558</v>
      </c>
      <c r="I997" t="s">
        <v>74</v>
      </c>
      <c r="J997" t="s">
        <v>75</v>
      </c>
      <c r="L997">
        <v>45714</v>
      </c>
      <c r="M997" t="s">
        <v>205</v>
      </c>
    </row>
    <row r="998" spans="1:13" x14ac:dyDescent="0.3">
      <c r="A998" t="s">
        <v>3559</v>
      </c>
      <c r="B998" t="s">
        <v>46</v>
      </c>
      <c r="C998" t="s">
        <v>24</v>
      </c>
      <c r="D998" t="s">
        <v>55</v>
      </c>
      <c r="E998">
        <v>3033</v>
      </c>
      <c r="F998" t="s">
        <v>3560</v>
      </c>
      <c r="G998" t="s">
        <v>3561</v>
      </c>
      <c r="H998" t="s">
        <v>3561</v>
      </c>
      <c r="I998" t="s">
        <v>58</v>
      </c>
      <c r="J998" t="s">
        <v>59</v>
      </c>
      <c r="K998" t="s">
        <v>21</v>
      </c>
      <c r="L998">
        <v>45680</v>
      </c>
      <c r="M998" t="s">
        <v>60</v>
      </c>
    </row>
    <row r="999" spans="1:13" x14ac:dyDescent="0.3">
      <c r="A999" t="s">
        <v>3562</v>
      </c>
      <c r="B999" t="s">
        <v>46</v>
      </c>
      <c r="C999" t="s">
        <v>24</v>
      </c>
      <c r="D999" t="s">
        <v>78</v>
      </c>
      <c r="E999">
        <v>3035</v>
      </c>
      <c r="F999" t="s">
        <v>3563</v>
      </c>
      <c r="G999" t="s">
        <v>3564</v>
      </c>
      <c r="H999" t="s">
        <v>3565</v>
      </c>
      <c r="I999" t="s">
        <v>81</v>
      </c>
      <c r="J999" t="s">
        <v>82</v>
      </c>
      <c r="K999" t="s">
        <v>21</v>
      </c>
      <c r="L999">
        <v>45714</v>
      </c>
      <c r="M999" t="s">
        <v>205</v>
      </c>
    </row>
    <row r="1000" spans="1:13" x14ac:dyDescent="0.3">
      <c r="A1000" t="s">
        <v>3566</v>
      </c>
      <c r="B1000" t="s">
        <v>37</v>
      </c>
      <c r="C1000" t="s">
        <v>24</v>
      </c>
      <c r="D1000" t="s">
        <v>38</v>
      </c>
      <c r="E1000">
        <v>3031</v>
      </c>
      <c r="F1000" t="s">
        <v>3567</v>
      </c>
      <c r="G1000" t="s">
        <v>3568</v>
      </c>
      <c r="H1000" t="s">
        <v>3569</v>
      </c>
      <c r="I1000" t="s">
        <v>42</v>
      </c>
      <c r="J1000" t="s">
        <v>43</v>
      </c>
      <c r="K1000" t="s">
        <v>21</v>
      </c>
      <c r="L1000">
        <v>45691</v>
      </c>
      <c r="M1000" t="s">
        <v>65</v>
      </c>
    </row>
    <row r="1001" spans="1:13" x14ac:dyDescent="0.3">
      <c r="A1001" t="s">
        <v>3570</v>
      </c>
      <c r="B1001" t="s">
        <v>46</v>
      </c>
      <c r="C1001" t="s">
        <v>24</v>
      </c>
      <c r="D1001" t="s">
        <v>104</v>
      </c>
      <c r="E1001">
        <v>3037</v>
      </c>
      <c r="F1001" t="s">
        <v>3571</v>
      </c>
      <c r="G1001" t="s">
        <v>3572</v>
      </c>
      <c r="H1001" t="s">
        <v>3572</v>
      </c>
      <c r="I1001" t="s">
        <v>12</v>
      </c>
      <c r="J1001" t="s">
        <v>13</v>
      </c>
      <c r="L1001">
        <v>45664</v>
      </c>
      <c r="M1001" t="s">
        <v>287</v>
      </c>
    </row>
    <row r="1002" spans="1:13" x14ac:dyDescent="0.3">
      <c r="A1002" t="s">
        <v>3573</v>
      </c>
      <c r="B1002" t="s">
        <v>46</v>
      </c>
      <c r="C1002" t="s">
        <v>22</v>
      </c>
      <c r="D1002" t="s">
        <v>78</v>
      </c>
      <c r="E1002">
        <v>3035</v>
      </c>
      <c r="F1002" t="s">
        <v>3574</v>
      </c>
      <c r="G1002" t="s">
        <v>3575</v>
      </c>
      <c r="H1002" t="s">
        <v>3575</v>
      </c>
      <c r="I1002" t="s">
        <v>81</v>
      </c>
      <c r="J1002" t="s">
        <v>82</v>
      </c>
      <c r="L1002">
        <v>45703</v>
      </c>
      <c r="M1002" t="s">
        <v>287</v>
      </c>
    </row>
    <row r="1003" spans="1:13" x14ac:dyDescent="0.3">
      <c r="A1003" t="s">
        <v>3576</v>
      </c>
      <c r="B1003" t="s">
        <v>46</v>
      </c>
      <c r="C1003" t="s">
        <v>25</v>
      </c>
      <c r="D1003" t="s">
        <v>38</v>
      </c>
      <c r="E1003">
        <v>3031</v>
      </c>
      <c r="F1003" t="s">
        <v>3577</v>
      </c>
      <c r="G1003" t="s">
        <v>3578</v>
      </c>
      <c r="H1003" t="s">
        <v>3578</v>
      </c>
      <c r="I1003" t="s">
        <v>42</v>
      </c>
      <c r="J1003" t="s">
        <v>43</v>
      </c>
      <c r="L1003">
        <v>45736</v>
      </c>
      <c r="M1003" t="s">
        <v>128</v>
      </c>
    </row>
    <row r="1004" spans="1:13" x14ac:dyDescent="0.3">
      <c r="A1004" t="s">
        <v>3579</v>
      </c>
      <c r="B1004" t="s">
        <v>37</v>
      </c>
      <c r="C1004" t="s">
        <v>25</v>
      </c>
      <c r="D1004" t="s">
        <v>444</v>
      </c>
      <c r="E1004">
        <v>3042</v>
      </c>
      <c r="F1004" t="s">
        <v>3580</v>
      </c>
      <c r="G1004" t="s">
        <v>3581</v>
      </c>
      <c r="H1004" t="s">
        <v>3581</v>
      </c>
      <c r="I1004" t="s">
        <v>448</v>
      </c>
      <c r="J1004" t="s">
        <v>449</v>
      </c>
      <c r="L1004">
        <v>45710</v>
      </c>
      <c r="M1004" t="s">
        <v>224</v>
      </c>
    </row>
    <row r="1005" spans="1:13" x14ac:dyDescent="0.3">
      <c r="A1005" t="s">
        <v>3582</v>
      </c>
      <c r="B1005" t="s">
        <v>46</v>
      </c>
      <c r="C1005" t="s">
        <v>26</v>
      </c>
      <c r="D1005" t="s">
        <v>55</v>
      </c>
      <c r="E1005">
        <v>3033</v>
      </c>
      <c r="F1005" t="s">
        <v>3583</v>
      </c>
      <c r="G1005" t="s">
        <v>3584</v>
      </c>
      <c r="H1005" t="s">
        <v>3585</v>
      </c>
      <c r="I1005" t="s">
        <v>58</v>
      </c>
      <c r="J1005" t="s">
        <v>59</v>
      </c>
      <c r="L1005">
        <v>45681</v>
      </c>
      <c r="M1005" t="s">
        <v>90</v>
      </c>
    </row>
    <row r="1006" spans="1:13" x14ac:dyDescent="0.3">
      <c r="A1006" t="s">
        <v>3586</v>
      </c>
      <c r="B1006" t="s">
        <v>37</v>
      </c>
      <c r="C1006" t="s">
        <v>26</v>
      </c>
      <c r="D1006" t="s">
        <v>55</v>
      </c>
      <c r="E1006">
        <v>3033</v>
      </c>
      <c r="F1006" t="s">
        <v>3587</v>
      </c>
      <c r="G1006" t="s">
        <v>3588</v>
      </c>
      <c r="H1006" t="s">
        <v>3589</v>
      </c>
      <c r="I1006" t="s">
        <v>58</v>
      </c>
      <c r="J1006" t="s">
        <v>59</v>
      </c>
      <c r="K1006" t="s">
        <v>21</v>
      </c>
      <c r="L1006">
        <v>45746</v>
      </c>
      <c r="M1006" t="s">
        <v>95</v>
      </c>
    </row>
    <row r="1007" spans="1:13" x14ac:dyDescent="0.3">
      <c r="A1007" t="s">
        <v>3590</v>
      </c>
      <c r="B1007" t="s">
        <v>46</v>
      </c>
      <c r="C1007" t="s">
        <v>22</v>
      </c>
      <c r="D1007" t="s">
        <v>136</v>
      </c>
      <c r="E1007">
        <v>3039</v>
      </c>
      <c r="F1007" t="s">
        <v>3591</v>
      </c>
      <c r="G1007" t="s">
        <v>3592</v>
      </c>
      <c r="H1007" t="s">
        <v>3593</v>
      </c>
      <c r="I1007" t="s">
        <v>15</v>
      </c>
      <c r="J1007" t="s">
        <v>14</v>
      </c>
      <c r="K1007" t="s">
        <v>21</v>
      </c>
      <c r="L1007">
        <v>45716</v>
      </c>
      <c r="M1007" t="s">
        <v>389</v>
      </c>
    </row>
    <row r="1008" spans="1:13" x14ac:dyDescent="0.3">
      <c r="A1008" t="s">
        <v>3594</v>
      </c>
      <c r="B1008" t="s">
        <v>46</v>
      </c>
      <c r="C1008" t="s">
        <v>22</v>
      </c>
      <c r="D1008" t="s">
        <v>78</v>
      </c>
      <c r="E1008">
        <v>3035</v>
      </c>
      <c r="F1008" t="s">
        <v>3595</v>
      </c>
      <c r="G1008" t="s">
        <v>3596</v>
      </c>
      <c r="H1008" t="s">
        <v>3597</v>
      </c>
      <c r="I1008" t="s">
        <v>81</v>
      </c>
      <c r="J1008" t="s">
        <v>82</v>
      </c>
      <c r="L1008">
        <v>45719</v>
      </c>
      <c r="M1008" t="s">
        <v>489</v>
      </c>
    </row>
    <row r="1009" spans="1:13" x14ac:dyDescent="0.3">
      <c r="A1009" t="s">
        <v>3598</v>
      </c>
      <c r="B1009" t="s">
        <v>46</v>
      </c>
      <c r="C1009" t="s">
        <v>24</v>
      </c>
      <c r="D1009" t="s">
        <v>55</v>
      </c>
      <c r="E1009">
        <v>3033</v>
      </c>
      <c r="F1009" t="s">
        <v>3599</v>
      </c>
      <c r="G1009" t="s">
        <v>3600</v>
      </c>
      <c r="H1009" t="s">
        <v>3600</v>
      </c>
      <c r="I1009" t="s">
        <v>58</v>
      </c>
      <c r="J1009" t="s">
        <v>59</v>
      </c>
      <c r="L1009">
        <v>45670</v>
      </c>
      <c r="M1009" t="s">
        <v>86</v>
      </c>
    </row>
    <row r="1010" spans="1:13" x14ac:dyDescent="0.3">
      <c r="A1010" t="s">
        <v>3601</v>
      </c>
      <c r="B1010" t="s">
        <v>46</v>
      </c>
      <c r="C1010" t="s">
        <v>24</v>
      </c>
      <c r="D1010" t="s">
        <v>55</v>
      </c>
      <c r="E1010">
        <v>3033</v>
      </c>
      <c r="F1010" t="s">
        <v>3602</v>
      </c>
      <c r="G1010" t="s">
        <v>3603</v>
      </c>
      <c r="H1010" t="s">
        <v>3603</v>
      </c>
      <c r="I1010" t="s">
        <v>58</v>
      </c>
      <c r="J1010" t="s">
        <v>59</v>
      </c>
      <c r="L1010">
        <v>45697</v>
      </c>
      <c r="M1010" t="s">
        <v>90</v>
      </c>
    </row>
    <row r="1011" spans="1:13" x14ac:dyDescent="0.3">
      <c r="A1011" t="s">
        <v>3604</v>
      </c>
      <c r="B1011" t="s">
        <v>37</v>
      </c>
      <c r="C1011" t="s">
        <v>22</v>
      </c>
      <c r="D1011" t="s">
        <v>118</v>
      </c>
      <c r="E1011">
        <v>3038</v>
      </c>
      <c r="F1011" t="s">
        <v>3605</v>
      </c>
      <c r="G1011" t="s">
        <v>3606</v>
      </c>
      <c r="H1011" t="s">
        <v>3607</v>
      </c>
      <c r="I1011" t="s">
        <v>122</v>
      </c>
      <c r="J1011" t="s">
        <v>123</v>
      </c>
      <c r="L1011">
        <v>45665</v>
      </c>
      <c r="M1011" t="s">
        <v>200</v>
      </c>
    </row>
    <row r="1012" spans="1:13" x14ac:dyDescent="0.3">
      <c r="A1012" t="s">
        <v>3608</v>
      </c>
      <c r="B1012" t="s">
        <v>46</v>
      </c>
      <c r="C1012" t="s">
        <v>26</v>
      </c>
      <c r="D1012" t="s">
        <v>136</v>
      </c>
      <c r="E1012">
        <v>3039</v>
      </c>
      <c r="F1012" t="s">
        <v>3609</v>
      </c>
      <c r="G1012" t="s">
        <v>3610</v>
      </c>
      <c r="H1012" t="s">
        <v>3610</v>
      </c>
      <c r="I1012" t="s">
        <v>15</v>
      </c>
      <c r="J1012" t="s">
        <v>14</v>
      </c>
      <c r="K1012" t="s">
        <v>21</v>
      </c>
      <c r="L1012">
        <v>45672</v>
      </c>
      <c r="M1012" t="s">
        <v>382</v>
      </c>
    </row>
    <row r="1013" spans="1:13" x14ac:dyDescent="0.3">
      <c r="A1013" t="s">
        <v>3611</v>
      </c>
      <c r="B1013" t="s">
        <v>37</v>
      </c>
      <c r="C1013" t="s">
        <v>25</v>
      </c>
      <c r="D1013" t="s">
        <v>78</v>
      </c>
      <c r="E1013">
        <v>3035</v>
      </c>
      <c r="F1013" t="s">
        <v>3612</v>
      </c>
      <c r="G1013" t="s">
        <v>3613</v>
      </c>
      <c r="H1013" t="s">
        <v>3613</v>
      </c>
      <c r="I1013" t="s">
        <v>81</v>
      </c>
      <c r="J1013" t="s">
        <v>82</v>
      </c>
      <c r="L1013">
        <v>45686</v>
      </c>
      <c r="M1013" t="s">
        <v>287</v>
      </c>
    </row>
    <row r="1014" spans="1:13" x14ac:dyDescent="0.3">
      <c r="A1014" t="s">
        <v>3614</v>
      </c>
      <c r="B1014" t="s">
        <v>37</v>
      </c>
      <c r="C1014" t="s">
        <v>25</v>
      </c>
      <c r="D1014" t="s">
        <v>118</v>
      </c>
      <c r="E1014">
        <v>3038</v>
      </c>
      <c r="F1014" t="s">
        <v>3615</v>
      </c>
      <c r="G1014" t="s">
        <v>3616</v>
      </c>
      <c r="H1014" t="s">
        <v>3616</v>
      </c>
      <c r="I1014" t="s">
        <v>122</v>
      </c>
      <c r="J1014" t="s">
        <v>123</v>
      </c>
      <c r="K1014" t="s">
        <v>21</v>
      </c>
      <c r="L1014">
        <v>45662</v>
      </c>
      <c r="M1014" t="s">
        <v>389</v>
      </c>
    </row>
    <row r="1015" spans="1:13" x14ac:dyDescent="0.3">
      <c r="A1015" t="s">
        <v>3617</v>
      </c>
      <c r="B1015" t="s">
        <v>37</v>
      </c>
      <c r="C1015" t="s">
        <v>26</v>
      </c>
      <c r="D1015" t="s">
        <v>55</v>
      </c>
      <c r="E1015">
        <v>3033</v>
      </c>
      <c r="F1015" t="s">
        <v>3618</v>
      </c>
      <c r="G1015" t="s">
        <v>3619</v>
      </c>
      <c r="H1015" t="s">
        <v>3619</v>
      </c>
      <c r="I1015" t="s">
        <v>58</v>
      </c>
      <c r="J1015" t="s">
        <v>59</v>
      </c>
      <c r="L1015">
        <v>45684</v>
      </c>
      <c r="M1015" t="s">
        <v>60</v>
      </c>
    </row>
    <row r="1016" spans="1:13" x14ac:dyDescent="0.3">
      <c r="A1016" t="s">
        <v>3620</v>
      </c>
      <c r="B1016" t="s">
        <v>37</v>
      </c>
      <c r="C1016" t="s">
        <v>24</v>
      </c>
      <c r="D1016" t="s">
        <v>38</v>
      </c>
      <c r="E1016">
        <v>3031</v>
      </c>
      <c r="F1016" t="s">
        <v>3621</v>
      </c>
      <c r="G1016" t="s">
        <v>3622</v>
      </c>
      <c r="H1016" t="s">
        <v>3623</v>
      </c>
      <c r="I1016" t="s">
        <v>42</v>
      </c>
      <c r="J1016" t="s">
        <v>43</v>
      </c>
      <c r="K1016" t="s">
        <v>21</v>
      </c>
      <c r="L1016">
        <v>45678</v>
      </c>
      <c r="M1016" t="s">
        <v>65</v>
      </c>
    </row>
    <row r="1017" spans="1:13" x14ac:dyDescent="0.3">
      <c r="A1017" t="s">
        <v>3624</v>
      </c>
      <c r="B1017" t="s">
        <v>46</v>
      </c>
      <c r="C1017" t="s">
        <v>26</v>
      </c>
      <c r="D1017" t="s">
        <v>444</v>
      </c>
      <c r="E1017">
        <v>3042</v>
      </c>
      <c r="F1017" t="s">
        <v>3625</v>
      </c>
      <c r="G1017" t="s">
        <v>3626</v>
      </c>
      <c r="H1017" t="s">
        <v>3626</v>
      </c>
      <c r="I1017" t="s">
        <v>448</v>
      </c>
      <c r="J1017" t="s">
        <v>449</v>
      </c>
      <c r="L1017">
        <v>45713</v>
      </c>
      <c r="M1017" t="s">
        <v>722</v>
      </c>
    </row>
    <row r="1018" spans="1:13" x14ac:dyDescent="0.3">
      <c r="A1018" t="s">
        <v>3627</v>
      </c>
      <c r="B1018" t="s">
        <v>46</v>
      </c>
      <c r="C1018" t="s">
        <v>22</v>
      </c>
      <c r="D1018" t="s">
        <v>444</v>
      </c>
      <c r="E1018">
        <v>3042</v>
      </c>
      <c r="F1018" t="s">
        <v>3628</v>
      </c>
      <c r="G1018" t="s">
        <v>3629</v>
      </c>
      <c r="H1018" t="s">
        <v>3630</v>
      </c>
      <c r="I1018" t="s">
        <v>448</v>
      </c>
      <c r="J1018" t="s">
        <v>449</v>
      </c>
      <c r="L1018">
        <v>45683</v>
      </c>
      <c r="M1018" t="s">
        <v>224</v>
      </c>
    </row>
    <row r="1019" spans="1:13" x14ac:dyDescent="0.3">
      <c r="A1019" t="s">
        <v>3631</v>
      </c>
      <c r="B1019" t="s">
        <v>46</v>
      </c>
      <c r="C1019" t="s">
        <v>24</v>
      </c>
      <c r="D1019" t="s">
        <v>136</v>
      </c>
      <c r="E1019">
        <v>3039</v>
      </c>
      <c r="F1019" t="s">
        <v>3632</v>
      </c>
      <c r="G1019" t="s">
        <v>3633</v>
      </c>
      <c r="H1019" t="s">
        <v>3634</v>
      </c>
      <c r="I1019" t="s">
        <v>15</v>
      </c>
      <c r="J1019" t="s">
        <v>14</v>
      </c>
      <c r="L1019">
        <v>45684</v>
      </c>
      <c r="M1019" t="s">
        <v>140</v>
      </c>
    </row>
    <row r="1020" spans="1:13" x14ac:dyDescent="0.3">
      <c r="A1020" t="s">
        <v>3635</v>
      </c>
      <c r="B1020" t="s">
        <v>46</v>
      </c>
      <c r="C1020" t="s">
        <v>24</v>
      </c>
      <c r="D1020" t="s">
        <v>55</v>
      </c>
      <c r="E1020">
        <v>3033</v>
      </c>
      <c r="F1020" t="s">
        <v>3636</v>
      </c>
      <c r="G1020" t="s">
        <v>3637</v>
      </c>
      <c r="H1020" t="s">
        <v>3637</v>
      </c>
      <c r="I1020" t="s">
        <v>58</v>
      </c>
      <c r="J1020" t="s">
        <v>59</v>
      </c>
      <c r="K1020" t="s">
        <v>21</v>
      </c>
      <c r="L1020">
        <v>45719</v>
      </c>
      <c r="M1020" t="s">
        <v>60</v>
      </c>
    </row>
    <row r="1021" spans="1:13" x14ac:dyDescent="0.3">
      <c r="A1021" t="s">
        <v>3638</v>
      </c>
      <c r="B1021" t="s">
        <v>37</v>
      </c>
      <c r="C1021" t="s">
        <v>26</v>
      </c>
      <c r="D1021" t="s">
        <v>207</v>
      </c>
      <c r="E1021">
        <v>3041</v>
      </c>
      <c r="F1021" t="s">
        <v>3639</v>
      </c>
      <c r="G1021" t="s">
        <v>3640</v>
      </c>
      <c r="H1021" t="s">
        <v>3640</v>
      </c>
      <c r="I1021" t="s">
        <v>211</v>
      </c>
      <c r="J1021" t="s">
        <v>14</v>
      </c>
      <c r="L1021">
        <v>45737</v>
      </c>
      <c r="M1021" t="s">
        <v>128</v>
      </c>
    </row>
    <row r="1022" spans="1:13" x14ac:dyDescent="0.3">
      <c r="A1022" t="s">
        <v>3641</v>
      </c>
      <c r="B1022" t="s">
        <v>37</v>
      </c>
      <c r="C1022" t="s">
        <v>24</v>
      </c>
      <c r="D1022" t="s">
        <v>104</v>
      </c>
      <c r="E1022">
        <v>3037</v>
      </c>
      <c r="F1022" t="s">
        <v>3642</v>
      </c>
      <c r="G1022" t="s">
        <v>3643</v>
      </c>
      <c r="H1022" t="s">
        <v>3644</v>
      </c>
      <c r="I1022" t="s">
        <v>12</v>
      </c>
      <c r="J1022" t="s">
        <v>13</v>
      </c>
      <c r="K1022" t="s">
        <v>21</v>
      </c>
      <c r="L1022">
        <v>45664</v>
      </c>
      <c r="M1022" t="s">
        <v>287</v>
      </c>
    </row>
    <row r="1023" spans="1:13" x14ac:dyDescent="0.3">
      <c r="A1023" t="s">
        <v>3645</v>
      </c>
      <c r="B1023" t="s">
        <v>37</v>
      </c>
      <c r="C1023" t="s">
        <v>25</v>
      </c>
      <c r="D1023" t="s">
        <v>38</v>
      </c>
      <c r="E1023">
        <v>3031</v>
      </c>
      <c r="F1023" t="s">
        <v>1299</v>
      </c>
      <c r="G1023" t="s">
        <v>3646</v>
      </c>
      <c r="H1023" t="s">
        <v>3646</v>
      </c>
      <c r="I1023" t="s">
        <v>42</v>
      </c>
      <c r="J1023" t="s">
        <v>43</v>
      </c>
      <c r="L1023">
        <v>45719</v>
      </c>
      <c r="M1023" t="s">
        <v>102</v>
      </c>
    </row>
    <row r="1024" spans="1:13" x14ac:dyDescent="0.3">
      <c r="A1024" t="s">
        <v>3647</v>
      </c>
      <c r="B1024" t="s">
        <v>37</v>
      </c>
      <c r="C1024" t="s">
        <v>22</v>
      </c>
      <c r="D1024" t="s">
        <v>136</v>
      </c>
      <c r="E1024">
        <v>3039</v>
      </c>
      <c r="F1024" t="s">
        <v>3648</v>
      </c>
      <c r="G1024" t="s">
        <v>3649</v>
      </c>
      <c r="H1024" t="s">
        <v>3650</v>
      </c>
      <c r="I1024" t="s">
        <v>15</v>
      </c>
      <c r="J1024" t="s">
        <v>14</v>
      </c>
      <c r="L1024">
        <v>45710</v>
      </c>
      <c r="M1024" t="s">
        <v>382</v>
      </c>
    </row>
    <row r="1025" spans="1:13" x14ac:dyDescent="0.3">
      <c r="A1025" t="s">
        <v>3651</v>
      </c>
      <c r="B1025" t="s">
        <v>37</v>
      </c>
      <c r="C1025" t="s">
        <v>22</v>
      </c>
      <c r="D1025" t="s">
        <v>207</v>
      </c>
      <c r="E1025">
        <v>3041</v>
      </c>
      <c r="F1025" t="s">
        <v>3652</v>
      </c>
      <c r="G1025" t="s">
        <v>3653</v>
      </c>
      <c r="H1025" t="s">
        <v>3654</v>
      </c>
      <c r="I1025" t="s">
        <v>211</v>
      </c>
      <c r="J1025" t="s">
        <v>14</v>
      </c>
      <c r="K1025" t="s">
        <v>21</v>
      </c>
      <c r="L1025">
        <v>45669</v>
      </c>
      <c r="M1025" t="s">
        <v>394</v>
      </c>
    </row>
    <row r="1026" spans="1:13" x14ac:dyDescent="0.3">
      <c r="A1026" t="s">
        <v>3655</v>
      </c>
      <c r="B1026" t="s">
        <v>46</v>
      </c>
      <c r="C1026" t="s">
        <v>22</v>
      </c>
      <c r="D1026" t="s">
        <v>38</v>
      </c>
      <c r="E1026">
        <v>3031</v>
      </c>
      <c r="F1026" t="s">
        <v>3656</v>
      </c>
      <c r="G1026" t="s">
        <v>3657</v>
      </c>
      <c r="H1026" t="s">
        <v>3657</v>
      </c>
      <c r="I1026" t="s">
        <v>42</v>
      </c>
      <c r="J1026" t="s">
        <v>43</v>
      </c>
      <c r="K1026" t="s">
        <v>21</v>
      </c>
      <c r="L1026">
        <v>45724</v>
      </c>
      <c r="M1026" t="s">
        <v>102</v>
      </c>
    </row>
    <row r="1027" spans="1:13" x14ac:dyDescent="0.3">
      <c r="A1027" t="s">
        <v>3658</v>
      </c>
      <c r="B1027" t="s">
        <v>46</v>
      </c>
      <c r="C1027" t="s">
        <v>25</v>
      </c>
      <c r="D1027" t="s">
        <v>104</v>
      </c>
      <c r="E1027">
        <v>3037</v>
      </c>
      <c r="F1027" t="s">
        <v>3659</v>
      </c>
      <c r="G1027" t="s">
        <v>3660</v>
      </c>
      <c r="H1027" t="s">
        <v>3661</v>
      </c>
      <c r="I1027" t="s">
        <v>12</v>
      </c>
      <c r="J1027" t="s">
        <v>13</v>
      </c>
      <c r="L1027">
        <v>45697</v>
      </c>
      <c r="M1027" t="s">
        <v>189</v>
      </c>
    </row>
    <row r="1028" spans="1:13" x14ac:dyDescent="0.3">
      <c r="A1028" t="s">
        <v>3662</v>
      </c>
      <c r="B1028" t="s">
        <v>46</v>
      </c>
      <c r="C1028" t="s">
        <v>22</v>
      </c>
      <c r="D1028" t="s">
        <v>191</v>
      </c>
      <c r="E1028">
        <v>3040</v>
      </c>
      <c r="F1028" t="s">
        <v>3663</v>
      </c>
      <c r="G1028" t="s">
        <v>3664</v>
      </c>
      <c r="H1028" t="s">
        <v>3664</v>
      </c>
      <c r="I1028" t="s">
        <v>194</v>
      </c>
      <c r="J1028" t="s">
        <v>13</v>
      </c>
      <c r="L1028">
        <v>45687</v>
      </c>
      <c r="M1028" t="s">
        <v>321</v>
      </c>
    </row>
    <row r="1029" spans="1:13" x14ac:dyDescent="0.3">
      <c r="A1029" t="s">
        <v>3665</v>
      </c>
      <c r="B1029" t="s">
        <v>37</v>
      </c>
      <c r="C1029" t="s">
        <v>26</v>
      </c>
      <c r="D1029" t="s">
        <v>38</v>
      </c>
      <c r="E1029">
        <v>3031</v>
      </c>
      <c r="F1029" t="s">
        <v>3666</v>
      </c>
      <c r="G1029" t="s">
        <v>3667</v>
      </c>
      <c r="H1029" t="s">
        <v>3668</v>
      </c>
      <c r="I1029" t="s">
        <v>42</v>
      </c>
      <c r="J1029" t="s">
        <v>43</v>
      </c>
      <c r="L1029">
        <v>45728</v>
      </c>
      <c r="M1029" t="s">
        <v>420</v>
      </c>
    </row>
    <row r="1030" spans="1:13" x14ac:dyDescent="0.3">
      <c r="A1030" t="s">
        <v>3669</v>
      </c>
      <c r="B1030" t="s">
        <v>37</v>
      </c>
      <c r="C1030" t="s">
        <v>24</v>
      </c>
      <c r="D1030" t="s">
        <v>55</v>
      </c>
      <c r="E1030">
        <v>3033</v>
      </c>
      <c r="F1030" t="s">
        <v>3670</v>
      </c>
      <c r="G1030" t="s">
        <v>3671</v>
      </c>
      <c r="H1030" t="s">
        <v>3672</v>
      </c>
      <c r="I1030" t="s">
        <v>58</v>
      </c>
      <c r="J1030" t="s">
        <v>59</v>
      </c>
      <c r="L1030">
        <v>45673</v>
      </c>
      <c r="M1030" t="s">
        <v>90</v>
      </c>
    </row>
    <row r="1031" spans="1:13" x14ac:dyDescent="0.3">
      <c r="A1031" t="s">
        <v>3673</v>
      </c>
      <c r="B1031" t="s">
        <v>46</v>
      </c>
      <c r="C1031" t="s">
        <v>26</v>
      </c>
      <c r="D1031" t="s">
        <v>191</v>
      </c>
      <c r="E1031">
        <v>3040</v>
      </c>
      <c r="F1031" t="s">
        <v>3674</v>
      </c>
      <c r="G1031" t="s">
        <v>3675</v>
      </c>
      <c r="H1031" t="s">
        <v>3676</v>
      </c>
      <c r="I1031" t="s">
        <v>194</v>
      </c>
      <c r="J1031" t="s">
        <v>13</v>
      </c>
      <c r="L1031">
        <v>45740</v>
      </c>
      <c r="M1031" t="s">
        <v>160</v>
      </c>
    </row>
    <row r="1032" spans="1:13" x14ac:dyDescent="0.3">
      <c r="A1032" t="s">
        <v>3677</v>
      </c>
      <c r="B1032" t="s">
        <v>46</v>
      </c>
      <c r="C1032" t="s">
        <v>22</v>
      </c>
      <c r="D1032" t="s">
        <v>191</v>
      </c>
      <c r="E1032">
        <v>3040</v>
      </c>
      <c r="F1032" t="s">
        <v>3678</v>
      </c>
      <c r="G1032" t="s">
        <v>3679</v>
      </c>
      <c r="H1032" t="s">
        <v>3680</v>
      </c>
      <c r="I1032" t="s">
        <v>194</v>
      </c>
      <c r="J1032" t="s">
        <v>13</v>
      </c>
      <c r="L1032">
        <v>45660</v>
      </c>
      <c r="M1032" t="s">
        <v>160</v>
      </c>
    </row>
    <row r="1033" spans="1:13" x14ac:dyDescent="0.3">
      <c r="A1033" t="s">
        <v>3681</v>
      </c>
      <c r="B1033" t="s">
        <v>46</v>
      </c>
      <c r="C1033" t="s">
        <v>26</v>
      </c>
      <c r="D1033" t="s">
        <v>71</v>
      </c>
      <c r="E1033">
        <v>3034</v>
      </c>
      <c r="F1033" t="s">
        <v>3682</v>
      </c>
      <c r="G1033" t="s">
        <v>3683</v>
      </c>
      <c r="H1033" t="s">
        <v>3683</v>
      </c>
      <c r="I1033" t="s">
        <v>74</v>
      </c>
      <c r="J1033" t="s">
        <v>75</v>
      </c>
      <c r="L1033">
        <v>45741</v>
      </c>
      <c r="M1033" t="s">
        <v>212</v>
      </c>
    </row>
    <row r="1034" spans="1:13" x14ac:dyDescent="0.3">
      <c r="A1034" t="s">
        <v>3684</v>
      </c>
      <c r="B1034" t="s">
        <v>46</v>
      </c>
      <c r="C1034" t="s">
        <v>22</v>
      </c>
      <c r="D1034" t="s">
        <v>97</v>
      </c>
      <c r="E1034">
        <v>3036</v>
      </c>
      <c r="F1034" t="s">
        <v>3685</v>
      </c>
      <c r="G1034" t="s">
        <v>3686</v>
      </c>
      <c r="H1034" t="s">
        <v>3686</v>
      </c>
      <c r="I1034" t="s">
        <v>100</v>
      </c>
      <c r="J1034" t="s">
        <v>101</v>
      </c>
      <c r="K1034" t="s">
        <v>21</v>
      </c>
      <c r="L1034">
        <v>45676</v>
      </c>
      <c r="M1034" t="s">
        <v>128</v>
      </c>
    </row>
    <row r="1035" spans="1:13" x14ac:dyDescent="0.3">
      <c r="A1035" t="s">
        <v>3687</v>
      </c>
      <c r="B1035" t="s">
        <v>46</v>
      </c>
      <c r="C1035" t="s">
        <v>22</v>
      </c>
      <c r="D1035" t="s">
        <v>104</v>
      </c>
      <c r="E1035">
        <v>3037</v>
      </c>
      <c r="F1035" t="s">
        <v>3688</v>
      </c>
      <c r="G1035" t="s">
        <v>3689</v>
      </c>
      <c r="H1035" t="s">
        <v>3689</v>
      </c>
      <c r="I1035" t="s">
        <v>12</v>
      </c>
      <c r="J1035" t="s">
        <v>13</v>
      </c>
      <c r="K1035" t="s">
        <v>21</v>
      </c>
      <c r="L1035">
        <v>45721</v>
      </c>
      <c r="M1035" t="s">
        <v>107</v>
      </c>
    </row>
    <row r="1036" spans="1:13" x14ac:dyDescent="0.3">
      <c r="A1036" t="s">
        <v>3690</v>
      </c>
      <c r="B1036" t="s">
        <v>46</v>
      </c>
      <c r="C1036" t="s">
        <v>25</v>
      </c>
      <c r="D1036" t="s">
        <v>55</v>
      </c>
      <c r="E1036">
        <v>3033</v>
      </c>
      <c r="F1036" t="s">
        <v>3691</v>
      </c>
      <c r="G1036" t="s">
        <v>3692</v>
      </c>
      <c r="H1036" t="s">
        <v>3693</v>
      </c>
      <c r="I1036" t="s">
        <v>58</v>
      </c>
      <c r="J1036" t="s">
        <v>59</v>
      </c>
      <c r="L1036">
        <v>45746</v>
      </c>
      <c r="M1036" t="s">
        <v>90</v>
      </c>
    </row>
    <row r="1037" spans="1:13" x14ac:dyDescent="0.3">
      <c r="A1037" t="s">
        <v>3694</v>
      </c>
      <c r="B1037" t="s">
        <v>37</v>
      </c>
      <c r="C1037" t="s">
        <v>25</v>
      </c>
      <c r="D1037" t="s">
        <v>118</v>
      </c>
      <c r="E1037">
        <v>3038</v>
      </c>
      <c r="F1037" t="s">
        <v>3695</v>
      </c>
      <c r="G1037" t="s">
        <v>3696</v>
      </c>
      <c r="H1037" t="s">
        <v>3697</v>
      </c>
      <c r="I1037" t="s">
        <v>122</v>
      </c>
      <c r="J1037" t="s">
        <v>123</v>
      </c>
      <c r="K1037" t="s">
        <v>21</v>
      </c>
      <c r="L1037">
        <v>45714</v>
      </c>
      <c r="M1037" t="s">
        <v>200</v>
      </c>
    </row>
    <row r="1038" spans="1:13" x14ac:dyDescent="0.3">
      <c r="A1038" t="s">
        <v>3698</v>
      </c>
      <c r="B1038" t="s">
        <v>46</v>
      </c>
      <c r="C1038" t="s">
        <v>25</v>
      </c>
      <c r="D1038" t="s">
        <v>97</v>
      </c>
      <c r="E1038">
        <v>3036</v>
      </c>
      <c r="F1038" t="s">
        <v>3699</v>
      </c>
      <c r="G1038" t="s">
        <v>3700</v>
      </c>
      <c r="H1038" t="s">
        <v>3700</v>
      </c>
      <c r="I1038" t="s">
        <v>100</v>
      </c>
      <c r="J1038" t="s">
        <v>101</v>
      </c>
      <c r="K1038" t="s">
        <v>21</v>
      </c>
      <c r="L1038">
        <v>45667</v>
      </c>
      <c r="M1038" t="s">
        <v>102</v>
      </c>
    </row>
    <row r="1039" spans="1:13" x14ac:dyDescent="0.3">
      <c r="A1039" t="s">
        <v>3701</v>
      </c>
      <c r="B1039" t="s">
        <v>46</v>
      </c>
      <c r="C1039" t="s">
        <v>25</v>
      </c>
      <c r="D1039" t="s">
        <v>71</v>
      </c>
      <c r="E1039">
        <v>3034</v>
      </c>
      <c r="F1039" t="s">
        <v>3702</v>
      </c>
      <c r="G1039" t="s">
        <v>3703</v>
      </c>
      <c r="H1039" t="s">
        <v>3703</v>
      </c>
      <c r="I1039" t="s">
        <v>74</v>
      </c>
      <c r="J1039" t="s">
        <v>75</v>
      </c>
      <c r="L1039">
        <v>45663</v>
      </c>
      <c r="M1039" t="s">
        <v>165</v>
      </c>
    </row>
    <row r="1040" spans="1:13" x14ac:dyDescent="0.3">
      <c r="A1040" t="s">
        <v>3704</v>
      </c>
      <c r="B1040" t="s">
        <v>46</v>
      </c>
      <c r="C1040" t="s">
        <v>24</v>
      </c>
      <c r="D1040" t="s">
        <v>104</v>
      </c>
      <c r="E1040">
        <v>3037</v>
      </c>
      <c r="F1040" t="s">
        <v>3705</v>
      </c>
      <c r="G1040" t="s">
        <v>3706</v>
      </c>
      <c r="H1040" t="s">
        <v>3707</v>
      </c>
      <c r="I1040" t="s">
        <v>12</v>
      </c>
      <c r="J1040" t="s">
        <v>13</v>
      </c>
      <c r="L1040">
        <v>45725</v>
      </c>
      <c r="M1040" t="s">
        <v>107</v>
      </c>
    </row>
    <row r="1041" spans="1:13" x14ac:dyDescent="0.3">
      <c r="A1041" t="s">
        <v>3708</v>
      </c>
      <c r="B1041" t="s">
        <v>46</v>
      </c>
      <c r="C1041" t="s">
        <v>22</v>
      </c>
      <c r="D1041" t="s">
        <v>78</v>
      </c>
      <c r="E1041">
        <v>3035</v>
      </c>
      <c r="F1041" t="s">
        <v>3709</v>
      </c>
      <c r="G1041" t="s">
        <v>3710</v>
      </c>
      <c r="H1041" t="s">
        <v>3710</v>
      </c>
      <c r="I1041" t="s">
        <v>81</v>
      </c>
      <c r="J1041" t="s">
        <v>82</v>
      </c>
      <c r="L1041">
        <v>45707</v>
      </c>
      <c r="M1041" t="s">
        <v>95</v>
      </c>
    </row>
    <row r="1042" spans="1:13" x14ac:dyDescent="0.3">
      <c r="A1042" t="s">
        <v>3711</v>
      </c>
      <c r="B1042" t="s">
        <v>37</v>
      </c>
      <c r="C1042" t="s">
        <v>22</v>
      </c>
      <c r="D1042" t="s">
        <v>444</v>
      </c>
      <c r="E1042">
        <v>3042</v>
      </c>
      <c r="F1042" t="s">
        <v>3712</v>
      </c>
      <c r="G1042" t="s">
        <v>3713</v>
      </c>
      <c r="H1042" t="s">
        <v>3714</v>
      </c>
      <c r="I1042" t="s">
        <v>448</v>
      </c>
      <c r="J1042" t="s">
        <v>449</v>
      </c>
      <c r="K1042" t="s">
        <v>21</v>
      </c>
      <c r="L1042">
        <v>45674</v>
      </c>
      <c r="M1042" t="s">
        <v>224</v>
      </c>
    </row>
    <row r="1043" spans="1:13" x14ac:dyDescent="0.3">
      <c r="A1043" t="s">
        <v>3715</v>
      </c>
      <c r="B1043" t="s">
        <v>46</v>
      </c>
      <c r="C1043" t="s">
        <v>24</v>
      </c>
      <c r="D1043" t="s">
        <v>47</v>
      </c>
      <c r="E1043">
        <v>3032</v>
      </c>
      <c r="F1043" t="s">
        <v>3716</v>
      </c>
      <c r="G1043" t="s">
        <v>3717</v>
      </c>
      <c r="H1043" t="s">
        <v>3717</v>
      </c>
      <c r="I1043" t="s">
        <v>51</v>
      </c>
      <c r="J1043" t="s">
        <v>52</v>
      </c>
      <c r="L1043">
        <v>45696</v>
      </c>
      <c r="M1043" t="s">
        <v>261</v>
      </c>
    </row>
    <row r="1044" spans="1:13" x14ac:dyDescent="0.3">
      <c r="A1044" t="s">
        <v>3718</v>
      </c>
      <c r="B1044" t="s">
        <v>46</v>
      </c>
      <c r="C1044" t="s">
        <v>22</v>
      </c>
      <c r="D1044" t="s">
        <v>207</v>
      </c>
      <c r="E1044">
        <v>3041</v>
      </c>
      <c r="F1044" t="s">
        <v>3719</v>
      </c>
      <c r="G1044" t="s">
        <v>3720</v>
      </c>
      <c r="H1044" t="s">
        <v>3720</v>
      </c>
      <c r="I1044" t="s">
        <v>211</v>
      </c>
      <c r="J1044" t="s">
        <v>14</v>
      </c>
      <c r="K1044" t="s">
        <v>21</v>
      </c>
      <c r="L1044">
        <v>45671</v>
      </c>
      <c r="M1044" t="s">
        <v>300</v>
      </c>
    </row>
    <row r="1045" spans="1:13" x14ac:dyDescent="0.3">
      <c r="A1045" t="s">
        <v>3721</v>
      </c>
      <c r="B1045" t="s">
        <v>37</v>
      </c>
      <c r="C1045" t="s">
        <v>24</v>
      </c>
      <c r="D1045" t="s">
        <v>104</v>
      </c>
      <c r="E1045">
        <v>3037</v>
      </c>
      <c r="F1045" t="s">
        <v>712</v>
      </c>
      <c r="G1045" t="s">
        <v>3722</v>
      </c>
      <c r="H1045" t="s">
        <v>3723</v>
      </c>
      <c r="I1045" t="s">
        <v>12</v>
      </c>
      <c r="J1045" t="s">
        <v>13</v>
      </c>
      <c r="K1045" t="s">
        <v>21</v>
      </c>
      <c r="L1045">
        <v>45673</v>
      </c>
      <c r="M1045" t="s">
        <v>76</v>
      </c>
    </row>
    <row r="1046" spans="1:13" x14ac:dyDescent="0.3">
      <c r="A1046" t="s">
        <v>3724</v>
      </c>
      <c r="B1046" t="s">
        <v>46</v>
      </c>
      <c r="C1046" t="s">
        <v>24</v>
      </c>
      <c r="D1046" t="s">
        <v>47</v>
      </c>
      <c r="E1046">
        <v>3032</v>
      </c>
      <c r="F1046" t="s">
        <v>3725</v>
      </c>
      <c r="G1046" t="s">
        <v>3726</v>
      </c>
      <c r="H1046" t="s">
        <v>3726</v>
      </c>
      <c r="I1046" t="s">
        <v>51</v>
      </c>
      <c r="J1046" t="s">
        <v>52</v>
      </c>
      <c r="K1046" t="s">
        <v>21</v>
      </c>
      <c r="L1046">
        <v>45726</v>
      </c>
      <c r="M1046" t="s">
        <v>177</v>
      </c>
    </row>
    <row r="1047" spans="1:13" x14ac:dyDescent="0.3">
      <c r="A1047" t="s">
        <v>3727</v>
      </c>
      <c r="B1047" t="s">
        <v>37</v>
      </c>
      <c r="C1047" t="s">
        <v>26</v>
      </c>
      <c r="D1047" t="s">
        <v>118</v>
      </c>
      <c r="E1047">
        <v>3038</v>
      </c>
      <c r="F1047" t="s">
        <v>3728</v>
      </c>
      <c r="G1047" t="s">
        <v>3729</v>
      </c>
      <c r="H1047" t="s">
        <v>3729</v>
      </c>
      <c r="I1047" t="s">
        <v>122</v>
      </c>
      <c r="J1047" t="s">
        <v>123</v>
      </c>
      <c r="K1047" t="s">
        <v>21</v>
      </c>
      <c r="L1047">
        <v>45664</v>
      </c>
      <c r="M1047" t="s">
        <v>359</v>
      </c>
    </row>
    <row r="1048" spans="1:13" x14ac:dyDescent="0.3">
      <c r="A1048" t="s">
        <v>3730</v>
      </c>
      <c r="B1048" t="s">
        <v>37</v>
      </c>
      <c r="C1048" t="s">
        <v>26</v>
      </c>
      <c r="D1048" t="s">
        <v>191</v>
      </c>
      <c r="E1048">
        <v>3040</v>
      </c>
      <c r="F1048" t="s">
        <v>3731</v>
      </c>
      <c r="G1048" t="s">
        <v>3732</v>
      </c>
      <c r="H1048" t="s">
        <v>3733</v>
      </c>
      <c r="I1048" t="s">
        <v>194</v>
      </c>
      <c r="J1048" t="s">
        <v>13</v>
      </c>
      <c r="L1048">
        <v>45682</v>
      </c>
      <c r="M1048" t="s">
        <v>321</v>
      </c>
    </row>
    <row r="1049" spans="1:13" x14ac:dyDescent="0.3">
      <c r="A1049" t="s">
        <v>3734</v>
      </c>
      <c r="B1049" t="s">
        <v>46</v>
      </c>
      <c r="C1049" t="s">
        <v>25</v>
      </c>
      <c r="D1049" t="s">
        <v>38</v>
      </c>
      <c r="E1049">
        <v>3031</v>
      </c>
      <c r="F1049" t="s">
        <v>3735</v>
      </c>
      <c r="G1049" t="s">
        <v>3736</v>
      </c>
      <c r="H1049" t="s">
        <v>3736</v>
      </c>
      <c r="I1049" t="s">
        <v>42</v>
      </c>
      <c r="J1049" t="s">
        <v>43</v>
      </c>
      <c r="L1049">
        <v>45670</v>
      </c>
      <c r="M1049" t="s">
        <v>76</v>
      </c>
    </row>
    <row r="1050" spans="1:13" x14ac:dyDescent="0.3">
      <c r="A1050" t="s">
        <v>3737</v>
      </c>
      <c r="B1050" t="s">
        <v>46</v>
      </c>
      <c r="C1050" t="s">
        <v>22</v>
      </c>
      <c r="D1050" t="s">
        <v>71</v>
      </c>
      <c r="E1050">
        <v>3034</v>
      </c>
      <c r="F1050" t="s">
        <v>3738</v>
      </c>
      <c r="G1050" t="s">
        <v>3739</v>
      </c>
      <c r="H1050" t="s">
        <v>3740</v>
      </c>
      <c r="I1050" t="s">
        <v>74</v>
      </c>
      <c r="J1050" t="s">
        <v>75</v>
      </c>
      <c r="L1050">
        <v>45735</v>
      </c>
      <c r="M1050" t="s">
        <v>112</v>
      </c>
    </row>
    <row r="1051" spans="1:13" x14ac:dyDescent="0.3">
      <c r="A1051" t="s">
        <v>3741</v>
      </c>
      <c r="B1051" t="s">
        <v>37</v>
      </c>
      <c r="C1051" t="s">
        <v>24</v>
      </c>
      <c r="D1051" t="s">
        <v>97</v>
      </c>
      <c r="E1051">
        <v>3036</v>
      </c>
      <c r="F1051" t="s">
        <v>3742</v>
      </c>
      <c r="G1051" t="s">
        <v>3743</v>
      </c>
      <c r="H1051" t="s">
        <v>3744</v>
      </c>
      <c r="I1051" t="s">
        <v>100</v>
      </c>
      <c r="J1051" t="s">
        <v>101</v>
      </c>
      <c r="K1051" t="s">
        <v>21</v>
      </c>
      <c r="L1051">
        <v>45699</v>
      </c>
      <c r="M1051" t="s">
        <v>65</v>
      </c>
    </row>
    <row r="1052" spans="1:13" x14ac:dyDescent="0.3">
      <c r="A1052" t="s">
        <v>3745</v>
      </c>
      <c r="B1052" t="s">
        <v>37</v>
      </c>
      <c r="C1052" t="s">
        <v>22</v>
      </c>
      <c r="D1052" t="s">
        <v>47</v>
      </c>
      <c r="E1052">
        <v>3032</v>
      </c>
      <c r="F1052" t="s">
        <v>3466</v>
      </c>
      <c r="G1052" t="s">
        <v>3746</v>
      </c>
      <c r="H1052" t="s">
        <v>3746</v>
      </c>
      <c r="I1052" t="s">
        <v>51</v>
      </c>
      <c r="J1052" t="s">
        <v>52</v>
      </c>
      <c r="L1052">
        <v>45692</v>
      </c>
      <c r="M1052" t="s">
        <v>90</v>
      </c>
    </row>
    <row r="1053" spans="1:13" x14ac:dyDescent="0.3">
      <c r="A1053" t="s">
        <v>3747</v>
      </c>
      <c r="B1053" t="s">
        <v>37</v>
      </c>
      <c r="C1053" t="s">
        <v>26</v>
      </c>
      <c r="D1053" t="s">
        <v>78</v>
      </c>
      <c r="E1053">
        <v>3035</v>
      </c>
      <c r="F1053" t="s">
        <v>2348</v>
      </c>
      <c r="G1053" t="s">
        <v>3748</v>
      </c>
      <c r="H1053" t="s">
        <v>3749</v>
      </c>
      <c r="I1053" t="s">
        <v>81</v>
      </c>
      <c r="J1053" t="s">
        <v>82</v>
      </c>
      <c r="L1053">
        <v>45705</v>
      </c>
      <c r="M1053" t="s">
        <v>287</v>
      </c>
    </row>
    <row r="1054" spans="1:13" x14ac:dyDescent="0.3">
      <c r="A1054" t="s">
        <v>3750</v>
      </c>
      <c r="B1054" t="s">
        <v>37</v>
      </c>
      <c r="C1054" t="s">
        <v>22</v>
      </c>
      <c r="D1054" t="s">
        <v>104</v>
      </c>
      <c r="E1054">
        <v>3037</v>
      </c>
      <c r="F1054" t="s">
        <v>3751</v>
      </c>
      <c r="G1054" t="s">
        <v>3752</v>
      </c>
      <c r="H1054" t="s">
        <v>3753</v>
      </c>
      <c r="I1054" t="s">
        <v>12</v>
      </c>
      <c r="J1054" t="s">
        <v>13</v>
      </c>
      <c r="K1054" t="s">
        <v>21</v>
      </c>
      <c r="L1054">
        <v>45728</v>
      </c>
      <c r="M1054" t="s">
        <v>76</v>
      </c>
    </row>
    <row r="1055" spans="1:13" x14ac:dyDescent="0.3">
      <c r="A1055" t="s">
        <v>3754</v>
      </c>
      <c r="B1055" t="s">
        <v>37</v>
      </c>
      <c r="C1055" t="s">
        <v>25</v>
      </c>
      <c r="D1055" t="s">
        <v>207</v>
      </c>
      <c r="E1055">
        <v>3041</v>
      </c>
      <c r="F1055" t="s">
        <v>3755</v>
      </c>
      <c r="G1055" t="s">
        <v>3756</v>
      </c>
      <c r="H1055" t="s">
        <v>3756</v>
      </c>
      <c r="I1055" t="s">
        <v>211</v>
      </c>
      <c r="J1055" t="s">
        <v>14</v>
      </c>
      <c r="L1055">
        <v>45658</v>
      </c>
      <c r="M1055" t="s">
        <v>577</v>
      </c>
    </row>
    <row r="1056" spans="1:13" x14ac:dyDescent="0.3">
      <c r="A1056" t="s">
        <v>3757</v>
      </c>
      <c r="B1056" t="s">
        <v>37</v>
      </c>
      <c r="C1056" t="s">
        <v>24</v>
      </c>
      <c r="D1056" t="s">
        <v>444</v>
      </c>
      <c r="E1056">
        <v>3042</v>
      </c>
      <c r="F1056" t="s">
        <v>3758</v>
      </c>
      <c r="G1056" t="s">
        <v>3759</v>
      </c>
      <c r="H1056" t="s">
        <v>3759</v>
      </c>
      <c r="I1056" t="s">
        <v>448</v>
      </c>
      <c r="J1056" t="s">
        <v>449</v>
      </c>
      <c r="L1056">
        <v>45720</v>
      </c>
      <c r="M1056" t="s">
        <v>107</v>
      </c>
    </row>
    <row r="1057" spans="1:13" x14ac:dyDescent="0.3">
      <c r="A1057" t="s">
        <v>3760</v>
      </c>
      <c r="B1057" t="s">
        <v>37</v>
      </c>
      <c r="C1057" t="s">
        <v>25</v>
      </c>
      <c r="D1057" t="s">
        <v>78</v>
      </c>
      <c r="E1057">
        <v>3035</v>
      </c>
      <c r="F1057" t="s">
        <v>3761</v>
      </c>
      <c r="G1057" t="s">
        <v>3762</v>
      </c>
      <c r="H1057" t="s">
        <v>3762</v>
      </c>
      <c r="I1057" t="s">
        <v>81</v>
      </c>
      <c r="J1057" t="s">
        <v>82</v>
      </c>
      <c r="K1057" t="s">
        <v>21</v>
      </c>
      <c r="L1057">
        <v>45703</v>
      </c>
      <c r="M1057" t="s">
        <v>95</v>
      </c>
    </row>
    <row r="1058" spans="1:13" x14ac:dyDescent="0.3">
      <c r="A1058" t="s">
        <v>3763</v>
      </c>
      <c r="B1058" t="s">
        <v>37</v>
      </c>
      <c r="C1058" t="s">
        <v>25</v>
      </c>
      <c r="D1058" t="s">
        <v>136</v>
      </c>
      <c r="E1058">
        <v>3039</v>
      </c>
      <c r="F1058" t="s">
        <v>3764</v>
      </c>
      <c r="G1058" t="s">
        <v>3765</v>
      </c>
      <c r="H1058" t="s">
        <v>3765</v>
      </c>
      <c r="I1058" t="s">
        <v>15</v>
      </c>
      <c r="J1058" t="s">
        <v>14</v>
      </c>
      <c r="K1058" t="s">
        <v>21</v>
      </c>
      <c r="L1058">
        <v>45698</v>
      </c>
      <c r="M1058" t="s">
        <v>160</v>
      </c>
    </row>
    <row r="1059" spans="1:13" x14ac:dyDescent="0.3">
      <c r="A1059" t="s">
        <v>3766</v>
      </c>
      <c r="B1059" t="s">
        <v>46</v>
      </c>
      <c r="C1059" t="s">
        <v>25</v>
      </c>
      <c r="D1059" t="s">
        <v>71</v>
      </c>
      <c r="E1059">
        <v>3034</v>
      </c>
      <c r="F1059" t="s">
        <v>2603</v>
      </c>
      <c r="G1059" t="s">
        <v>3767</v>
      </c>
      <c r="H1059" t="s">
        <v>3768</v>
      </c>
      <c r="I1059" t="s">
        <v>74</v>
      </c>
      <c r="J1059" t="s">
        <v>75</v>
      </c>
      <c r="L1059">
        <v>45690</v>
      </c>
      <c r="M1059" t="s">
        <v>212</v>
      </c>
    </row>
    <row r="1060" spans="1:13" x14ac:dyDescent="0.3">
      <c r="A1060" t="s">
        <v>3769</v>
      </c>
      <c r="B1060" t="s">
        <v>46</v>
      </c>
      <c r="C1060" t="s">
        <v>25</v>
      </c>
      <c r="D1060" t="s">
        <v>444</v>
      </c>
      <c r="E1060">
        <v>3042</v>
      </c>
      <c r="F1060" t="s">
        <v>3770</v>
      </c>
      <c r="G1060" t="s">
        <v>3771</v>
      </c>
      <c r="H1060" t="s">
        <v>3772</v>
      </c>
      <c r="I1060" t="s">
        <v>448</v>
      </c>
      <c r="J1060" t="s">
        <v>449</v>
      </c>
      <c r="L1060">
        <v>45738</v>
      </c>
      <c r="M1060" t="s">
        <v>363</v>
      </c>
    </row>
    <row r="1061" spans="1:13" x14ac:dyDescent="0.3">
      <c r="A1061" t="s">
        <v>3773</v>
      </c>
      <c r="B1061" t="s">
        <v>46</v>
      </c>
      <c r="C1061" t="s">
        <v>24</v>
      </c>
      <c r="D1061" t="s">
        <v>104</v>
      </c>
      <c r="E1061">
        <v>3037</v>
      </c>
      <c r="F1061" t="s">
        <v>3774</v>
      </c>
      <c r="G1061" t="s">
        <v>3775</v>
      </c>
      <c r="H1061" t="s">
        <v>3775</v>
      </c>
      <c r="I1061" t="s">
        <v>12</v>
      </c>
      <c r="J1061" t="s">
        <v>13</v>
      </c>
      <c r="K1061" t="s">
        <v>21</v>
      </c>
      <c r="L1061">
        <v>45674</v>
      </c>
      <c r="M1061" t="s">
        <v>224</v>
      </c>
    </row>
    <row r="1062" spans="1:13" x14ac:dyDescent="0.3">
      <c r="A1062" t="s">
        <v>3776</v>
      </c>
      <c r="B1062" t="s">
        <v>37</v>
      </c>
      <c r="C1062" t="s">
        <v>25</v>
      </c>
      <c r="D1062" t="s">
        <v>78</v>
      </c>
      <c r="E1062">
        <v>3035</v>
      </c>
      <c r="F1062" t="s">
        <v>3777</v>
      </c>
      <c r="G1062" t="s">
        <v>3778</v>
      </c>
      <c r="H1062" t="s">
        <v>3779</v>
      </c>
      <c r="I1062" t="s">
        <v>81</v>
      </c>
      <c r="J1062" t="s">
        <v>82</v>
      </c>
      <c r="K1062" t="s">
        <v>21</v>
      </c>
      <c r="L1062">
        <v>45666</v>
      </c>
      <c r="M1062" t="s">
        <v>489</v>
      </c>
    </row>
    <row r="1063" spans="1:13" x14ac:dyDescent="0.3">
      <c r="A1063" t="s">
        <v>3780</v>
      </c>
      <c r="B1063" t="s">
        <v>46</v>
      </c>
      <c r="C1063" t="s">
        <v>24</v>
      </c>
      <c r="D1063" t="s">
        <v>47</v>
      </c>
      <c r="E1063">
        <v>3032</v>
      </c>
      <c r="F1063" t="s">
        <v>3781</v>
      </c>
      <c r="G1063" t="s">
        <v>3782</v>
      </c>
      <c r="H1063" t="s">
        <v>3782</v>
      </c>
      <c r="I1063" t="s">
        <v>51</v>
      </c>
      <c r="J1063" t="s">
        <v>52</v>
      </c>
      <c r="K1063" t="s">
        <v>21</v>
      </c>
      <c r="L1063">
        <v>45719</v>
      </c>
      <c r="M1063" t="s">
        <v>90</v>
      </c>
    </row>
    <row r="1064" spans="1:13" x14ac:dyDescent="0.3">
      <c r="A1064" t="s">
        <v>3783</v>
      </c>
      <c r="B1064" t="s">
        <v>46</v>
      </c>
      <c r="C1064" t="s">
        <v>25</v>
      </c>
      <c r="D1064" t="s">
        <v>191</v>
      </c>
      <c r="E1064">
        <v>3040</v>
      </c>
      <c r="F1064" t="s">
        <v>3784</v>
      </c>
      <c r="G1064" t="s">
        <v>3785</v>
      </c>
      <c r="H1064" t="s">
        <v>3785</v>
      </c>
      <c r="I1064" t="s">
        <v>194</v>
      </c>
      <c r="J1064" t="s">
        <v>13</v>
      </c>
      <c r="K1064" t="s">
        <v>21</v>
      </c>
      <c r="L1064">
        <v>45671</v>
      </c>
      <c r="M1064" t="s">
        <v>195</v>
      </c>
    </row>
    <row r="1065" spans="1:13" x14ac:dyDescent="0.3">
      <c r="A1065" t="s">
        <v>3786</v>
      </c>
      <c r="B1065" t="s">
        <v>46</v>
      </c>
      <c r="C1065" t="s">
        <v>22</v>
      </c>
      <c r="D1065" t="s">
        <v>444</v>
      </c>
      <c r="E1065">
        <v>3042</v>
      </c>
      <c r="F1065" t="s">
        <v>3787</v>
      </c>
      <c r="G1065" t="s">
        <v>3788</v>
      </c>
      <c r="H1065" t="s">
        <v>3788</v>
      </c>
      <c r="I1065" t="s">
        <v>448</v>
      </c>
      <c r="J1065" t="s">
        <v>449</v>
      </c>
      <c r="L1065">
        <v>45683</v>
      </c>
      <c r="M1065" t="s">
        <v>450</v>
      </c>
    </row>
    <row r="1066" spans="1:13" x14ac:dyDescent="0.3">
      <c r="A1066" t="s">
        <v>3789</v>
      </c>
      <c r="B1066" t="s">
        <v>37</v>
      </c>
      <c r="C1066" t="s">
        <v>22</v>
      </c>
      <c r="D1066" t="s">
        <v>71</v>
      </c>
      <c r="E1066">
        <v>3034</v>
      </c>
      <c r="F1066" t="s">
        <v>3790</v>
      </c>
      <c r="G1066" t="s">
        <v>3791</v>
      </c>
      <c r="H1066" t="s">
        <v>3791</v>
      </c>
      <c r="I1066" t="s">
        <v>74</v>
      </c>
      <c r="J1066" t="s">
        <v>75</v>
      </c>
      <c r="L1066">
        <v>45661</v>
      </c>
      <c r="M1066" t="s">
        <v>165</v>
      </c>
    </row>
    <row r="1067" spans="1:13" x14ac:dyDescent="0.3">
      <c r="A1067" t="s">
        <v>3792</v>
      </c>
      <c r="B1067" t="s">
        <v>37</v>
      </c>
      <c r="C1067" t="s">
        <v>24</v>
      </c>
      <c r="D1067" t="s">
        <v>97</v>
      </c>
      <c r="E1067">
        <v>3036</v>
      </c>
      <c r="F1067" t="s">
        <v>3793</v>
      </c>
      <c r="G1067" t="s">
        <v>3794</v>
      </c>
      <c r="H1067" t="s">
        <v>3794</v>
      </c>
      <c r="I1067" t="s">
        <v>100</v>
      </c>
      <c r="J1067" t="s">
        <v>101</v>
      </c>
      <c r="L1067">
        <v>45666</v>
      </c>
      <c r="M1067" t="s">
        <v>165</v>
      </c>
    </row>
    <row r="1068" spans="1:13" x14ac:dyDescent="0.3">
      <c r="A1068" t="s">
        <v>3795</v>
      </c>
      <c r="B1068" t="s">
        <v>37</v>
      </c>
      <c r="C1068" t="s">
        <v>26</v>
      </c>
      <c r="D1068" t="s">
        <v>207</v>
      </c>
      <c r="E1068">
        <v>3041</v>
      </c>
      <c r="F1068" t="s">
        <v>3796</v>
      </c>
      <c r="G1068" t="s">
        <v>3797</v>
      </c>
      <c r="H1068" t="s">
        <v>3797</v>
      </c>
      <c r="I1068" t="s">
        <v>211</v>
      </c>
      <c r="J1068" t="s">
        <v>14</v>
      </c>
      <c r="L1068">
        <v>45703</v>
      </c>
      <c r="M1068" t="s">
        <v>300</v>
      </c>
    </row>
    <row r="1069" spans="1:13" x14ac:dyDescent="0.3">
      <c r="A1069" t="s">
        <v>3798</v>
      </c>
      <c r="B1069" t="s">
        <v>46</v>
      </c>
      <c r="C1069" t="s">
        <v>22</v>
      </c>
      <c r="D1069" t="s">
        <v>444</v>
      </c>
      <c r="E1069">
        <v>3042</v>
      </c>
      <c r="F1069" t="s">
        <v>3799</v>
      </c>
      <c r="G1069" t="s">
        <v>3800</v>
      </c>
      <c r="H1069" t="s">
        <v>3801</v>
      </c>
      <c r="I1069" t="s">
        <v>448</v>
      </c>
      <c r="J1069" t="s">
        <v>449</v>
      </c>
      <c r="K1069" t="s">
        <v>21</v>
      </c>
      <c r="L1069">
        <v>45698</v>
      </c>
      <c r="M1069" t="s">
        <v>107</v>
      </c>
    </row>
    <row r="1070" spans="1:13" x14ac:dyDescent="0.3">
      <c r="A1070" t="s">
        <v>3802</v>
      </c>
      <c r="B1070" t="s">
        <v>46</v>
      </c>
      <c r="C1070" t="s">
        <v>26</v>
      </c>
      <c r="D1070" t="s">
        <v>191</v>
      </c>
      <c r="E1070">
        <v>3040</v>
      </c>
      <c r="F1070" t="s">
        <v>3803</v>
      </c>
      <c r="G1070" t="s">
        <v>3804</v>
      </c>
      <c r="H1070" t="s">
        <v>3804</v>
      </c>
      <c r="I1070" t="s">
        <v>194</v>
      </c>
      <c r="J1070" t="s">
        <v>13</v>
      </c>
      <c r="L1070">
        <v>45736</v>
      </c>
      <c r="M1070" t="s">
        <v>224</v>
      </c>
    </row>
    <row r="1071" spans="1:13" x14ac:dyDescent="0.3">
      <c r="A1071" t="s">
        <v>3805</v>
      </c>
      <c r="B1071" t="s">
        <v>37</v>
      </c>
      <c r="C1071" t="s">
        <v>25</v>
      </c>
      <c r="D1071" t="s">
        <v>118</v>
      </c>
      <c r="E1071">
        <v>3038</v>
      </c>
      <c r="F1071" t="s">
        <v>3806</v>
      </c>
      <c r="G1071" t="s">
        <v>3807</v>
      </c>
      <c r="H1071" t="s">
        <v>3807</v>
      </c>
      <c r="I1071" t="s">
        <v>122</v>
      </c>
      <c r="J1071" t="s">
        <v>123</v>
      </c>
      <c r="L1071">
        <v>45687</v>
      </c>
      <c r="M1071" t="s">
        <v>200</v>
      </c>
    </row>
    <row r="1072" spans="1:13" x14ac:dyDescent="0.3">
      <c r="A1072" t="s">
        <v>3808</v>
      </c>
      <c r="B1072" t="s">
        <v>37</v>
      </c>
      <c r="C1072" t="s">
        <v>24</v>
      </c>
      <c r="D1072" t="s">
        <v>444</v>
      </c>
      <c r="E1072">
        <v>3042</v>
      </c>
      <c r="F1072" t="s">
        <v>3809</v>
      </c>
      <c r="G1072" t="s">
        <v>3810</v>
      </c>
      <c r="H1072" t="s">
        <v>3811</v>
      </c>
      <c r="I1072" t="s">
        <v>448</v>
      </c>
      <c r="J1072" t="s">
        <v>449</v>
      </c>
      <c r="L1072">
        <v>45673</v>
      </c>
      <c r="M1072" t="s">
        <v>450</v>
      </c>
    </row>
    <row r="1073" spans="1:13" x14ac:dyDescent="0.3">
      <c r="A1073" t="s">
        <v>3812</v>
      </c>
      <c r="B1073" t="s">
        <v>46</v>
      </c>
      <c r="C1073" t="s">
        <v>25</v>
      </c>
      <c r="D1073" t="s">
        <v>207</v>
      </c>
      <c r="E1073">
        <v>3041</v>
      </c>
      <c r="F1073" t="s">
        <v>3813</v>
      </c>
      <c r="G1073" t="s">
        <v>3814</v>
      </c>
      <c r="H1073" t="s">
        <v>3814</v>
      </c>
      <c r="I1073" t="s">
        <v>211</v>
      </c>
      <c r="J1073" t="s">
        <v>14</v>
      </c>
      <c r="L1073">
        <v>45688</v>
      </c>
      <c r="M1073" t="s">
        <v>363</v>
      </c>
    </row>
    <row r="1074" spans="1:13" x14ac:dyDescent="0.3">
      <c r="A1074" t="s">
        <v>3815</v>
      </c>
      <c r="B1074" t="s">
        <v>46</v>
      </c>
      <c r="C1074" t="s">
        <v>26</v>
      </c>
      <c r="D1074" t="s">
        <v>136</v>
      </c>
      <c r="E1074">
        <v>3039</v>
      </c>
      <c r="F1074" t="s">
        <v>3816</v>
      </c>
      <c r="G1074" t="s">
        <v>3817</v>
      </c>
      <c r="H1074" t="s">
        <v>3818</v>
      </c>
      <c r="I1074" t="s">
        <v>15</v>
      </c>
      <c r="J1074" t="s">
        <v>14</v>
      </c>
      <c r="K1074" t="s">
        <v>21</v>
      </c>
      <c r="L1074">
        <v>45687</v>
      </c>
      <c r="M1074" t="s">
        <v>987</v>
      </c>
    </row>
    <row r="1075" spans="1:13" x14ac:dyDescent="0.3">
      <c r="A1075" t="s">
        <v>3819</v>
      </c>
      <c r="B1075" t="s">
        <v>37</v>
      </c>
      <c r="C1075" t="s">
        <v>25</v>
      </c>
      <c r="D1075" t="s">
        <v>97</v>
      </c>
      <c r="E1075">
        <v>3036</v>
      </c>
      <c r="F1075" t="s">
        <v>3820</v>
      </c>
      <c r="G1075" t="s">
        <v>3821</v>
      </c>
      <c r="H1075" t="s">
        <v>3822</v>
      </c>
      <c r="I1075" t="s">
        <v>100</v>
      </c>
      <c r="J1075" t="s">
        <v>101</v>
      </c>
      <c r="K1075" t="s">
        <v>21</v>
      </c>
      <c r="L1075">
        <v>45673</v>
      </c>
      <c r="M1075" t="s">
        <v>65</v>
      </c>
    </row>
    <row r="1076" spans="1:13" x14ac:dyDescent="0.3">
      <c r="A1076" t="s">
        <v>3823</v>
      </c>
      <c r="B1076" t="s">
        <v>46</v>
      </c>
      <c r="C1076" t="s">
        <v>25</v>
      </c>
      <c r="D1076" t="s">
        <v>78</v>
      </c>
      <c r="E1076">
        <v>3035</v>
      </c>
      <c r="F1076" t="s">
        <v>3824</v>
      </c>
      <c r="G1076" t="s">
        <v>3825</v>
      </c>
      <c r="H1076" t="s">
        <v>3825</v>
      </c>
      <c r="I1076" t="s">
        <v>81</v>
      </c>
      <c r="J1076" t="s">
        <v>82</v>
      </c>
      <c r="L1076">
        <v>45670</v>
      </c>
      <c r="M1076" t="s">
        <v>95</v>
      </c>
    </row>
    <row r="1077" spans="1:13" x14ac:dyDescent="0.3">
      <c r="A1077" t="s">
        <v>3826</v>
      </c>
      <c r="B1077" t="s">
        <v>37</v>
      </c>
      <c r="C1077" t="s">
        <v>26</v>
      </c>
      <c r="D1077" t="s">
        <v>97</v>
      </c>
      <c r="E1077">
        <v>3036</v>
      </c>
      <c r="F1077" t="s">
        <v>3827</v>
      </c>
      <c r="G1077" t="s">
        <v>3828</v>
      </c>
      <c r="H1077" t="s">
        <v>3828</v>
      </c>
      <c r="I1077" t="s">
        <v>100</v>
      </c>
      <c r="J1077" t="s">
        <v>101</v>
      </c>
      <c r="L1077">
        <v>45679</v>
      </c>
      <c r="M1077" t="s">
        <v>102</v>
      </c>
    </row>
    <row r="1078" spans="1:13" x14ac:dyDescent="0.3">
      <c r="A1078" t="s">
        <v>3829</v>
      </c>
      <c r="B1078" t="s">
        <v>46</v>
      </c>
      <c r="C1078" t="s">
        <v>22</v>
      </c>
      <c r="D1078" t="s">
        <v>207</v>
      </c>
      <c r="E1078">
        <v>3041</v>
      </c>
      <c r="F1078" t="s">
        <v>3830</v>
      </c>
      <c r="G1078" t="s">
        <v>3831</v>
      </c>
      <c r="H1078" t="s">
        <v>3831</v>
      </c>
      <c r="I1078" t="s">
        <v>211</v>
      </c>
      <c r="J1078" t="s">
        <v>14</v>
      </c>
      <c r="K1078" t="s">
        <v>21</v>
      </c>
      <c r="L1078">
        <v>45671</v>
      </c>
      <c r="M1078" t="s">
        <v>212</v>
      </c>
    </row>
    <row r="1079" spans="1:13" x14ac:dyDescent="0.3">
      <c r="A1079" t="s">
        <v>3832</v>
      </c>
      <c r="B1079" t="s">
        <v>37</v>
      </c>
      <c r="C1079" t="s">
        <v>24</v>
      </c>
      <c r="D1079" t="s">
        <v>207</v>
      </c>
      <c r="E1079">
        <v>3041</v>
      </c>
      <c r="F1079" t="s">
        <v>3833</v>
      </c>
      <c r="G1079" t="s">
        <v>3834</v>
      </c>
      <c r="H1079" t="s">
        <v>3835</v>
      </c>
      <c r="I1079" t="s">
        <v>211</v>
      </c>
      <c r="J1079" t="s">
        <v>14</v>
      </c>
      <c r="L1079">
        <v>45685</v>
      </c>
      <c r="M1079" t="s">
        <v>128</v>
      </c>
    </row>
    <row r="1080" spans="1:13" x14ac:dyDescent="0.3">
      <c r="A1080" t="s">
        <v>3836</v>
      </c>
      <c r="B1080" t="s">
        <v>37</v>
      </c>
      <c r="C1080" t="s">
        <v>26</v>
      </c>
      <c r="D1080" t="s">
        <v>97</v>
      </c>
      <c r="E1080">
        <v>3036</v>
      </c>
      <c r="F1080" t="s">
        <v>3837</v>
      </c>
      <c r="G1080" t="s">
        <v>3838</v>
      </c>
      <c r="H1080" t="s">
        <v>3839</v>
      </c>
      <c r="I1080" t="s">
        <v>100</v>
      </c>
      <c r="J1080" t="s">
        <v>101</v>
      </c>
      <c r="K1080" t="s">
        <v>21</v>
      </c>
      <c r="L1080">
        <v>45691</v>
      </c>
      <c r="M1080" t="s">
        <v>165</v>
      </c>
    </row>
    <row r="1081" spans="1:13" x14ac:dyDescent="0.3">
      <c r="A1081" t="s">
        <v>3840</v>
      </c>
      <c r="B1081" t="s">
        <v>37</v>
      </c>
      <c r="C1081" t="s">
        <v>24</v>
      </c>
      <c r="D1081" t="s">
        <v>191</v>
      </c>
      <c r="E1081">
        <v>3040</v>
      </c>
      <c r="F1081" t="s">
        <v>471</v>
      </c>
      <c r="G1081" t="s">
        <v>3841</v>
      </c>
      <c r="H1081" t="s">
        <v>3842</v>
      </c>
      <c r="I1081" t="s">
        <v>194</v>
      </c>
      <c r="J1081" t="s">
        <v>13</v>
      </c>
      <c r="K1081" t="s">
        <v>21</v>
      </c>
      <c r="L1081">
        <v>45659</v>
      </c>
      <c r="M1081" t="s">
        <v>160</v>
      </c>
    </row>
    <row r="1082" spans="1:13" x14ac:dyDescent="0.3">
      <c r="A1082" t="s">
        <v>3843</v>
      </c>
      <c r="B1082" t="s">
        <v>46</v>
      </c>
      <c r="C1082" t="s">
        <v>26</v>
      </c>
      <c r="D1082" t="s">
        <v>207</v>
      </c>
      <c r="E1082">
        <v>3041</v>
      </c>
      <c r="F1082" t="s">
        <v>3844</v>
      </c>
      <c r="G1082" t="s">
        <v>3845</v>
      </c>
      <c r="H1082" t="s">
        <v>3846</v>
      </c>
      <c r="I1082" t="s">
        <v>211</v>
      </c>
      <c r="J1082" t="s">
        <v>14</v>
      </c>
      <c r="K1082" t="s">
        <v>21</v>
      </c>
      <c r="L1082">
        <v>45733</v>
      </c>
      <c r="M1082" t="s">
        <v>394</v>
      </c>
    </row>
    <row r="1083" spans="1:13" x14ac:dyDescent="0.3">
      <c r="A1083" t="s">
        <v>3847</v>
      </c>
      <c r="B1083" t="s">
        <v>46</v>
      </c>
      <c r="C1083" t="s">
        <v>24</v>
      </c>
      <c r="D1083" t="s">
        <v>104</v>
      </c>
      <c r="E1083">
        <v>3037</v>
      </c>
      <c r="F1083" t="s">
        <v>3848</v>
      </c>
      <c r="G1083" t="s">
        <v>3849</v>
      </c>
      <c r="H1083" t="s">
        <v>3850</v>
      </c>
      <c r="I1083" t="s">
        <v>12</v>
      </c>
      <c r="J1083" t="s">
        <v>13</v>
      </c>
      <c r="K1083" t="s">
        <v>21</v>
      </c>
      <c r="L1083">
        <v>45672</v>
      </c>
      <c r="M1083" t="s">
        <v>76</v>
      </c>
    </row>
    <row r="1084" spans="1:13" x14ac:dyDescent="0.3">
      <c r="A1084" t="s">
        <v>3851</v>
      </c>
      <c r="B1084" t="s">
        <v>37</v>
      </c>
      <c r="C1084" t="s">
        <v>25</v>
      </c>
      <c r="D1084" t="s">
        <v>207</v>
      </c>
      <c r="E1084">
        <v>3041</v>
      </c>
      <c r="F1084" t="s">
        <v>3852</v>
      </c>
      <c r="G1084" t="s">
        <v>3853</v>
      </c>
      <c r="H1084" t="s">
        <v>3854</v>
      </c>
      <c r="I1084" t="s">
        <v>211</v>
      </c>
      <c r="J1084" t="s">
        <v>14</v>
      </c>
      <c r="L1084">
        <v>45742</v>
      </c>
      <c r="M1084" t="s">
        <v>212</v>
      </c>
    </row>
    <row r="1085" spans="1:13" x14ac:dyDescent="0.3">
      <c r="A1085" t="s">
        <v>3855</v>
      </c>
      <c r="B1085" t="s">
        <v>46</v>
      </c>
      <c r="C1085" t="s">
        <v>22</v>
      </c>
      <c r="D1085" t="s">
        <v>118</v>
      </c>
      <c r="E1085">
        <v>3038</v>
      </c>
      <c r="F1085" t="s">
        <v>3856</v>
      </c>
      <c r="G1085" t="s">
        <v>3857</v>
      </c>
      <c r="H1085" t="s">
        <v>3857</v>
      </c>
      <c r="I1085" t="s">
        <v>122</v>
      </c>
      <c r="J1085" t="s">
        <v>123</v>
      </c>
      <c r="K1085" t="s">
        <v>21</v>
      </c>
      <c r="L1085">
        <v>45675</v>
      </c>
      <c r="M1085" t="s">
        <v>389</v>
      </c>
    </row>
    <row r="1086" spans="1:13" x14ac:dyDescent="0.3">
      <c r="A1086" t="s">
        <v>3858</v>
      </c>
      <c r="B1086" t="s">
        <v>37</v>
      </c>
      <c r="C1086" t="s">
        <v>24</v>
      </c>
      <c r="D1086" t="s">
        <v>207</v>
      </c>
      <c r="E1086">
        <v>3041</v>
      </c>
      <c r="F1086" t="s">
        <v>3859</v>
      </c>
      <c r="G1086" t="s">
        <v>3860</v>
      </c>
      <c r="H1086" t="s">
        <v>3860</v>
      </c>
      <c r="I1086" t="s">
        <v>211</v>
      </c>
      <c r="J1086" t="s">
        <v>14</v>
      </c>
      <c r="K1086" t="s">
        <v>21</v>
      </c>
      <c r="L1086">
        <v>45709</v>
      </c>
      <c r="M1086" t="s">
        <v>212</v>
      </c>
    </row>
    <row r="1087" spans="1:13" x14ac:dyDescent="0.3">
      <c r="A1087" t="s">
        <v>3861</v>
      </c>
      <c r="B1087" t="s">
        <v>37</v>
      </c>
      <c r="C1087" t="s">
        <v>24</v>
      </c>
      <c r="D1087" t="s">
        <v>207</v>
      </c>
      <c r="E1087">
        <v>3041</v>
      </c>
      <c r="F1087" t="s">
        <v>3862</v>
      </c>
      <c r="G1087" t="s">
        <v>3863</v>
      </c>
      <c r="H1087" t="s">
        <v>3864</v>
      </c>
      <c r="I1087" t="s">
        <v>211</v>
      </c>
      <c r="J1087" t="s">
        <v>14</v>
      </c>
      <c r="L1087">
        <v>45691</v>
      </c>
      <c r="M1087" t="s">
        <v>212</v>
      </c>
    </row>
    <row r="1088" spans="1:13" x14ac:dyDescent="0.3">
      <c r="A1088" t="s">
        <v>3865</v>
      </c>
      <c r="B1088" t="s">
        <v>46</v>
      </c>
      <c r="C1088" t="s">
        <v>26</v>
      </c>
      <c r="D1088" t="s">
        <v>97</v>
      </c>
      <c r="E1088">
        <v>3036</v>
      </c>
      <c r="F1088" t="s">
        <v>277</v>
      </c>
      <c r="G1088" t="s">
        <v>3866</v>
      </c>
      <c r="H1088" t="s">
        <v>3866</v>
      </c>
      <c r="I1088" t="s">
        <v>100</v>
      </c>
      <c r="J1088" t="s">
        <v>101</v>
      </c>
      <c r="L1088">
        <v>45695</v>
      </c>
      <c r="M1088" t="s">
        <v>292</v>
      </c>
    </row>
    <row r="1089" spans="1:13" x14ac:dyDescent="0.3">
      <c r="A1089" t="s">
        <v>3867</v>
      </c>
      <c r="B1089" t="s">
        <v>37</v>
      </c>
      <c r="C1089" t="s">
        <v>25</v>
      </c>
      <c r="D1089" t="s">
        <v>97</v>
      </c>
      <c r="E1089">
        <v>3036</v>
      </c>
      <c r="F1089" t="s">
        <v>3868</v>
      </c>
      <c r="G1089" t="s">
        <v>3869</v>
      </c>
      <c r="H1089" t="s">
        <v>3870</v>
      </c>
      <c r="I1089" t="s">
        <v>100</v>
      </c>
      <c r="J1089" t="s">
        <v>101</v>
      </c>
      <c r="L1089">
        <v>45739</v>
      </c>
      <c r="M1089" t="s">
        <v>128</v>
      </c>
    </row>
    <row r="1090" spans="1:13" x14ac:dyDescent="0.3">
      <c r="A1090" t="s">
        <v>3871</v>
      </c>
      <c r="B1090" t="s">
        <v>37</v>
      </c>
      <c r="C1090" t="s">
        <v>24</v>
      </c>
      <c r="D1090" t="s">
        <v>55</v>
      </c>
      <c r="E1090">
        <v>3033</v>
      </c>
      <c r="F1090" t="s">
        <v>3872</v>
      </c>
      <c r="G1090" t="s">
        <v>3873</v>
      </c>
      <c r="H1090" t="s">
        <v>3874</v>
      </c>
      <c r="I1090" t="s">
        <v>58</v>
      </c>
      <c r="J1090" t="s">
        <v>59</v>
      </c>
      <c r="L1090">
        <v>45694</v>
      </c>
      <c r="M1090" t="s">
        <v>95</v>
      </c>
    </row>
    <row r="1091" spans="1:13" x14ac:dyDescent="0.3">
      <c r="A1091" t="s">
        <v>3875</v>
      </c>
      <c r="B1091" t="s">
        <v>37</v>
      </c>
      <c r="C1091" t="s">
        <v>26</v>
      </c>
      <c r="D1091" t="s">
        <v>118</v>
      </c>
      <c r="E1091">
        <v>3038</v>
      </c>
      <c r="F1091" t="s">
        <v>3876</v>
      </c>
      <c r="G1091" t="s">
        <v>3877</v>
      </c>
      <c r="H1091" t="s">
        <v>3877</v>
      </c>
      <c r="I1091" t="s">
        <v>122</v>
      </c>
      <c r="J1091" t="s">
        <v>123</v>
      </c>
      <c r="L1091">
        <v>45684</v>
      </c>
      <c r="M1091" t="s">
        <v>95</v>
      </c>
    </row>
    <row r="1092" spans="1:13" x14ac:dyDescent="0.3">
      <c r="A1092" t="s">
        <v>3878</v>
      </c>
      <c r="B1092" t="s">
        <v>46</v>
      </c>
      <c r="C1092" t="s">
        <v>26</v>
      </c>
      <c r="D1092" t="s">
        <v>55</v>
      </c>
      <c r="E1092">
        <v>3033</v>
      </c>
      <c r="F1092" t="s">
        <v>3879</v>
      </c>
      <c r="G1092" t="s">
        <v>3880</v>
      </c>
      <c r="H1092" t="s">
        <v>3881</v>
      </c>
      <c r="I1092" t="s">
        <v>58</v>
      </c>
      <c r="J1092" t="s">
        <v>59</v>
      </c>
      <c r="L1092">
        <v>45679</v>
      </c>
      <c r="M1092" t="s">
        <v>60</v>
      </c>
    </row>
    <row r="1093" spans="1:13" x14ac:dyDescent="0.3">
      <c r="A1093" t="s">
        <v>3882</v>
      </c>
      <c r="B1093" t="s">
        <v>46</v>
      </c>
      <c r="C1093" t="s">
        <v>26</v>
      </c>
      <c r="D1093" t="s">
        <v>136</v>
      </c>
      <c r="E1093">
        <v>3039</v>
      </c>
      <c r="F1093" t="s">
        <v>3883</v>
      </c>
      <c r="G1093" t="s">
        <v>3884</v>
      </c>
      <c r="H1093" t="s">
        <v>3884</v>
      </c>
      <c r="I1093" t="s">
        <v>15</v>
      </c>
      <c r="J1093" t="s">
        <v>14</v>
      </c>
      <c r="K1093" t="s">
        <v>21</v>
      </c>
      <c r="L1093">
        <v>45719</v>
      </c>
      <c r="M1093" t="s">
        <v>577</v>
      </c>
    </row>
    <row r="1094" spans="1:13" x14ac:dyDescent="0.3">
      <c r="A1094" t="s">
        <v>3885</v>
      </c>
      <c r="B1094" t="s">
        <v>37</v>
      </c>
      <c r="C1094" t="s">
        <v>24</v>
      </c>
      <c r="D1094" t="s">
        <v>104</v>
      </c>
      <c r="E1094">
        <v>3037</v>
      </c>
      <c r="F1094" t="s">
        <v>3886</v>
      </c>
      <c r="G1094" t="s">
        <v>3887</v>
      </c>
      <c r="H1094" t="s">
        <v>3888</v>
      </c>
      <c r="I1094" t="s">
        <v>12</v>
      </c>
      <c r="J1094" t="s">
        <v>13</v>
      </c>
      <c r="K1094" t="s">
        <v>21</v>
      </c>
      <c r="L1094">
        <v>45702</v>
      </c>
      <c r="M1094" t="s">
        <v>76</v>
      </c>
    </row>
    <row r="1095" spans="1:13" x14ac:dyDescent="0.3">
      <c r="A1095" t="s">
        <v>3889</v>
      </c>
      <c r="B1095" t="s">
        <v>46</v>
      </c>
      <c r="C1095" t="s">
        <v>24</v>
      </c>
      <c r="D1095" t="s">
        <v>207</v>
      </c>
      <c r="E1095">
        <v>3041</v>
      </c>
      <c r="F1095" t="s">
        <v>3890</v>
      </c>
      <c r="G1095" t="s">
        <v>3891</v>
      </c>
      <c r="H1095" t="s">
        <v>3892</v>
      </c>
      <c r="I1095" t="s">
        <v>211</v>
      </c>
      <c r="J1095" t="s">
        <v>14</v>
      </c>
      <c r="K1095" t="s">
        <v>21</v>
      </c>
      <c r="L1095">
        <v>45712</v>
      </c>
      <c r="M1095" t="s">
        <v>363</v>
      </c>
    </row>
    <row r="1096" spans="1:13" x14ac:dyDescent="0.3">
      <c r="A1096" t="s">
        <v>3893</v>
      </c>
      <c r="B1096" t="s">
        <v>37</v>
      </c>
      <c r="C1096" t="s">
        <v>22</v>
      </c>
      <c r="D1096" t="s">
        <v>191</v>
      </c>
      <c r="E1096">
        <v>3040</v>
      </c>
      <c r="F1096" t="s">
        <v>3894</v>
      </c>
      <c r="G1096" t="s">
        <v>3895</v>
      </c>
      <c r="H1096" t="s">
        <v>3895</v>
      </c>
      <c r="I1096" t="s">
        <v>194</v>
      </c>
      <c r="J1096" t="s">
        <v>13</v>
      </c>
      <c r="L1096">
        <v>45718</v>
      </c>
      <c r="M1096" t="s">
        <v>160</v>
      </c>
    </row>
    <row r="1097" spans="1:13" x14ac:dyDescent="0.3">
      <c r="A1097" t="s">
        <v>3896</v>
      </c>
      <c r="B1097" t="s">
        <v>37</v>
      </c>
      <c r="C1097" t="s">
        <v>22</v>
      </c>
      <c r="D1097" t="s">
        <v>71</v>
      </c>
      <c r="E1097">
        <v>3034</v>
      </c>
      <c r="F1097" t="s">
        <v>3897</v>
      </c>
      <c r="G1097" t="s">
        <v>3898</v>
      </c>
      <c r="H1097" t="s">
        <v>3899</v>
      </c>
      <c r="I1097" t="s">
        <v>74</v>
      </c>
      <c r="J1097" t="s">
        <v>75</v>
      </c>
      <c r="K1097" t="s">
        <v>21</v>
      </c>
      <c r="L1097">
        <v>45710</v>
      </c>
      <c r="M1097" t="s">
        <v>112</v>
      </c>
    </row>
    <row r="1098" spans="1:13" x14ac:dyDescent="0.3">
      <c r="A1098" t="s">
        <v>3900</v>
      </c>
      <c r="B1098" t="s">
        <v>37</v>
      </c>
      <c r="C1098" t="s">
        <v>25</v>
      </c>
      <c r="D1098" t="s">
        <v>104</v>
      </c>
      <c r="E1098">
        <v>3037</v>
      </c>
      <c r="F1098" t="s">
        <v>3901</v>
      </c>
      <c r="G1098" t="s">
        <v>3902</v>
      </c>
      <c r="H1098" t="s">
        <v>3902</v>
      </c>
      <c r="I1098" t="s">
        <v>12</v>
      </c>
      <c r="J1098" t="s">
        <v>13</v>
      </c>
      <c r="L1098">
        <v>45732</v>
      </c>
      <c r="M1098" t="s">
        <v>287</v>
      </c>
    </row>
    <row r="1099" spans="1:13" x14ac:dyDescent="0.3">
      <c r="A1099" t="s">
        <v>3903</v>
      </c>
      <c r="B1099" t="s">
        <v>46</v>
      </c>
      <c r="C1099" t="s">
        <v>26</v>
      </c>
      <c r="D1099" t="s">
        <v>47</v>
      </c>
      <c r="E1099">
        <v>3032</v>
      </c>
      <c r="F1099" t="s">
        <v>3904</v>
      </c>
      <c r="G1099" t="s">
        <v>3905</v>
      </c>
      <c r="H1099" t="s">
        <v>3906</v>
      </c>
      <c r="I1099" t="s">
        <v>51</v>
      </c>
      <c r="J1099" t="s">
        <v>52</v>
      </c>
      <c r="K1099" t="s">
        <v>21</v>
      </c>
      <c r="L1099">
        <v>45722</v>
      </c>
      <c r="M1099" t="s">
        <v>476</v>
      </c>
    </row>
    <row r="1100" spans="1:13" x14ac:dyDescent="0.3">
      <c r="A1100" t="s">
        <v>3907</v>
      </c>
      <c r="B1100" t="s">
        <v>37</v>
      </c>
      <c r="C1100" t="s">
        <v>24</v>
      </c>
      <c r="D1100" t="s">
        <v>55</v>
      </c>
      <c r="E1100">
        <v>3033</v>
      </c>
      <c r="F1100" t="s">
        <v>3908</v>
      </c>
      <c r="G1100" t="s">
        <v>3909</v>
      </c>
      <c r="H1100" t="s">
        <v>3910</v>
      </c>
      <c r="I1100" t="s">
        <v>58</v>
      </c>
      <c r="J1100" t="s">
        <v>59</v>
      </c>
      <c r="K1100" t="s">
        <v>21</v>
      </c>
      <c r="L1100">
        <v>45673</v>
      </c>
      <c r="M1100" t="s">
        <v>86</v>
      </c>
    </row>
    <row r="1101" spans="1:13" x14ac:dyDescent="0.3">
      <c r="A1101" t="s">
        <v>3911</v>
      </c>
      <c r="B1101" t="s">
        <v>37</v>
      </c>
      <c r="C1101" t="s">
        <v>22</v>
      </c>
      <c r="D1101" t="s">
        <v>55</v>
      </c>
      <c r="E1101">
        <v>3033</v>
      </c>
      <c r="F1101" t="s">
        <v>3912</v>
      </c>
      <c r="G1101" t="s">
        <v>3913</v>
      </c>
      <c r="H1101" t="s">
        <v>3913</v>
      </c>
      <c r="I1101" t="s">
        <v>58</v>
      </c>
      <c r="J1101" t="s">
        <v>59</v>
      </c>
      <c r="L1101">
        <v>45698</v>
      </c>
      <c r="M1101" t="s">
        <v>90</v>
      </c>
    </row>
    <row r="1102" spans="1:13" x14ac:dyDescent="0.3">
      <c r="A1102" t="s">
        <v>3914</v>
      </c>
      <c r="B1102" t="s">
        <v>37</v>
      </c>
      <c r="C1102" t="s">
        <v>25</v>
      </c>
      <c r="D1102" t="s">
        <v>191</v>
      </c>
      <c r="E1102">
        <v>3040</v>
      </c>
      <c r="F1102" t="s">
        <v>3915</v>
      </c>
      <c r="G1102" t="s">
        <v>3916</v>
      </c>
      <c r="H1102" t="s">
        <v>3917</v>
      </c>
      <c r="I1102" t="s">
        <v>194</v>
      </c>
      <c r="J1102" t="s">
        <v>13</v>
      </c>
      <c r="K1102" t="s">
        <v>21</v>
      </c>
      <c r="L1102">
        <v>45660</v>
      </c>
      <c r="M1102" t="s">
        <v>195</v>
      </c>
    </row>
    <row r="1103" spans="1:13" x14ac:dyDescent="0.3">
      <c r="A1103" t="s">
        <v>3918</v>
      </c>
      <c r="B1103" t="s">
        <v>37</v>
      </c>
      <c r="C1103" t="s">
        <v>22</v>
      </c>
      <c r="D1103" t="s">
        <v>191</v>
      </c>
      <c r="E1103">
        <v>3040</v>
      </c>
      <c r="F1103" t="s">
        <v>3919</v>
      </c>
      <c r="G1103" t="s">
        <v>3920</v>
      </c>
      <c r="H1103" t="s">
        <v>3921</v>
      </c>
      <c r="I1103" t="s">
        <v>194</v>
      </c>
      <c r="J1103" t="s">
        <v>13</v>
      </c>
      <c r="K1103" t="s">
        <v>21</v>
      </c>
      <c r="L1103">
        <v>45693</v>
      </c>
      <c r="M1103" t="s">
        <v>321</v>
      </c>
    </row>
    <row r="1104" spans="1:13" x14ac:dyDescent="0.3">
      <c r="A1104" t="s">
        <v>3922</v>
      </c>
      <c r="B1104" t="s">
        <v>37</v>
      </c>
      <c r="C1104" t="s">
        <v>22</v>
      </c>
      <c r="D1104" t="s">
        <v>97</v>
      </c>
      <c r="E1104">
        <v>3036</v>
      </c>
      <c r="F1104" t="s">
        <v>3923</v>
      </c>
      <c r="G1104" t="s">
        <v>3924</v>
      </c>
      <c r="H1104" t="s">
        <v>3924</v>
      </c>
      <c r="I1104" t="s">
        <v>100</v>
      </c>
      <c r="J1104" t="s">
        <v>101</v>
      </c>
      <c r="L1104">
        <v>45702</v>
      </c>
      <c r="M1104" t="s">
        <v>65</v>
      </c>
    </row>
    <row r="1105" spans="1:13" x14ac:dyDescent="0.3">
      <c r="A1105" t="s">
        <v>3925</v>
      </c>
      <c r="B1105" t="s">
        <v>37</v>
      </c>
      <c r="C1105" t="s">
        <v>26</v>
      </c>
      <c r="D1105" t="s">
        <v>118</v>
      </c>
      <c r="E1105">
        <v>3038</v>
      </c>
      <c r="F1105" t="s">
        <v>3926</v>
      </c>
      <c r="G1105" t="s">
        <v>3927</v>
      </c>
      <c r="H1105" t="s">
        <v>3928</v>
      </c>
      <c r="I1105" t="s">
        <v>122</v>
      </c>
      <c r="J1105" t="s">
        <v>123</v>
      </c>
      <c r="L1105">
        <v>45702</v>
      </c>
      <c r="M1105" t="s">
        <v>344</v>
      </c>
    </row>
    <row r="1106" spans="1:13" x14ac:dyDescent="0.3">
      <c r="A1106" t="s">
        <v>3929</v>
      </c>
      <c r="B1106" t="s">
        <v>46</v>
      </c>
      <c r="C1106" t="s">
        <v>24</v>
      </c>
      <c r="D1106" t="s">
        <v>55</v>
      </c>
      <c r="E1106">
        <v>3033</v>
      </c>
      <c r="F1106" t="s">
        <v>3930</v>
      </c>
      <c r="G1106" t="s">
        <v>3931</v>
      </c>
      <c r="H1106" t="s">
        <v>3931</v>
      </c>
      <c r="I1106" t="s">
        <v>58</v>
      </c>
      <c r="J1106" t="s">
        <v>59</v>
      </c>
      <c r="L1106">
        <v>45727</v>
      </c>
      <c r="M1106" t="s">
        <v>95</v>
      </c>
    </row>
    <row r="1107" spans="1:13" x14ac:dyDescent="0.3">
      <c r="A1107" t="s">
        <v>3932</v>
      </c>
      <c r="B1107" t="s">
        <v>37</v>
      </c>
      <c r="C1107" t="s">
        <v>25</v>
      </c>
      <c r="D1107" t="s">
        <v>207</v>
      </c>
      <c r="E1107">
        <v>3041</v>
      </c>
      <c r="F1107" t="s">
        <v>3933</v>
      </c>
      <c r="G1107" t="s">
        <v>3934</v>
      </c>
      <c r="H1107" t="s">
        <v>3935</v>
      </c>
      <c r="I1107" t="s">
        <v>211</v>
      </c>
      <c r="J1107" t="s">
        <v>14</v>
      </c>
      <c r="L1107">
        <v>45693</v>
      </c>
      <c r="M1107" t="s">
        <v>363</v>
      </c>
    </row>
    <row r="1108" spans="1:13" x14ac:dyDescent="0.3">
      <c r="A1108" t="s">
        <v>3936</v>
      </c>
      <c r="B1108" t="s">
        <v>46</v>
      </c>
      <c r="C1108" t="s">
        <v>26</v>
      </c>
      <c r="D1108" t="s">
        <v>55</v>
      </c>
      <c r="E1108">
        <v>3033</v>
      </c>
      <c r="F1108" t="s">
        <v>3937</v>
      </c>
      <c r="G1108" t="s">
        <v>3938</v>
      </c>
      <c r="H1108" t="s">
        <v>3939</v>
      </c>
      <c r="I1108" t="s">
        <v>58</v>
      </c>
      <c r="J1108" t="s">
        <v>59</v>
      </c>
      <c r="K1108" t="s">
        <v>21</v>
      </c>
      <c r="L1108">
        <v>45693</v>
      </c>
      <c r="M1108" t="s">
        <v>69</v>
      </c>
    </row>
    <row r="1109" spans="1:13" x14ac:dyDescent="0.3">
      <c r="A1109" t="s">
        <v>3940</v>
      </c>
      <c r="B1109" t="s">
        <v>37</v>
      </c>
      <c r="C1109" t="s">
        <v>25</v>
      </c>
      <c r="D1109" t="s">
        <v>118</v>
      </c>
      <c r="E1109">
        <v>3038</v>
      </c>
      <c r="F1109" t="s">
        <v>3941</v>
      </c>
      <c r="G1109" t="s">
        <v>3942</v>
      </c>
      <c r="H1109" t="s">
        <v>3943</v>
      </c>
      <c r="I1109" t="s">
        <v>122</v>
      </c>
      <c r="J1109" t="s">
        <v>123</v>
      </c>
      <c r="L1109">
        <v>45702</v>
      </c>
      <c r="M1109" t="s">
        <v>124</v>
      </c>
    </row>
    <row r="1110" spans="1:13" x14ac:dyDescent="0.3">
      <c r="A1110" t="s">
        <v>3944</v>
      </c>
      <c r="B1110" t="s">
        <v>46</v>
      </c>
      <c r="C1110" t="s">
        <v>22</v>
      </c>
      <c r="D1110" t="s">
        <v>47</v>
      </c>
      <c r="E1110">
        <v>3032</v>
      </c>
      <c r="F1110" t="s">
        <v>3945</v>
      </c>
      <c r="G1110" t="s">
        <v>3946</v>
      </c>
      <c r="H1110" t="s">
        <v>3947</v>
      </c>
      <c r="I1110" t="s">
        <v>51</v>
      </c>
      <c r="J1110" t="s">
        <v>52</v>
      </c>
      <c r="L1110">
        <v>45713</v>
      </c>
      <c r="M1110" t="s">
        <v>261</v>
      </c>
    </row>
    <row r="1111" spans="1:13" x14ac:dyDescent="0.3">
      <c r="A1111" t="s">
        <v>3948</v>
      </c>
      <c r="B1111" t="s">
        <v>46</v>
      </c>
      <c r="C1111" t="s">
        <v>22</v>
      </c>
      <c r="D1111" t="s">
        <v>444</v>
      </c>
      <c r="E1111">
        <v>3042</v>
      </c>
      <c r="F1111" t="s">
        <v>3949</v>
      </c>
      <c r="G1111" t="s">
        <v>3950</v>
      </c>
      <c r="H1111" t="s">
        <v>3950</v>
      </c>
      <c r="I1111" t="s">
        <v>448</v>
      </c>
      <c r="J1111" t="s">
        <v>449</v>
      </c>
      <c r="K1111" t="s">
        <v>21</v>
      </c>
      <c r="L1111">
        <v>45687</v>
      </c>
      <c r="M1111" t="s">
        <v>363</v>
      </c>
    </row>
    <row r="1112" spans="1:13" x14ac:dyDescent="0.3">
      <c r="A1112" t="s">
        <v>3951</v>
      </c>
      <c r="B1112" t="s">
        <v>46</v>
      </c>
      <c r="C1112" t="s">
        <v>26</v>
      </c>
      <c r="D1112" t="s">
        <v>47</v>
      </c>
      <c r="E1112">
        <v>3032</v>
      </c>
      <c r="F1112" t="s">
        <v>3952</v>
      </c>
      <c r="G1112" t="s">
        <v>3953</v>
      </c>
      <c r="H1112" t="s">
        <v>3954</v>
      </c>
      <c r="I1112" t="s">
        <v>51</v>
      </c>
      <c r="J1112" t="s">
        <v>52</v>
      </c>
      <c r="L1112">
        <v>45741</v>
      </c>
      <c r="M1112" t="s">
        <v>144</v>
      </c>
    </row>
    <row r="1113" spans="1:13" x14ac:dyDescent="0.3">
      <c r="A1113" t="s">
        <v>3955</v>
      </c>
      <c r="B1113" t="s">
        <v>37</v>
      </c>
      <c r="C1113" t="s">
        <v>24</v>
      </c>
      <c r="D1113" t="s">
        <v>191</v>
      </c>
      <c r="E1113">
        <v>3040</v>
      </c>
      <c r="F1113" t="s">
        <v>3956</v>
      </c>
      <c r="G1113" t="s">
        <v>3957</v>
      </c>
      <c r="H1113" t="s">
        <v>3957</v>
      </c>
      <c r="I1113" t="s">
        <v>194</v>
      </c>
      <c r="J1113" t="s">
        <v>13</v>
      </c>
      <c r="K1113" t="s">
        <v>21</v>
      </c>
      <c r="L1113">
        <v>45704</v>
      </c>
      <c r="M1113" t="s">
        <v>717</v>
      </c>
    </row>
    <row r="1114" spans="1:13" x14ac:dyDescent="0.3">
      <c r="A1114" t="s">
        <v>3958</v>
      </c>
      <c r="B1114" t="s">
        <v>37</v>
      </c>
      <c r="C1114" t="s">
        <v>25</v>
      </c>
      <c r="D1114" t="s">
        <v>444</v>
      </c>
      <c r="E1114">
        <v>3042</v>
      </c>
      <c r="F1114" t="s">
        <v>3959</v>
      </c>
      <c r="G1114" t="s">
        <v>3960</v>
      </c>
      <c r="H1114" t="s">
        <v>3961</v>
      </c>
      <c r="I1114" t="s">
        <v>448</v>
      </c>
      <c r="J1114" t="s">
        <v>449</v>
      </c>
      <c r="L1114">
        <v>45742</v>
      </c>
      <c r="M1114" t="s">
        <v>481</v>
      </c>
    </row>
    <row r="1115" spans="1:13" x14ac:dyDescent="0.3">
      <c r="A1115" t="s">
        <v>3962</v>
      </c>
      <c r="B1115" t="s">
        <v>37</v>
      </c>
      <c r="C1115" t="s">
        <v>25</v>
      </c>
      <c r="D1115" t="s">
        <v>78</v>
      </c>
      <c r="E1115">
        <v>3035</v>
      </c>
      <c r="F1115" t="s">
        <v>3963</v>
      </c>
      <c r="G1115" t="s">
        <v>3964</v>
      </c>
      <c r="H1115" t="s">
        <v>3964</v>
      </c>
      <c r="I1115" t="s">
        <v>81</v>
      </c>
      <c r="J1115" t="s">
        <v>82</v>
      </c>
      <c r="L1115">
        <v>45679</v>
      </c>
      <c r="M1115" t="s">
        <v>69</v>
      </c>
    </row>
    <row r="1116" spans="1:13" x14ac:dyDescent="0.3">
      <c r="A1116" t="s">
        <v>3965</v>
      </c>
      <c r="B1116" t="s">
        <v>37</v>
      </c>
      <c r="C1116" t="s">
        <v>26</v>
      </c>
      <c r="D1116" t="s">
        <v>191</v>
      </c>
      <c r="E1116">
        <v>3040</v>
      </c>
      <c r="F1116" t="s">
        <v>3966</v>
      </c>
      <c r="G1116" t="s">
        <v>3967</v>
      </c>
      <c r="H1116" t="s">
        <v>3967</v>
      </c>
      <c r="I1116" t="s">
        <v>194</v>
      </c>
      <c r="J1116" t="s">
        <v>13</v>
      </c>
      <c r="K1116" t="s">
        <v>21</v>
      </c>
      <c r="L1116">
        <v>45693</v>
      </c>
      <c r="M1116" t="s">
        <v>300</v>
      </c>
    </row>
    <row r="1117" spans="1:13" x14ac:dyDescent="0.3">
      <c r="A1117" t="s">
        <v>3968</v>
      </c>
      <c r="B1117" t="s">
        <v>46</v>
      </c>
      <c r="C1117" t="s">
        <v>24</v>
      </c>
      <c r="D1117" t="s">
        <v>136</v>
      </c>
      <c r="E1117">
        <v>3039</v>
      </c>
      <c r="F1117" t="s">
        <v>3969</v>
      </c>
      <c r="G1117" t="s">
        <v>3970</v>
      </c>
      <c r="H1117" t="s">
        <v>3971</v>
      </c>
      <c r="I1117" t="s">
        <v>15</v>
      </c>
      <c r="J1117" t="s">
        <v>14</v>
      </c>
      <c r="L1117">
        <v>45713</v>
      </c>
      <c r="M1117" t="s">
        <v>382</v>
      </c>
    </row>
    <row r="1118" spans="1:13" x14ac:dyDescent="0.3">
      <c r="A1118" t="s">
        <v>3972</v>
      </c>
      <c r="B1118" t="s">
        <v>46</v>
      </c>
      <c r="C1118" t="s">
        <v>26</v>
      </c>
      <c r="D1118" t="s">
        <v>191</v>
      </c>
      <c r="E1118">
        <v>3040</v>
      </c>
      <c r="F1118" t="s">
        <v>3973</v>
      </c>
      <c r="G1118" t="s">
        <v>3974</v>
      </c>
      <c r="H1118" t="s">
        <v>3974</v>
      </c>
      <c r="I1118" t="s">
        <v>194</v>
      </c>
      <c r="J1118" t="s">
        <v>13</v>
      </c>
      <c r="L1118">
        <v>45711</v>
      </c>
      <c r="M1118" t="s">
        <v>300</v>
      </c>
    </row>
    <row r="1119" spans="1:13" x14ac:dyDescent="0.3">
      <c r="A1119" t="s">
        <v>3975</v>
      </c>
      <c r="B1119" t="s">
        <v>37</v>
      </c>
      <c r="C1119" t="s">
        <v>22</v>
      </c>
      <c r="D1119" t="s">
        <v>118</v>
      </c>
      <c r="E1119">
        <v>3038</v>
      </c>
      <c r="F1119" t="s">
        <v>3976</v>
      </c>
      <c r="G1119" t="s">
        <v>3977</v>
      </c>
      <c r="H1119" t="s">
        <v>3978</v>
      </c>
      <c r="I1119" t="s">
        <v>122</v>
      </c>
      <c r="J1119" t="s">
        <v>123</v>
      </c>
      <c r="L1119">
        <v>45703</v>
      </c>
      <c r="M1119" t="s">
        <v>124</v>
      </c>
    </row>
    <row r="1120" spans="1:13" x14ac:dyDescent="0.3">
      <c r="A1120" t="s">
        <v>3979</v>
      </c>
      <c r="B1120" t="s">
        <v>46</v>
      </c>
      <c r="C1120" t="s">
        <v>24</v>
      </c>
      <c r="D1120" t="s">
        <v>55</v>
      </c>
      <c r="E1120">
        <v>3033</v>
      </c>
      <c r="F1120" t="s">
        <v>3980</v>
      </c>
      <c r="G1120" t="s">
        <v>3981</v>
      </c>
      <c r="H1120" t="s">
        <v>3982</v>
      </c>
      <c r="I1120" t="s">
        <v>58</v>
      </c>
      <c r="J1120" t="s">
        <v>59</v>
      </c>
      <c r="K1120" t="s">
        <v>21</v>
      </c>
      <c r="L1120">
        <v>45667</v>
      </c>
      <c r="M1120" t="s">
        <v>86</v>
      </c>
    </row>
    <row r="1121" spans="1:13" x14ac:dyDescent="0.3">
      <c r="A1121" t="s">
        <v>3983</v>
      </c>
      <c r="B1121" t="s">
        <v>37</v>
      </c>
      <c r="C1121" t="s">
        <v>22</v>
      </c>
      <c r="D1121" t="s">
        <v>136</v>
      </c>
      <c r="E1121">
        <v>3039</v>
      </c>
      <c r="F1121" t="s">
        <v>3984</v>
      </c>
      <c r="G1121" t="s">
        <v>3985</v>
      </c>
      <c r="H1121" t="s">
        <v>3985</v>
      </c>
      <c r="I1121" t="s">
        <v>15</v>
      </c>
      <c r="J1121" t="s">
        <v>14</v>
      </c>
      <c r="L1121">
        <v>45733</v>
      </c>
      <c r="M1121" t="s">
        <v>95</v>
      </c>
    </row>
    <row r="1122" spans="1:13" x14ac:dyDescent="0.3">
      <c r="A1122" t="s">
        <v>3986</v>
      </c>
      <c r="B1122" t="s">
        <v>46</v>
      </c>
      <c r="C1122" t="s">
        <v>25</v>
      </c>
      <c r="D1122" t="s">
        <v>136</v>
      </c>
      <c r="E1122">
        <v>3039</v>
      </c>
      <c r="F1122" t="s">
        <v>1498</v>
      </c>
      <c r="G1122" t="s">
        <v>3987</v>
      </c>
      <c r="H1122" t="s">
        <v>3987</v>
      </c>
      <c r="I1122" t="s">
        <v>15</v>
      </c>
      <c r="J1122" t="s">
        <v>14</v>
      </c>
      <c r="L1122">
        <v>45707</v>
      </c>
      <c r="M1122" t="s">
        <v>140</v>
      </c>
    </row>
    <row r="1123" spans="1:13" x14ac:dyDescent="0.3">
      <c r="A1123" t="s">
        <v>3988</v>
      </c>
      <c r="B1123" t="s">
        <v>37</v>
      </c>
      <c r="C1123" t="s">
        <v>22</v>
      </c>
      <c r="D1123" t="s">
        <v>71</v>
      </c>
      <c r="E1123">
        <v>3034</v>
      </c>
      <c r="F1123" t="s">
        <v>3989</v>
      </c>
      <c r="G1123" t="s">
        <v>3990</v>
      </c>
      <c r="H1123" t="s">
        <v>3990</v>
      </c>
      <c r="I1123" t="s">
        <v>74</v>
      </c>
      <c r="J1123" t="s">
        <v>75</v>
      </c>
      <c r="L1123">
        <v>45668</v>
      </c>
      <c r="M1123" t="s">
        <v>165</v>
      </c>
    </row>
    <row r="1124" spans="1:13" x14ac:dyDescent="0.3">
      <c r="A1124" t="s">
        <v>3991</v>
      </c>
      <c r="B1124" t="s">
        <v>37</v>
      </c>
      <c r="C1124" t="s">
        <v>26</v>
      </c>
      <c r="D1124" t="s">
        <v>47</v>
      </c>
      <c r="E1124">
        <v>3032</v>
      </c>
      <c r="F1124" t="s">
        <v>3992</v>
      </c>
      <c r="G1124" t="s">
        <v>3993</v>
      </c>
      <c r="H1124" t="s">
        <v>3993</v>
      </c>
      <c r="I1124" t="s">
        <v>51</v>
      </c>
      <c r="J1124" t="s">
        <v>52</v>
      </c>
      <c r="L1124">
        <v>45667</v>
      </c>
      <c r="M1124" t="s">
        <v>656</v>
      </c>
    </row>
    <row r="1125" spans="1:13" x14ac:dyDescent="0.3">
      <c r="A1125" t="s">
        <v>3994</v>
      </c>
      <c r="B1125" t="s">
        <v>46</v>
      </c>
      <c r="C1125" t="s">
        <v>24</v>
      </c>
      <c r="D1125" t="s">
        <v>78</v>
      </c>
      <c r="E1125">
        <v>3035</v>
      </c>
      <c r="F1125" t="s">
        <v>3995</v>
      </c>
      <c r="G1125" t="s">
        <v>3996</v>
      </c>
      <c r="H1125" t="s">
        <v>3996</v>
      </c>
      <c r="I1125" t="s">
        <v>81</v>
      </c>
      <c r="J1125" t="s">
        <v>82</v>
      </c>
      <c r="L1125">
        <v>45689</v>
      </c>
      <c r="M1125" t="s">
        <v>205</v>
      </c>
    </row>
    <row r="1126" spans="1:13" x14ac:dyDescent="0.3">
      <c r="A1126" t="s">
        <v>3997</v>
      </c>
      <c r="B1126" t="s">
        <v>37</v>
      </c>
      <c r="C1126" t="s">
        <v>26</v>
      </c>
      <c r="D1126" t="s">
        <v>55</v>
      </c>
      <c r="E1126">
        <v>3033</v>
      </c>
      <c r="F1126" t="s">
        <v>3998</v>
      </c>
      <c r="G1126" t="s">
        <v>3999</v>
      </c>
      <c r="H1126" t="s">
        <v>4000</v>
      </c>
      <c r="I1126" t="s">
        <v>58</v>
      </c>
      <c r="J1126" t="s">
        <v>59</v>
      </c>
      <c r="L1126">
        <v>45717</v>
      </c>
      <c r="M1126" t="s">
        <v>90</v>
      </c>
    </row>
    <row r="1127" spans="1:13" x14ac:dyDescent="0.3">
      <c r="A1127" t="s">
        <v>4001</v>
      </c>
      <c r="B1127" t="s">
        <v>46</v>
      </c>
      <c r="C1127" t="s">
        <v>26</v>
      </c>
      <c r="D1127" t="s">
        <v>444</v>
      </c>
      <c r="E1127">
        <v>3042</v>
      </c>
      <c r="F1127" t="s">
        <v>4002</v>
      </c>
      <c r="G1127" t="s">
        <v>4003</v>
      </c>
      <c r="H1127" t="s">
        <v>4003</v>
      </c>
      <c r="I1127" t="s">
        <v>448</v>
      </c>
      <c r="J1127" t="s">
        <v>449</v>
      </c>
      <c r="L1127">
        <v>45741</v>
      </c>
      <c r="M1127" t="s">
        <v>107</v>
      </c>
    </row>
    <row r="1128" spans="1:13" x14ac:dyDescent="0.3">
      <c r="A1128" t="s">
        <v>4004</v>
      </c>
      <c r="B1128" t="s">
        <v>37</v>
      </c>
      <c r="C1128" t="s">
        <v>25</v>
      </c>
      <c r="D1128" t="s">
        <v>118</v>
      </c>
      <c r="E1128">
        <v>3038</v>
      </c>
      <c r="F1128" t="s">
        <v>4005</v>
      </c>
      <c r="G1128" t="s">
        <v>4006</v>
      </c>
      <c r="H1128" t="s">
        <v>4006</v>
      </c>
      <c r="I1128" t="s">
        <v>122</v>
      </c>
      <c r="J1128" t="s">
        <v>123</v>
      </c>
      <c r="L1128">
        <v>45712</v>
      </c>
      <c r="M1128" t="s">
        <v>581</v>
      </c>
    </row>
    <row r="1129" spans="1:13" x14ac:dyDescent="0.3">
      <c r="A1129" t="s">
        <v>4007</v>
      </c>
      <c r="B1129" t="s">
        <v>46</v>
      </c>
      <c r="C1129" t="s">
        <v>24</v>
      </c>
      <c r="D1129" t="s">
        <v>118</v>
      </c>
      <c r="E1129">
        <v>3038</v>
      </c>
      <c r="F1129" t="s">
        <v>4008</v>
      </c>
      <c r="G1129" t="s">
        <v>4009</v>
      </c>
      <c r="H1129" t="s">
        <v>4009</v>
      </c>
      <c r="I1129" t="s">
        <v>122</v>
      </c>
      <c r="J1129" t="s">
        <v>123</v>
      </c>
      <c r="K1129" t="s">
        <v>21</v>
      </c>
      <c r="L1129">
        <v>45737</v>
      </c>
      <c r="M1129" t="s">
        <v>359</v>
      </c>
    </row>
    <row r="1130" spans="1:13" x14ac:dyDescent="0.3">
      <c r="A1130" t="s">
        <v>4010</v>
      </c>
      <c r="B1130" t="s">
        <v>46</v>
      </c>
      <c r="C1130" t="s">
        <v>26</v>
      </c>
      <c r="D1130" t="s">
        <v>55</v>
      </c>
      <c r="E1130">
        <v>3033</v>
      </c>
      <c r="F1130" t="s">
        <v>4011</v>
      </c>
      <c r="G1130" t="s">
        <v>4012</v>
      </c>
      <c r="H1130" t="s">
        <v>4012</v>
      </c>
      <c r="I1130" t="s">
        <v>58</v>
      </c>
      <c r="J1130" t="s">
        <v>59</v>
      </c>
      <c r="L1130">
        <v>45735</v>
      </c>
      <c r="M1130" t="s">
        <v>90</v>
      </c>
    </row>
    <row r="1131" spans="1:13" x14ac:dyDescent="0.3">
      <c r="A1131" t="s">
        <v>4013</v>
      </c>
      <c r="B1131" t="s">
        <v>46</v>
      </c>
      <c r="C1131" t="s">
        <v>25</v>
      </c>
      <c r="D1131" t="s">
        <v>78</v>
      </c>
      <c r="E1131">
        <v>3035</v>
      </c>
      <c r="F1131" t="s">
        <v>4014</v>
      </c>
      <c r="G1131" t="s">
        <v>4015</v>
      </c>
      <c r="H1131" t="s">
        <v>4016</v>
      </c>
      <c r="I1131" t="s">
        <v>81</v>
      </c>
      <c r="J1131" t="s">
        <v>82</v>
      </c>
      <c r="K1131" t="s">
        <v>21</v>
      </c>
      <c r="L1131">
        <v>45728</v>
      </c>
      <c r="M1131" t="s">
        <v>205</v>
      </c>
    </row>
    <row r="1132" spans="1:13" x14ac:dyDescent="0.3">
      <c r="A1132" t="s">
        <v>4017</v>
      </c>
      <c r="B1132" t="s">
        <v>46</v>
      </c>
      <c r="C1132" t="s">
        <v>24</v>
      </c>
      <c r="D1132" t="s">
        <v>191</v>
      </c>
      <c r="E1132">
        <v>3040</v>
      </c>
      <c r="F1132" t="s">
        <v>4018</v>
      </c>
      <c r="G1132" t="s">
        <v>4019</v>
      </c>
      <c r="H1132" t="s">
        <v>4019</v>
      </c>
      <c r="I1132" t="s">
        <v>194</v>
      </c>
      <c r="J1132" t="s">
        <v>13</v>
      </c>
      <c r="K1132" t="s">
        <v>21</v>
      </c>
      <c r="L1132">
        <v>45663</v>
      </c>
      <c r="M1132" t="s">
        <v>160</v>
      </c>
    </row>
    <row r="1133" spans="1:13" x14ac:dyDescent="0.3">
      <c r="A1133" t="s">
        <v>4020</v>
      </c>
      <c r="B1133" t="s">
        <v>46</v>
      </c>
      <c r="C1133" t="s">
        <v>26</v>
      </c>
      <c r="D1133" t="s">
        <v>207</v>
      </c>
      <c r="E1133">
        <v>3041</v>
      </c>
      <c r="F1133" t="s">
        <v>4021</v>
      </c>
      <c r="G1133" t="s">
        <v>4022</v>
      </c>
      <c r="H1133" t="s">
        <v>4022</v>
      </c>
      <c r="I1133" t="s">
        <v>211</v>
      </c>
      <c r="J1133" t="s">
        <v>14</v>
      </c>
      <c r="K1133" t="s">
        <v>21</v>
      </c>
      <c r="L1133">
        <v>45689</v>
      </c>
      <c r="M1133" t="s">
        <v>394</v>
      </c>
    </row>
    <row r="1134" spans="1:13" x14ac:dyDescent="0.3">
      <c r="A1134" t="s">
        <v>4023</v>
      </c>
      <c r="B1134" t="s">
        <v>46</v>
      </c>
      <c r="C1134" t="s">
        <v>22</v>
      </c>
      <c r="D1134" t="s">
        <v>97</v>
      </c>
      <c r="E1134">
        <v>3036</v>
      </c>
      <c r="F1134" t="s">
        <v>4024</v>
      </c>
      <c r="G1134" t="s">
        <v>4025</v>
      </c>
      <c r="H1134" t="s">
        <v>4025</v>
      </c>
      <c r="I1134" t="s">
        <v>100</v>
      </c>
      <c r="J1134" t="s">
        <v>101</v>
      </c>
      <c r="L1134">
        <v>45712</v>
      </c>
      <c r="M1134" t="s">
        <v>102</v>
      </c>
    </row>
    <row r="1135" spans="1:13" x14ac:dyDescent="0.3">
      <c r="A1135" t="s">
        <v>4026</v>
      </c>
      <c r="B1135" t="s">
        <v>37</v>
      </c>
      <c r="C1135" t="s">
        <v>26</v>
      </c>
      <c r="D1135" t="s">
        <v>38</v>
      </c>
      <c r="E1135">
        <v>3031</v>
      </c>
      <c r="F1135" t="s">
        <v>4027</v>
      </c>
      <c r="G1135" t="s">
        <v>4028</v>
      </c>
      <c r="H1135" t="s">
        <v>4029</v>
      </c>
      <c r="I1135" t="s">
        <v>42</v>
      </c>
      <c r="J1135" t="s">
        <v>43</v>
      </c>
      <c r="K1135" t="s">
        <v>21</v>
      </c>
      <c r="L1135">
        <v>45703</v>
      </c>
      <c r="M1135" t="s">
        <v>76</v>
      </c>
    </row>
    <row r="1136" spans="1:13" x14ac:dyDescent="0.3">
      <c r="A1136" t="s">
        <v>4030</v>
      </c>
      <c r="B1136" t="s">
        <v>37</v>
      </c>
      <c r="C1136" t="s">
        <v>22</v>
      </c>
      <c r="D1136" t="s">
        <v>71</v>
      </c>
      <c r="E1136">
        <v>3034</v>
      </c>
      <c r="F1136" t="s">
        <v>4031</v>
      </c>
      <c r="G1136" t="s">
        <v>4032</v>
      </c>
      <c r="H1136" t="s">
        <v>4032</v>
      </c>
      <c r="I1136" t="s">
        <v>74</v>
      </c>
      <c r="J1136" t="s">
        <v>75</v>
      </c>
      <c r="K1136" t="s">
        <v>21</v>
      </c>
      <c r="L1136">
        <v>45699</v>
      </c>
      <c r="M1136" t="s">
        <v>112</v>
      </c>
    </row>
    <row r="1137" spans="1:13" x14ac:dyDescent="0.3">
      <c r="A1137" t="s">
        <v>4033</v>
      </c>
      <c r="B1137" t="s">
        <v>37</v>
      </c>
      <c r="C1137" t="s">
        <v>26</v>
      </c>
      <c r="D1137" t="s">
        <v>207</v>
      </c>
      <c r="E1137">
        <v>3041</v>
      </c>
      <c r="F1137" t="s">
        <v>4034</v>
      </c>
      <c r="G1137" t="s">
        <v>4035</v>
      </c>
      <c r="H1137" t="s">
        <v>4035</v>
      </c>
      <c r="I1137" t="s">
        <v>211</v>
      </c>
      <c r="J1137" t="s">
        <v>14</v>
      </c>
      <c r="L1137">
        <v>45734</v>
      </c>
      <c r="M1137" t="s">
        <v>300</v>
      </c>
    </row>
    <row r="1138" spans="1:13" x14ac:dyDescent="0.3">
      <c r="A1138" t="s">
        <v>4036</v>
      </c>
      <c r="B1138" t="s">
        <v>46</v>
      </c>
      <c r="C1138" t="s">
        <v>22</v>
      </c>
      <c r="D1138" t="s">
        <v>136</v>
      </c>
      <c r="E1138">
        <v>3039</v>
      </c>
      <c r="F1138" t="s">
        <v>4037</v>
      </c>
      <c r="G1138" t="s">
        <v>4038</v>
      </c>
      <c r="H1138" t="s">
        <v>4039</v>
      </c>
      <c r="I1138" t="s">
        <v>15</v>
      </c>
      <c r="J1138" t="s">
        <v>14</v>
      </c>
      <c r="L1138">
        <v>45709</v>
      </c>
      <c r="M1138" t="s">
        <v>95</v>
      </c>
    </row>
    <row r="1139" spans="1:13" x14ac:dyDescent="0.3">
      <c r="A1139" t="s">
        <v>4040</v>
      </c>
      <c r="B1139" t="s">
        <v>46</v>
      </c>
      <c r="C1139" t="s">
        <v>25</v>
      </c>
      <c r="D1139" t="s">
        <v>444</v>
      </c>
      <c r="E1139">
        <v>3042</v>
      </c>
      <c r="F1139" t="s">
        <v>4041</v>
      </c>
      <c r="G1139" t="s">
        <v>4042</v>
      </c>
      <c r="H1139" t="s">
        <v>4042</v>
      </c>
      <c r="I1139" t="s">
        <v>448</v>
      </c>
      <c r="J1139" t="s">
        <v>449</v>
      </c>
      <c r="L1139">
        <v>45744</v>
      </c>
      <c r="M1139" t="s">
        <v>722</v>
      </c>
    </row>
    <row r="1140" spans="1:13" x14ac:dyDescent="0.3">
      <c r="A1140" t="s">
        <v>4043</v>
      </c>
      <c r="B1140" t="s">
        <v>46</v>
      </c>
      <c r="C1140" t="s">
        <v>22</v>
      </c>
      <c r="D1140" t="s">
        <v>38</v>
      </c>
      <c r="E1140">
        <v>3031</v>
      </c>
      <c r="F1140" t="s">
        <v>4044</v>
      </c>
      <c r="G1140" t="s">
        <v>4045</v>
      </c>
      <c r="H1140" t="s">
        <v>4046</v>
      </c>
      <c r="I1140" t="s">
        <v>42</v>
      </c>
      <c r="J1140" t="s">
        <v>43</v>
      </c>
      <c r="L1140">
        <v>45658</v>
      </c>
      <c r="M1140" t="s">
        <v>44</v>
      </c>
    </row>
    <row r="1141" spans="1:13" x14ac:dyDescent="0.3">
      <c r="A1141" t="s">
        <v>4047</v>
      </c>
      <c r="B1141" t="s">
        <v>37</v>
      </c>
      <c r="C1141" t="s">
        <v>22</v>
      </c>
      <c r="D1141" t="s">
        <v>78</v>
      </c>
      <c r="E1141">
        <v>3035</v>
      </c>
      <c r="F1141" t="s">
        <v>253</v>
      </c>
      <c r="G1141" t="s">
        <v>4048</v>
      </c>
      <c r="H1141" t="s">
        <v>4049</v>
      </c>
      <c r="I1141" t="s">
        <v>81</v>
      </c>
      <c r="J1141" t="s">
        <v>82</v>
      </c>
      <c r="L1141">
        <v>45709</v>
      </c>
      <c r="M1141" t="s">
        <v>205</v>
      </c>
    </row>
    <row r="1142" spans="1:13" x14ac:dyDescent="0.3">
      <c r="A1142" t="s">
        <v>4050</v>
      </c>
      <c r="B1142" t="s">
        <v>37</v>
      </c>
      <c r="C1142" t="s">
        <v>22</v>
      </c>
      <c r="D1142" t="s">
        <v>118</v>
      </c>
      <c r="E1142">
        <v>3038</v>
      </c>
      <c r="F1142" t="s">
        <v>4051</v>
      </c>
      <c r="G1142" t="s">
        <v>4052</v>
      </c>
      <c r="H1142" t="s">
        <v>4053</v>
      </c>
      <c r="I1142" t="s">
        <v>122</v>
      </c>
      <c r="J1142" t="s">
        <v>123</v>
      </c>
      <c r="L1142">
        <v>45660</v>
      </c>
      <c r="M1142" t="s">
        <v>124</v>
      </c>
    </row>
    <row r="1143" spans="1:13" x14ac:dyDescent="0.3">
      <c r="A1143" t="s">
        <v>4054</v>
      </c>
      <c r="B1143" t="s">
        <v>37</v>
      </c>
      <c r="C1143" t="s">
        <v>22</v>
      </c>
      <c r="D1143" t="s">
        <v>136</v>
      </c>
      <c r="E1143">
        <v>3039</v>
      </c>
      <c r="F1143" t="s">
        <v>809</v>
      </c>
      <c r="G1143" t="s">
        <v>4055</v>
      </c>
      <c r="H1143" t="s">
        <v>4055</v>
      </c>
      <c r="I1143" t="s">
        <v>15</v>
      </c>
      <c r="J1143" t="s">
        <v>14</v>
      </c>
      <c r="L1143">
        <v>45677</v>
      </c>
      <c r="M1143" t="s">
        <v>389</v>
      </c>
    </row>
    <row r="1144" spans="1:13" x14ac:dyDescent="0.3">
      <c r="A1144" t="s">
        <v>4056</v>
      </c>
      <c r="B1144" t="s">
        <v>46</v>
      </c>
      <c r="C1144" t="s">
        <v>22</v>
      </c>
      <c r="D1144" t="s">
        <v>207</v>
      </c>
      <c r="E1144">
        <v>3041</v>
      </c>
      <c r="F1144" t="s">
        <v>4057</v>
      </c>
      <c r="G1144" t="s">
        <v>4058</v>
      </c>
      <c r="H1144" t="s">
        <v>4059</v>
      </c>
      <c r="I1144" t="s">
        <v>211</v>
      </c>
      <c r="J1144" t="s">
        <v>14</v>
      </c>
      <c r="L1144">
        <v>45738</v>
      </c>
      <c r="M1144" t="s">
        <v>363</v>
      </c>
    </row>
    <row r="1145" spans="1:13" x14ac:dyDescent="0.3">
      <c r="A1145" t="s">
        <v>4060</v>
      </c>
      <c r="B1145" t="s">
        <v>37</v>
      </c>
      <c r="C1145" t="s">
        <v>22</v>
      </c>
      <c r="D1145" t="s">
        <v>118</v>
      </c>
      <c r="E1145">
        <v>3038</v>
      </c>
      <c r="F1145" t="s">
        <v>4061</v>
      </c>
      <c r="G1145" t="s">
        <v>4062</v>
      </c>
      <c r="H1145" t="s">
        <v>4063</v>
      </c>
      <c r="I1145" t="s">
        <v>122</v>
      </c>
      <c r="J1145" t="s">
        <v>123</v>
      </c>
      <c r="K1145" t="s">
        <v>21</v>
      </c>
      <c r="L1145">
        <v>45715</v>
      </c>
      <c r="M1145" t="s">
        <v>359</v>
      </c>
    </row>
    <row r="1146" spans="1:13" x14ac:dyDescent="0.3">
      <c r="A1146" t="s">
        <v>4064</v>
      </c>
      <c r="B1146" t="s">
        <v>46</v>
      </c>
      <c r="C1146" t="s">
        <v>22</v>
      </c>
      <c r="D1146" t="s">
        <v>97</v>
      </c>
      <c r="E1146">
        <v>3036</v>
      </c>
      <c r="F1146" t="s">
        <v>4065</v>
      </c>
      <c r="G1146" t="s">
        <v>4066</v>
      </c>
      <c r="H1146" t="s">
        <v>4066</v>
      </c>
      <c r="I1146" t="s">
        <v>100</v>
      </c>
      <c r="J1146" t="s">
        <v>101</v>
      </c>
      <c r="L1146">
        <v>45730</v>
      </c>
      <c r="M1146" t="s">
        <v>65</v>
      </c>
    </row>
    <row r="1147" spans="1:13" x14ac:dyDescent="0.3">
      <c r="A1147" t="s">
        <v>4067</v>
      </c>
      <c r="B1147" t="s">
        <v>37</v>
      </c>
      <c r="C1147" t="s">
        <v>26</v>
      </c>
      <c r="D1147" t="s">
        <v>104</v>
      </c>
      <c r="E1147">
        <v>3037</v>
      </c>
      <c r="F1147" t="s">
        <v>4068</v>
      </c>
      <c r="G1147" t="s">
        <v>4069</v>
      </c>
      <c r="H1147" t="s">
        <v>4070</v>
      </c>
      <c r="I1147" t="s">
        <v>12</v>
      </c>
      <c r="J1147" t="s">
        <v>13</v>
      </c>
      <c r="L1147">
        <v>45658</v>
      </c>
      <c r="M1147" t="s">
        <v>76</v>
      </c>
    </row>
    <row r="1148" spans="1:13" x14ac:dyDescent="0.3">
      <c r="A1148" t="s">
        <v>4071</v>
      </c>
      <c r="B1148" t="s">
        <v>46</v>
      </c>
      <c r="C1148" t="s">
        <v>25</v>
      </c>
      <c r="D1148" t="s">
        <v>71</v>
      </c>
      <c r="E1148">
        <v>3034</v>
      </c>
      <c r="F1148" t="s">
        <v>1274</v>
      </c>
      <c r="G1148" t="s">
        <v>4072</v>
      </c>
      <c r="H1148" t="s">
        <v>4073</v>
      </c>
      <c r="I1148" t="s">
        <v>74</v>
      </c>
      <c r="J1148" t="s">
        <v>75</v>
      </c>
      <c r="L1148">
        <v>45680</v>
      </c>
      <c r="M1148" t="s">
        <v>112</v>
      </c>
    </row>
    <row r="1149" spans="1:13" x14ac:dyDescent="0.3">
      <c r="A1149" t="s">
        <v>4074</v>
      </c>
      <c r="B1149" t="s">
        <v>37</v>
      </c>
      <c r="C1149" t="s">
        <v>24</v>
      </c>
      <c r="D1149" t="s">
        <v>55</v>
      </c>
      <c r="E1149">
        <v>3033</v>
      </c>
      <c r="F1149" t="s">
        <v>4075</v>
      </c>
      <c r="G1149" t="s">
        <v>4076</v>
      </c>
      <c r="H1149" t="s">
        <v>4077</v>
      </c>
      <c r="I1149" t="s">
        <v>58</v>
      </c>
      <c r="J1149" t="s">
        <v>59</v>
      </c>
      <c r="L1149">
        <v>45675</v>
      </c>
      <c r="M1149" t="s">
        <v>69</v>
      </c>
    </row>
    <row r="1150" spans="1:13" x14ac:dyDescent="0.3">
      <c r="A1150" t="s">
        <v>4078</v>
      </c>
      <c r="B1150" t="s">
        <v>37</v>
      </c>
      <c r="C1150" t="s">
        <v>24</v>
      </c>
      <c r="D1150" t="s">
        <v>97</v>
      </c>
      <c r="E1150">
        <v>3036</v>
      </c>
      <c r="F1150" t="s">
        <v>4079</v>
      </c>
      <c r="G1150" t="s">
        <v>4080</v>
      </c>
      <c r="H1150" t="s">
        <v>4081</v>
      </c>
      <c r="I1150" t="s">
        <v>100</v>
      </c>
      <c r="J1150" t="s">
        <v>101</v>
      </c>
      <c r="L1150">
        <v>45742</v>
      </c>
      <c r="M1150" t="s">
        <v>292</v>
      </c>
    </row>
    <row r="1151" spans="1:13" x14ac:dyDescent="0.3">
      <c r="A1151" t="s">
        <v>4082</v>
      </c>
      <c r="B1151" t="s">
        <v>46</v>
      </c>
      <c r="C1151" t="s">
        <v>25</v>
      </c>
      <c r="D1151" t="s">
        <v>444</v>
      </c>
      <c r="E1151">
        <v>3042</v>
      </c>
      <c r="F1151" t="s">
        <v>4083</v>
      </c>
      <c r="G1151" t="s">
        <v>4084</v>
      </c>
      <c r="H1151" t="s">
        <v>4084</v>
      </c>
      <c r="I1151" t="s">
        <v>448</v>
      </c>
      <c r="J1151" t="s">
        <v>449</v>
      </c>
      <c r="L1151">
        <v>45693</v>
      </c>
      <c r="M1151" t="s">
        <v>450</v>
      </c>
    </row>
    <row r="1152" spans="1:13" x14ac:dyDescent="0.3">
      <c r="A1152" t="s">
        <v>4085</v>
      </c>
      <c r="B1152" t="s">
        <v>46</v>
      </c>
      <c r="C1152" t="s">
        <v>22</v>
      </c>
      <c r="D1152" t="s">
        <v>97</v>
      </c>
      <c r="E1152">
        <v>3036</v>
      </c>
      <c r="F1152" t="s">
        <v>4086</v>
      </c>
      <c r="G1152" t="s">
        <v>4087</v>
      </c>
      <c r="H1152" t="s">
        <v>4088</v>
      </c>
      <c r="I1152" t="s">
        <v>100</v>
      </c>
      <c r="J1152" t="s">
        <v>101</v>
      </c>
      <c r="K1152" t="s">
        <v>21</v>
      </c>
      <c r="L1152">
        <v>45660</v>
      </c>
      <c r="M1152" t="s">
        <v>165</v>
      </c>
    </row>
    <row r="1153" spans="1:13" x14ac:dyDescent="0.3">
      <c r="A1153" t="s">
        <v>4089</v>
      </c>
      <c r="B1153" t="s">
        <v>37</v>
      </c>
      <c r="C1153" t="s">
        <v>25</v>
      </c>
      <c r="D1153" t="s">
        <v>78</v>
      </c>
      <c r="E1153">
        <v>3035</v>
      </c>
      <c r="F1153" t="s">
        <v>4090</v>
      </c>
      <c r="G1153" t="s">
        <v>4091</v>
      </c>
      <c r="H1153" t="s">
        <v>4091</v>
      </c>
      <c r="I1153" t="s">
        <v>81</v>
      </c>
      <c r="J1153" t="s">
        <v>82</v>
      </c>
      <c r="K1153" t="s">
        <v>21</v>
      </c>
      <c r="L1153">
        <v>45673</v>
      </c>
      <c r="M1153" t="s">
        <v>489</v>
      </c>
    </row>
    <row r="1154" spans="1:13" x14ac:dyDescent="0.3">
      <c r="A1154" t="s">
        <v>4092</v>
      </c>
      <c r="B1154" t="s">
        <v>37</v>
      </c>
      <c r="C1154" t="s">
        <v>22</v>
      </c>
      <c r="D1154" t="s">
        <v>47</v>
      </c>
      <c r="E1154">
        <v>3032</v>
      </c>
      <c r="F1154" t="s">
        <v>4093</v>
      </c>
      <c r="G1154" t="s">
        <v>4094</v>
      </c>
      <c r="H1154" t="s">
        <v>4095</v>
      </c>
      <c r="I1154" t="s">
        <v>51</v>
      </c>
      <c r="J1154" t="s">
        <v>52</v>
      </c>
      <c r="K1154" t="s">
        <v>21</v>
      </c>
      <c r="L1154">
        <v>45671</v>
      </c>
      <c r="M1154" t="s">
        <v>881</v>
      </c>
    </row>
    <row r="1155" spans="1:13" x14ac:dyDescent="0.3">
      <c r="A1155" t="s">
        <v>4096</v>
      </c>
      <c r="B1155" t="s">
        <v>46</v>
      </c>
      <c r="C1155" t="s">
        <v>26</v>
      </c>
      <c r="D1155" t="s">
        <v>118</v>
      </c>
      <c r="E1155">
        <v>3038</v>
      </c>
      <c r="F1155" t="s">
        <v>4097</v>
      </c>
      <c r="G1155" t="s">
        <v>4098</v>
      </c>
      <c r="H1155" t="s">
        <v>4099</v>
      </c>
      <c r="I1155" t="s">
        <v>122</v>
      </c>
      <c r="J1155" t="s">
        <v>123</v>
      </c>
      <c r="K1155" t="s">
        <v>21</v>
      </c>
      <c r="L1155">
        <v>45704</v>
      </c>
      <c r="M1155" t="s">
        <v>359</v>
      </c>
    </row>
    <row r="1156" spans="1:13" x14ac:dyDescent="0.3">
      <c r="A1156" t="s">
        <v>4100</v>
      </c>
      <c r="B1156" t="s">
        <v>46</v>
      </c>
      <c r="C1156" t="s">
        <v>24</v>
      </c>
      <c r="D1156" t="s">
        <v>118</v>
      </c>
      <c r="E1156">
        <v>3038</v>
      </c>
      <c r="F1156" t="s">
        <v>4101</v>
      </c>
      <c r="G1156" t="s">
        <v>4102</v>
      </c>
      <c r="H1156" t="s">
        <v>4102</v>
      </c>
      <c r="I1156" t="s">
        <v>122</v>
      </c>
      <c r="J1156" t="s">
        <v>123</v>
      </c>
      <c r="L1156">
        <v>45727</v>
      </c>
      <c r="M1156" t="s">
        <v>359</v>
      </c>
    </row>
    <row r="1157" spans="1:13" x14ac:dyDescent="0.3">
      <c r="A1157" t="s">
        <v>4103</v>
      </c>
      <c r="B1157" t="s">
        <v>46</v>
      </c>
      <c r="C1157" t="s">
        <v>24</v>
      </c>
      <c r="D1157" t="s">
        <v>71</v>
      </c>
      <c r="E1157">
        <v>3034</v>
      </c>
      <c r="F1157" t="s">
        <v>4104</v>
      </c>
      <c r="G1157" t="s">
        <v>4105</v>
      </c>
      <c r="H1157" t="s">
        <v>4105</v>
      </c>
      <c r="I1157" t="s">
        <v>74</v>
      </c>
      <c r="J1157" t="s">
        <v>75</v>
      </c>
      <c r="K1157" t="s">
        <v>21</v>
      </c>
      <c r="L1157">
        <v>45722</v>
      </c>
      <c r="M1157" t="s">
        <v>212</v>
      </c>
    </row>
    <row r="1158" spans="1:13" x14ac:dyDescent="0.3">
      <c r="A1158" t="s">
        <v>4106</v>
      </c>
      <c r="B1158" t="s">
        <v>46</v>
      </c>
      <c r="C1158" t="s">
        <v>25</v>
      </c>
      <c r="D1158" t="s">
        <v>47</v>
      </c>
      <c r="E1158">
        <v>3032</v>
      </c>
      <c r="F1158" t="s">
        <v>4107</v>
      </c>
      <c r="G1158" t="s">
        <v>4108</v>
      </c>
      <c r="H1158" t="s">
        <v>4108</v>
      </c>
      <c r="I1158" t="s">
        <v>51</v>
      </c>
      <c r="J1158" t="s">
        <v>52</v>
      </c>
      <c r="L1158">
        <v>45730</v>
      </c>
      <c r="M1158" t="s">
        <v>144</v>
      </c>
    </row>
    <row r="1159" spans="1:13" x14ac:dyDescent="0.3">
      <c r="A1159" t="s">
        <v>4109</v>
      </c>
      <c r="B1159" t="s">
        <v>37</v>
      </c>
      <c r="C1159" t="s">
        <v>22</v>
      </c>
      <c r="D1159" t="s">
        <v>104</v>
      </c>
      <c r="E1159">
        <v>3037</v>
      </c>
      <c r="F1159" t="s">
        <v>4110</v>
      </c>
      <c r="G1159" t="s">
        <v>4111</v>
      </c>
      <c r="H1159" t="s">
        <v>4111</v>
      </c>
      <c r="I1159" t="s">
        <v>12</v>
      </c>
      <c r="J1159" t="s">
        <v>13</v>
      </c>
      <c r="L1159">
        <v>45689</v>
      </c>
      <c r="M1159" t="s">
        <v>224</v>
      </c>
    </row>
    <row r="1160" spans="1:13" x14ac:dyDescent="0.3">
      <c r="A1160" t="s">
        <v>4112</v>
      </c>
      <c r="B1160" t="s">
        <v>37</v>
      </c>
      <c r="C1160" t="s">
        <v>22</v>
      </c>
      <c r="D1160" t="s">
        <v>207</v>
      </c>
      <c r="E1160">
        <v>3041</v>
      </c>
      <c r="F1160" t="s">
        <v>4113</v>
      </c>
      <c r="G1160" t="s">
        <v>4114</v>
      </c>
      <c r="H1160" t="s">
        <v>4114</v>
      </c>
      <c r="I1160" t="s">
        <v>211</v>
      </c>
      <c r="J1160" t="s">
        <v>14</v>
      </c>
      <c r="K1160" t="s">
        <v>21</v>
      </c>
      <c r="L1160">
        <v>45718</v>
      </c>
      <c r="M1160" t="s">
        <v>128</v>
      </c>
    </row>
    <row r="1161" spans="1:13" x14ac:dyDescent="0.3">
      <c r="A1161" t="s">
        <v>4115</v>
      </c>
      <c r="B1161" t="s">
        <v>37</v>
      </c>
      <c r="C1161" t="s">
        <v>22</v>
      </c>
      <c r="D1161" t="s">
        <v>444</v>
      </c>
      <c r="E1161">
        <v>3042</v>
      </c>
      <c r="F1161" t="s">
        <v>4116</v>
      </c>
      <c r="G1161" t="s">
        <v>4117</v>
      </c>
      <c r="H1161" t="s">
        <v>4118</v>
      </c>
      <c r="I1161" t="s">
        <v>448</v>
      </c>
      <c r="J1161" t="s">
        <v>449</v>
      </c>
      <c r="L1161">
        <v>45722</v>
      </c>
      <c r="M1161" t="s">
        <v>450</v>
      </c>
    </row>
    <row r="1162" spans="1:13" x14ac:dyDescent="0.3">
      <c r="A1162" t="s">
        <v>4119</v>
      </c>
      <c r="B1162" t="s">
        <v>46</v>
      </c>
      <c r="C1162" t="s">
        <v>24</v>
      </c>
      <c r="D1162" t="s">
        <v>136</v>
      </c>
      <c r="E1162">
        <v>3039</v>
      </c>
      <c r="F1162" t="s">
        <v>4120</v>
      </c>
      <c r="G1162" t="s">
        <v>4121</v>
      </c>
      <c r="H1162" t="s">
        <v>4121</v>
      </c>
      <c r="I1162" t="s">
        <v>15</v>
      </c>
      <c r="J1162" t="s">
        <v>14</v>
      </c>
      <c r="K1162" t="s">
        <v>21</v>
      </c>
      <c r="L1162">
        <v>45667</v>
      </c>
      <c r="M1162" t="s">
        <v>140</v>
      </c>
    </row>
    <row r="1163" spans="1:13" x14ac:dyDescent="0.3">
      <c r="A1163" t="s">
        <v>4122</v>
      </c>
      <c r="B1163" t="s">
        <v>46</v>
      </c>
      <c r="C1163" t="s">
        <v>25</v>
      </c>
      <c r="D1163" t="s">
        <v>444</v>
      </c>
      <c r="E1163">
        <v>3042</v>
      </c>
      <c r="F1163" t="s">
        <v>4123</v>
      </c>
      <c r="G1163" t="s">
        <v>4124</v>
      </c>
      <c r="H1163" t="s">
        <v>4124</v>
      </c>
      <c r="I1163" t="s">
        <v>448</v>
      </c>
      <c r="J1163" t="s">
        <v>449</v>
      </c>
      <c r="L1163">
        <v>45742</v>
      </c>
      <c r="M1163" t="s">
        <v>363</v>
      </c>
    </row>
    <row r="1164" spans="1:13" x14ac:dyDescent="0.3">
      <c r="A1164" t="s">
        <v>4125</v>
      </c>
      <c r="B1164" t="s">
        <v>46</v>
      </c>
      <c r="C1164" t="s">
        <v>24</v>
      </c>
      <c r="D1164" t="s">
        <v>47</v>
      </c>
      <c r="E1164">
        <v>3032</v>
      </c>
      <c r="F1164" t="s">
        <v>4126</v>
      </c>
      <c r="G1164" t="s">
        <v>4127</v>
      </c>
      <c r="H1164" t="s">
        <v>4127</v>
      </c>
      <c r="I1164" t="s">
        <v>51</v>
      </c>
      <c r="J1164" t="s">
        <v>52</v>
      </c>
      <c r="L1164">
        <v>45709</v>
      </c>
      <c r="M1164" t="s">
        <v>476</v>
      </c>
    </row>
    <row r="1165" spans="1:13" x14ac:dyDescent="0.3">
      <c r="A1165" t="s">
        <v>4128</v>
      </c>
      <c r="B1165" t="s">
        <v>37</v>
      </c>
      <c r="C1165" t="s">
        <v>22</v>
      </c>
      <c r="D1165" t="s">
        <v>191</v>
      </c>
      <c r="E1165">
        <v>3040</v>
      </c>
      <c r="F1165" t="s">
        <v>4129</v>
      </c>
      <c r="G1165" t="s">
        <v>4130</v>
      </c>
      <c r="H1165" t="s">
        <v>4131</v>
      </c>
      <c r="I1165" t="s">
        <v>194</v>
      </c>
      <c r="J1165" t="s">
        <v>13</v>
      </c>
      <c r="K1165" t="s">
        <v>21</v>
      </c>
      <c r="L1165">
        <v>45694</v>
      </c>
      <c r="M1165" t="s">
        <v>300</v>
      </c>
    </row>
    <row r="1166" spans="1:13" x14ac:dyDescent="0.3">
      <c r="A1166" t="s">
        <v>4132</v>
      </c>
      <c r="B1166" t="s">
        <v>37</v>
      </c>
      <c r="C1166" t="s">
        <v>24</v>
      </c>
      <c r="D1166" t="s">
        <v>97</v>
      </c>
      <c r="E1166">
        <v>3036</v>
      </c>
      <c r="F1166" t="s">
        <v>4133</v>
      </c>
      <c r="G1166" t="s">
        <v>4134</v>
      </c>
      <c r="H1166" t="s">
        <v>4135</v>
      </c>
      <c r="I1166" t="s">
        <v>100</v>
      </c>
      <c r="J1166" t="s">
        <v>101</v>
      </c>
      <c r="L1166">
        <v>45696</v>
      </c>
      <c r="M1166" t="s">
        <v>165</v>
      </c>
    </row>
    <row r="1167" spans="1:13" x14ac:dyDescent="0.3">
      <c r="A1167" t="s">
        <v>4136</v>
      </c>
      <c r="B1167" t="s">
        <v>46</v>
      </c>
      <c r="C1167" t="s">
        <v>26</v>
      </c>
      <c r="D1167" t="s">
        <v>191</v>
      </c>
      <c r="E1167">
        <v>3040</v>
      </c>
      <c r="F1167" t="s">
        <v>4137</v>
      </c>
      <c r="G1167" t="s">
        <v>4138</v>
      </c>
      <c r="H1167" t="s">
        <v>4138</v>
      </c>
      <c r="I1167" t="s">
        <v>194</v>
      </c>
      <c r="J1167" t="s">
        <v>13</v>
      </c>
      <c r="L1167">
        <v>45726</v>
      </c>
      <c r="M1167" t="s">
        <v>224</v>
      </c>
    </row>
    <row r="1168" spans="1:13" x14ac:dyDescent="0.3">
      <c r="A1168" t="s">
        <v>4139</v>
      </c>
      <c r="B1168" t="s">
        <v>37</v>
      </c>
      <c r="C1168" t="s">
        <v>26</v>
      </c>
      <c r="D1168" t="s">
        <v>47</v>
      </c>
      <c r="E1168">
        <v>3032</v>
      </c>
      <c r="F1168" t="s">
        <v>4140</v>
      </c>
      <c r="G1168" t="s">
        <v>4141</v>
      </c>
      <c r="H1168" t="s">
        <v>4142</v>
      </c>
      <c r="I1168" t="s">
        <v>51</v>
      </c>
      <c r="J1168" t="s">
        <v>52</v>
      </c>
      <c r="L1168">
        <v>45732</v>
      </c>
      <c r="M1168" t="s">
        <v>144</v>
      </c>
    </row>
    <row r="1169" spans="1:13" x14ac:dyDescent="0.3">
      <c r="A1169" t="s">
        <v>4143</v>
      </c>
      <c r="B1169" t="s">
        <v>37</v>
      </c>
      <c r="C1169" t="s">
        <v>26</v>
      </c>
      <c r="D1169" t="s">
        <v>47</v>
      </c>
      <c r="E1169">
        <v>3032</v>
      </c>
      <c r="F1169" t="s">
        <v>4144</v>
      </c>
      <c r="G1169" t="s">
        <v>4145</v>
      </c>
      <c r="H1169" t="s">
        <v>4145</v>
      </c>
      <c r="I1169" t="s">
        <v>51</v>
      </c>
      <c r="J1169" t="s">
        <v>52</v>
      </c>
      <c r="L1169">
        <v>45744</v>
      </c>
      <c r="M1169" t="s">
        <v>881</v>
      </c>
    </row>
    <row r="1170" spans="1:13" x14ac:dyDescent="0.3">
      <c r="A1170" t="s">
        <v>4146</v>
      </c>
      <c r="B1170" t="s">
        <v>37</v>
      </c>
      <c r="C1170" t="s">
        <v>26</v>
      </c>
      <c r="D1170" t="s">
        <v>97</v>
      </c>
      <c r="E1170">
        <v>3036</v>
      </c>
      <c r="F1170" t="s">
        <v>4147</v>
      </c>
      <c r="G1170" t="s">
        <v>4148</v>
      </c>
      <c r="H1170" t="s">
        <v>4149</v>
      </c>
      <c r="I1170" t="s">
        <v>100</v>
      </c>
      <c r="J1170" t="s">
        <v>101</v>
      </c>
      <c r="L1170">
        <v>45708</v>
      </c>
      <c r="M1170" t="s">
        <v>128</v>
      </c>
    </row>
    <row r="1171" spans="1:13" x14ac:dyDescent="0.3">
      <c r="A1171" t="s">
        <v>4150</v>
      </c>
      <c r="B1171" t="s">
        <v>46</v>
      </c>
      <c r="C1171" t="s">
        <v>25</v>
      </c>
      <c r="D1171" t="s">
        <v>104</v>
      </c>
      <c r="E1171">
        <v>3037</v>
      </c>
      <c r="F1171" t="s">
        <v>4151</v>
      </c>
      <c r="G1171" t="s">
        <v>4152</v>
      </c>
      <c r="H1171" t="s">
        <v>4152</v>
      </c>
      <c r="I1171" t="s">
        <v>12</v>
      </c>
      <c r="J1171" t="s">
        <v>13</v>
      </c>
      <c r="L1171">
        <v>45672</v>
      </c>
      <c r="M1171" t="s">
        <v>76</v>
      </c>
    </row>
    <row r="1172" spans="1:13" x14ac:dyDescent="0.3">
      <c r="A1172" t="s">
        <v>4153</v>
      </c>
      <c r="B1172" t="s">
        <v>46</v>
      </c>
      <c r="C1172" t="s">
        <v>26</v>
      </c>
      <c r="D1172" t="s">
        <v>97</v>
      </c>
      <c r="E1172">
        <v>3036</v>
      </c>
      <c r="F1172" t="s">
        <v>4154</v>
      </c>
      <c r="G1172" t="s">
        <v>4155</v>
      </c>
      <c r="H1172" t="s">
        <v>4156</v>
      </c>
      <c r="I1172" t="s">
        <v>100</v>
      </c>
      <c r="J1172" t="s">
        <v>101</v>
      </c>
      <c r="L1172">
        <v>45743</v>
      </c>
      <c r="M1172" t="s">
        <v>128</v>
      </c>
    </row>
    <row r="1173" spans="1:13" x14ac:dyDescent="0.3">
      <c r="A1173" t="s">
        <v>4157</v>
      </c>
      <c r="B1173" t="s">
        <v>46</v>
      </c>
      <c r="C1173" t="s">
        <v>25</v>
      </c>
      <c r="D1173" t="s">
        <v>118</v>
      </c>
      <c r="E1173">
        <v>3038</v>
      </c>
      <c r="F1173" t="s">
        <v>4158</v>
      </c>
      <c r="G1173" t="s">
        <v>4159</v>
      </c>
      <c r="H1173" t="s">
        <v>4159</v>
      </c>
      <c r="I1173" t="s">
        <v>122</v>
      </c>
      <c r="J1173" t="s">
        <v>123</v>
      </c>
      <c r="K1173" t="s">
        <v>21</v>
      </c>
      <c r="L1173">
        <v>45739</v>
      </c>
      <c r="M1173" t="s">
        <v>581</v>
      </c>
    </row>
    <row r="1174" spans="1:13" x14ac:dyDescent="0.3">
      <c r="A1174" t="s">
        <v>4160</v>
      </c>
      <c r="B1174" t="s">
        <v>37</v>
      </c>
      <c r="C1174" t="s">
        <v>25</v>
      </c>
      <c r="D1174" t="s">
        <v>47</v>
      </c>
      <c r="E1174">
        <v>3032</v>
      </c>
      <c r="F1174" t="s">
        <v>4161</v>
      </c>
      <c r="G1174" t="s">
        <v>4162</v>
      </c>
      <c r="H1174" t="s">
        <v>4162</v>
      </c>
      <c r="I1174" t="s">
        <v>51</v>
      </c>
      <c r="J1174" t="s">
        <v>52</v>
      </c>
      <c r="K1174" t="s">
        <v>21</v>
      </c>
      <c r="L1174">
        <v>45692</v>
      </c>
      <c r="M1174" t="s">
        <v>144</v>
      </c>
    </row>
    <row r="1175" spans="1:13" x14ac:dyDescent="0.3">
      <c r="A1175" t="s">
        <v>4163</v>
      </c>
      <c r="B1175" t="s">
        <v>37</v>
      </c>
      <c r="C1175" t="s">
        <v>26</v>
      </c>
      <c r="D1175" t="s">
        <v>55</v>
      </c>
      <c r="E1175">
        <v>3033</v>
      </c>
      <c r="F1175" t="s">
        <v>4164</v>
      </c>
      <c r="G1175" t="s">
        <v>4165</v>
      </c>
      <c r="H1175" t="s">
        <v>4166</v>
      </c>
      <c r="I1175" t="s">
        <v>58</v>
      </c>
      <c r="J1175" t="s">
        <v>59</v>
      </c>
      <c r="K1175" t="s">
        <v>21</v>
      </c>
      <c r="L1175">
        <v>45712</v>
      </c>
      <c r="M1175" t="s">
        <v>90</v>
      </c>
    </row>
    <row r="1176" spans="1:13" x14ac:dyDescent="0.3">
      <c r="A1176" t="s">
        <v>4167</v>
      </c>
      <c r="B1176" t="s">
        <v>37</v>
      </c>
      <c r="C1176" t="s">
        <v>25</v>
      </c>
      <c r="D1176" t="s">
        <v>78</v>
      </c>
      <c r="E1176">
        <v>3035</v>
      </c>
      <c r="F1176" t="s">
        <v>4168</v>
      </c>
      <c r="G1176" t="s">
        <v>4169</v>
      </c>
      <c r="H1176" t="s">
        <v>4169</v>
      </c>
      <c r="I1176" t="s">
        <v>81</v>
      </c>
      <c r="J1176" t="s">
        <v>82</v>
      </c>
      <c r="K1176" t="s">
        <v>21</v>
      </c>
      <c r="L1176">
        <v>45669</v>
      </c>
      <c r="M1176" t="s">
        <v>205</v>
      </c>
    </row>
    <row r="1177" spans="1:13" x14ac:dyDescent="0.3">
      <c r="A1177" t="s">
        <v>4170</v>
      </c>
      <c r="B1177" t="s">
        <v>46</v>
      </c>
      <c r="C1177" t="s">
        <v>24</v>
      </c>
      <c r="D1177" t="s">
        <v>118</v>
      </c>
      <c r="E1177">
        <v>3038</v>
      </c>
      <c r="F1177" t="s">
        <v>4171</v>
      </c>
      <c r="G1177" t="s">
        <v>4172</v>
      </c>
      <c r="H1177" t="s">
        <v>4173</v>
      </c>
      <c r="I1177" t="s">
        <v>122</v>
      </c>
      <c r="J1177" t="s">
        <v>123</v>
      </c>
      <c r="L1177">
        <v>45722</v>
      </c>
      <c r="M1177" t="s">
        <v>581</v>
      </c>
    </row>
    <row r="1178" spans="1:13" x14ac:dyDescent="0.3">
      <c r="A1178" t="s">
        <v>4174</v>
      </c>
      <c r="B1178" t="s">
        <v>37</v>
      </c>
      <c r="C1178" t="s">
        <v>26</v>
      </c>
      <c r="D1178" t="s">
        <v>55</v>
      </c>
      <c r="E1178">
        <v>3033</v>
      </c>
      <c r="F1178" t="s">
        <v>4175</v>
      </c>
      <c r="G1178" t="s">
        <v>4176</v>
      </c>
      <c r="H1178" t="s">
        <v>4176</v>
      </c>
      <c r="I1178" t="s">
        <v>58</v>
      </c>
      <c r="J1178" t="s">
        <v>59</v>
      </c>
      <c r="L1178">
        <v>45737</v>
      </c>
      <c r="M1178" t="s">
        <v>60</v>
      </c>
    </row>
    <row r="1179" spans="1:13" x14ac:dyDescent="0.3">
      <c r="A1179" t="s">
        <v>4177</v>
      </c>
      <c r="B1179" t="s">
        <v>46</v>
      </c>
      <c r="C1179" t="s">
        <v>26</v>
      </c>
      <c r="D1179" t="s">
        <v>38</v>
      </c>
      <c r="E1179">
        <v>3031</v>
      </c>
      <c r="F1179" t="s">
        <v>4178</v>
      </c>
      <c r="G1179" t="s">
        <v>4179</v>
      </c>
      <c r="H1179" t="s">
        <v>4179</v>
      </c>
      <c r="I1179" t="s">
        <v>42</v>
      </c>
      <c r="J1179" t="s">
        <v>43</v>
      </c>
      <c r="L1179">
        <v>45732</v>
      </c>
      <c r="M1179" t="s">
        <v>76</v>
      </c>
    </row>
    <row r="1180" spans="1:13" x14ac:dyDescent="0.3">
      <c r="A1180" t="s">
        <v>4180</v>
      </c>
      <c r="B1180" t="s">
        <v>46</v>
      </c>
      <c r="C1180" t="s">
        <v>24</v>
      </c>
      <c r="D1180" t="s">
        <v>118</v>
      </c>
      <c r="E1180">
        <v>3038</v>
      </c>
      <c r="F1180" t="s">
        <v>4181</v>
      </c>
      <c r="G1180" t="s">
        <v>4182</v>
      </c>
      <c r="H1180" t="s">
        <v>4183</v>
      </c>
      <c r="I1180" t="s">
        <v>122</v>
      </c>
      <c r="J1180" t="s">
        <v>123</v>
      </c>
      <c r="L1180">
        <v>45717</v>
      </c>
      <c r="M1180" t="s">
        <v>581</v>
      </c>
    </row>
    <row r="1181" spans="1:13" x14ac:dyDescent="0.3">
      <c r="A1181" t="s">
        <v>4184</v>
      </c>
      <c r="B1181" t="s">
        <v>46</v>
      </c>
      <c r="C1181" t="s">
        <v>24</v>
      </c>
      <c r="D1181" t="s">
        <v>38</v>
      </c>
      <c r="E1181">
        <v>3031</v>
      </c>
      <c r="F1181" t="s">
        <v>4185</v>
      </c>
      <c r="G1181" t="s">
        <v>4186</v>
      </c>
      <c r="H1181" t="s">
        <v>4186</v>
      </c>
      <c r="I1181" t="s">
        <v>42</v>
      </c>
      <c r="J1181" t="s">
        <v>43</v>
      </c>
      <c r="L1181">
        <v>45720</v>
      </c>
      <c r="M1181" t="s">
        <v>287</v>
      </c>
    </row>
    <row r="1182" spans="1:13" x14ac:dyDescent="0.3">
      <c r="A1182" t="s">
        <v>4187</v>
      </c>
      <c r="B1182" t="s">
        <v>46</v>
      </c>
      <c r="C1182" t="s">
        <v>22</v>
      </c>
      <c r="D1182" t="s">
        <v>207</v>
      </c>
      <c r="E1182">
        <v>3041</v>
      </c>
      <c r="F1182" t="s">
        <v>4188</v>
      </c>
      <c r="G1182" t="s">
        <v>4189</v>
      </c>
      <c r="H1182" t="s">
        <v>4189</v>
      </c>
      <c r="I1182" t="s">
        <v>211</v>
      </c>
      <c r="J1182" t="s">
        <v>14</v>
      </c>
      <c r="L1182">
        <v>45689</v>
      </c>
      <c r="M1182" t="s">
        <v>577</v>
      </c>
    </row>
    <row r="1183" spans="1:13" x14ac:dyDescent="0.3">
      <c r="A1183" t="s">
        <v>4190</v>
      </c>
      <c r="B1183" t="s">
        <v>46</v>
      </c>
      <c r="C1183" t="s">
        <v>22</v>
      </c>
      <c r="D1183" t="s">
        <v>78</v>
      </c>
      <c r="E1183">
        <v>3035</v>
      </c>
      <c r="F1183" t="s">
        <v>4191</v>
      </c>
      <c r="G1183" t="s">
        <v>4192</v>
      </c>
      <c r="H1183" t="s">
        <v>4192</v>
      </c>
      <c r="I1183" t="s">
        <v>81</v>
      </c>
      <c r="J1183" t="s">
        <v>82</v>
      </c>
      <c r="L1183">
        <v>45677</v>
      </c>
      <c r="M1183" t="s">
        <v>95</v>
      </c>
    </row>
    <row r="1184" spans="1:13" x14ac:dyDescent="0.3">
      <c r="A1184" t="s">
        <v>4193</v>
      </c>
      <c r="B1184" t="s">
        <v>46</v>
      </c>
      <c r="C1184" t="s">
        <v>22</v>
      </c>
      <c r="D1184" t="s">
        <v>118</v>
      </c>
      <c r="E1184">
        <v>3038</v>
      </c>
      <c r="F1184" t="s">
        <v>4194</v>
      </c>
      <c r="G1184" t="s">
        <v>4195</v>
      </c>
      <c r="H1184" t="s">
        <v>4195</v>
      </c>
      <c r="I1184" t="s">
        <v>122</v>
      </c>
      <c r="J1184" t="s">
        <v>123</v>
      </c>
      <c r="L1184">
        <v>45740</v>
      </c>
      <c r="M1184" t="s">
        <v>389</v>
      </c>
    </row>
    <row r="1185" spans="1:13" x14ac:dyDescent="0.3">
      <c r="A1185" t="s">
        <v>4196</v>
      </c>
      <c r="B1185" t="s">
        <v>46</v>
      </c>
      <c r="C1185" t="s">
        <v>24</v>
      </c>
      <c r="D1185" t="s">
        <v>71</v>
      </c>
      <c r="E1185">
        <v>3034</v>
      </c>
      <c r="F1185" t="s">
        <v>4197</v>
      </c>
      <c r="G1185" t="s">
        <v>4198</v>
      </c>
      <c r="H1185" t="s">
        <v>4198</v>
      </c>
      <c r="I1185" t="s">
        <v>74</v>
      </c>
      <c r="J1185" t="s">
        <v>75</v>
      </c>
      <c r="L1185">
        <v>45660</v>
      </c>
      <c r="M1185" t="s">
        <v>112</v>
      </c>
    </row>
    <row r="1186" spans="1:13" x14ac:dyDescent="0.3">
      <c r="A1186" t="s">
        <v>4199</v>
      </c>
      <c r="B1186" t="s">
        <v>37</v>
      </c>
      <c r="C1186" t="s">
        <v>26</v>
      </c>
      <c r="D1186" t="s">
        <v>118</v>
      </c>
      <c r="E1186">
        <v>3038</v>
      </c>
      <c r="F1186" t="s">
        <v>4200</v>
      </c>
      <c r="G1186" t="s">
        <v>4201</v>
      </c>
      <c r="H1186" t="s">
        <v>4202</v>
      </c>
      <c r="I1186" t="s">
        <v>122</v>
      </c>
      <c r="J1186" t="s">
        <v>123</v>
      </c>
      <c r="L1186">
        <v>45660</v>
      </c>
      <c r="M1186" t="s">
        <v>581</v>
      </c>
    </row>
    <row r="1187" spans="1:13" x14ac:dyDescent="0.3">
      <c r="A1187" t="s">
        <v>4203</v>
      </c>
      <c r="B1187" t="s">
        <v>37</v>
      </c>
      <c r="C1187" t="s">
        <v>24</v>
      </c>
      <c r="D1187" t="s">
        <v>47</v>
      </c>
      <c r="E1187">
        <v>3032</v>
      </c>
      <c r="F1187" t="s">
        <v>1277</v>
      </c>
      <c r="G1187" t="s">
        <v>4204</v>
      </c>
      <c r="H1187" t="s">
        <v>4204</v>
      </c>
      <c r="I1187" t="s">
        <v>51</v>
      </c>
      <c r="J1187" t="s">
        <v>52</v>
      </c>
      <c r="K1187" t="s">
        <v>21</v>
      </c>
      <c r="L1187">
        <v>45730</v>
      </c>
      <c r="M1187" t="s">
        <v>542</v>
      </c>
    </row>
    <row r="1188" spans="1:13" x14ac:dyDescent="0.3">
      <c r="A1188" t="s">
        <v>4205</v>
      </c>
      <c r="B1188" t="s">
        <v>37</v>
      </c>
      <c r="C1188" t="s">
        <v>26</v>
      </c>
      <c r="D1188" t="s">
        <v>71</v>
      </c>
      <c r="E1188">
        <v>3034</v>
      </c>
      <c r="F1188" t="s">
        <v>4206</v>
      </c>
      <c r="G1188" t="s">
        <v>4207</v>
      </c>
      <c r="H1188" t="s">
        <v>4207</v>
      </c>
      <c r="I1188" t="s">
        <v>74</v>
      </c>
      <c r="J1188" t="s">
        <v>75</v>
      </c>
      <c r="L1188">
        <v>45689</v>
      </c>
      <c r="M1188" t="s">
        <v>205</v>
      </c>
    </row>
    <row r="1189" spans="1:13" x14ac:dyDescent="0.3">
      <c r="A1189" t="s">
        <v>4208</v>
      </c>
      <c r="B1189" t="s">
        <v>37</v>
      </c>
      <c r="C1189" t="s">
        <v>24</v>
      </c>
      <c r="D1189" t="s">
        <v>38</v>
      </c>
      <c r="E1189">
        <v>3031</v>
      </c>
      <c r="F1189" t="s">
        <v>4209</v>
      </c>
      <c r="G1189" t="s">
        <v>4210</v>
      </c>
      <c r="H1189" t="s">
        <v>4211</v>
      </c>
      <c r="I1189" t="s">
        <v>42</v>
      </c>
      <c r="J1189" t="s">
        <v>43</v>
      </c>
      <c r="K1189" t="s">
        <v>21</v>
      </c>
      <c r="L1189">
        <v>45727</v>
      </c>
      <c r="M1189" t="s">
        <v>287</v>
      </c>
    </row>
    <row r="1190" spans="1:13" x14ac:dyDescent="0.3">
      <c r="A1190" t="s">
        <v>4212</v>
      </c>
      <c r="B1190" t="s">
        <v>46</v>
      </c>
      <c r="C1190" t="s">
        <v>25</v>
      </c>
      <c r="D1190" t="s">
        <v>47</v>
      </c>
      <c r="E1190">
        <v>3032</v>
      </c>
      <c r="F1190" t="s">
        <v>4213</v>
      </c>
      <c r="G1190" t="s">
        <v>4214</v>
      </c>
      <c r="H1190" t="s">
        <v>4215</v>
      </c>
      <c r="I1190" t="s">
        <v>51</v>
      </c>
      <c r="J1190" t="s">
        <v>52</v>
      </c>
      <c r="L1190">
        <v>45660</v>
      </c>
      <c r="M1190" t="s">
        <v>476</v>
      </c>
    </row>
    <row r="1191" spans="1:13" x14ac:dyDescent="0.3">
      <c r="A1191" t="s">
        <v>4216</v>
      </c>
      <c r="B1191" t="s">
        <v>37</v>
      </c>
      <c r="C1191" t="s">
        <v>24</v>
      </c>
      <c r="D1191" t="s">
        <v>71</v>
      </c>
      <c r="E1191">
        <v>3034</v>
      </c>
      <c r="F1191" t="s">
        <v>4217</v>
      </c>
      <c r="G1191" t="s">
        <v>4218</v>
      </c>
      <c r="H1191" t="s">
        <v>4218</v>
      </c>
      <c r="I1191" t="s">
        <v>74</v>
      </c>
      <c r="J1191" t="s">
        <v>75</v>
      </c>
      <c r="L1191">
        <v>45713</v>
      </c>
      <c r="M1191" t="s">
        <v>165</v>
      </c>
    </row>
    <row r="1192" spans="1:13" x14ac:dyDescent="0.3">
      <c r="A1192" t="s">
        <v>4219</v>
      </c>
      <c r="B1192" t="s">
        <v>46</v>
      </c>
      <c r="C1192" t="s">
        <v>24</v>
      </c>
      <c r="D1192" t="s">
        <v>118</v>
      </c>
      <c r="E1192">
        <v>3038</v>
      </c>
      <c r="F1192" t="s">
        <v>4220</v>
      </c>
      <c r="G1192" t="s">
        <v>4221</v>
      </c>
      <c r="H1192" t="s">
        <v>4222</v>
      </c>
      <c r="I1192" t="s">
        <v>122</v>
      </c>
      <c r="J1192" t="s">
        <v>123</v>
      </c>
      <c r="L1192">
        <v>45688</v>
      </c>
      <c r="M1192" t="s">
        <v>95</v>
      </c>
    </row>
    <row r="1193" spans="1:13" x14ac:dyDescent="0.3">
      <c r="A1193" t="s">
        <v>4223</v>
      </c>
      <c r="B1193" t="s">
        <v>46</v>
      </c>
      <c r="C1193" t="s">
        <v>22</v>
      </c>
      <c r="D1193" t="s">
        <v>71</v>
      </c>
      <c r="E1193">
        <v>3034</v>
      </c>
      <c r="F1193" t="s">
        <v>4224</v>
      </c>
      <c r="G1193" t="s">
        <v>4225</v>
      </c>
      <c r="H1193" t="s">
        <v>4226</v>
      </c>
      <c r="I1193" t="s">
        <v>74</v>
      </c>
      <c r="J1193" t="s">
        <v>75</v>
      </c>
      <c r="L1193">
        <v>45727</v>
      </c>
      <c r="M1193" t="s">
        <v>76</v>
      </c>
    </row>
    <row r="1194" spans="1:13" x14ac:dyDescent="0.3">
      <c r="A1194" t="s">
        <v>4227</v>
      </c>
      <c r="B1194" t="s">
        <v>37</v>
      </c>
      <c r="C1194" t="s">
        <v>22</v>
      </c>
      <c r="D1194" t="s">
        <v>191</v>
      </c>
      <c r="E1194">
        <v>3040</v>
      </c>
      <c r="F1194" t="s">
        <v>4228</v>
      </c>
      <c r="G1194" t="s">
        <v>4229</v>
      </c>
      <c r="H1194" t="s">
        <v>4230</v>
      </c>
      <c r="I1194" t="s">
        <v>194</v>
      </c>
      <c r="J1194" t="s">
        <v>13</v>
      </c>
      <c r="L1194">
        <v>45739</v>
      </c>
      <c r="M1194" t="s">
        <v>300</v>
      </c>
    </row>
    <row r="1195" spans="1:13" x14ac:dyDescent="0.3">
      <c r="A1195" t="s">
        <v>4231</v>
      </c>
      <c r="B1195" t="s">
        <v>46</v>
      </c>
      <c r="C1195" t="s">
        <v>22</v>
      </c>
      <c r="D1195" t="s">
        <v>136</v>
      </c>
      <c r="E1195">
        <v>3039</v>
      </c>
      <c r="F1195" t="s">
        <v>4232</v>
      </c>
      <c r="G1195" t="s">
        <v>4233</v>
      </c>
      <c r="H1195" t="s">
        <v>4234</v>
      </c>
      <c r="I1195" t="s">
        <v>15</v>
      </c>
      <c r="J1195" t="s">
        <v>14</v>
      </c>
      <c r="L1195">
        <v>45725</v>
      </c>
      <c r="M1195" t="s">
        <v>140</v>
      </c>
    </row>
    <row r="1196" spans="1:13" x14ac:dyDescent="0.3">
      <c r="A1196" t="s">
        <v>4235</v>
      </c>
      <c r="B1196" t="s">
        <v>46</v>
      </c>
      <c r="C1196" t="s">
        <v>26</v>
      </c>
      <c r="D1196" t="s">
        <v>444</v>
      </c>
      <c r="E1196">
        <v>3042</v>
      </c>
      <c r="F1196" t="s">
        <v>1241</v>
      </c>
      <c r="G1196" t="s">
        <v>4236</v>
      </c>
      <c r="H1196" t="s">
        <v>4236</v>
      </c>
      <c r="I1196" t="s">
        <v>448</v>
      </c>
      <c r="J1196" t="s">
        <v>449</v>
      </c>
      <c r="L1196">
        <v>45675</v>
      </c>
      <c r="M1196" t="s">
        <v>363</v>
      </c>
    </row>
    <row r="1197" spans="1:13" x14ac:dyDescent="0.3">
      <c r="A1197" t="s">
        <v>4237</v>
      </c>
      <c r="B1197" t="s">
        <v>46</v>
      </c>
      <c r="C1197" t="s">
        <v>25</v>
      </c>
      <c r="D1197" t="s">
        <v>136</v>
      </c>
      <c r="E1197">
        <v>3039</v>
      </c>
      <c r="F1197" t="s">
        <v>4238</v>
      </c>
      <c r="G1197" t="s">
        <v>4239</v>
      </c>
      <c r="H1197" t="s">
        <v>4239</v>
      </c>
      <c r="I1197" t="s">
        <v>15</v>
      </c>
      <c r="J1197" t="s">
        <v>14</v>
      </c>
      <c r="L1197">
        <v>45712</v>
      </c>
      <c r="M1197" t="s">
        <v>987</v>
      </c>
    </row>
    <row r="1198" spans="1:13" x14ac:dyDescent="0.3">
      <c r="A1198" t="s">
        <v>4240</v>
      </c>
      <c r="B1198" t="s">
        <v>46</v>
      </c>
      <c r="C1198" t="s">
        <v>22</v>
      </c>
      <c r="D1198" t="s">
        <v>78</v>
      </c>
      <c r="E1198">
        <v>3035</v>
      </c>
      <c r="F1198" t="s">
        <v>4241</v>
      </c>
      <c r="G1198" t="s">
        <v>4242</v>
      </c>
      <c r="H1198" t="s">
        <v>4242</v>
      </c>
      <c r="I1198" t="s">
        <v>81</v>
      </c>
      <c r="J1198" t="s">
        <v>82</v>
      </c>
      <c r="L1198">
        <v>45660</v>
      </c>
      <c r="M1198" t="s">
        <v>489</v>
      </c>
    </row>
    <row r="1199" spans="1:13" x14ac:dyDescent="0.3">
      <c r="A1199" t="s">
        <v>4243</v>
      </c>
      <c r="B1199" t="s">
        <v>46</v>
      </c>
      <c r="C1199" t="s">
        <v>26</v>
      </c>
      <c r="D1199" t="s">
        <v>38</v>
      </c>
      <c r="E1199">
        <v>3031</v>
      </c>
      <c r="F1199" t="s">
        <v>4244</v>
      </c>
      <c r="G1199" t="s">
        <v>4245</v>
      </c>
      <c r="H1199" t="s">
        <v>4245</v>
      </c>
      <c r="I1199" t="s">
        <v>42</v>
      </c>
      <c r="J1199" t="s">
        <v>43</v>
      </c>
      <c r="L1199">
        <v>45691</v>
      </c>
      <c r="M1199" t="s">
        <v>287</v>
      </c>
    </row>
    <row r="1200" spans="1:13" x14ac:dyDescent="0.3">
      <c r="A1200" t="s">
        <v>4246</v>
      </c>
      <c r="B1200" t="s">
        <v>37</v>
      </c>
      <c r="C1200" t="s">
        <v>26</v>
      </c>
      <c r="D1200" t="s">
        <v>191</v>
      </c>
      <c r="E1200">
        <v>3040</v>
      </c>
      <c r="F1200" t="s">
        <v>4247</v>
      </c>
      <c r="G1200" t="s">
        <v>4248</v>
      </c>
      <c r="H1200" t="s">
        <v>4249</v>
      </c>
      <c r="I1200" t="s">
        <v>194</v>
      </c>
      <c r="J1200" t="s">
        <v>13</v>
      </c>
      <c r="L1200">
        <v>45718</v>
      </c>
      <c r="M1200" t="s">
        <v>160</v>
      </c>
    </row>
    <row r="1201" spans="1:13" x14ac:dyDescent="0.3">
      <c r="A1201" t="s">
        <v>4250</v>
      </c>
      <c r="B1201" t="s">
        <v>37</v>
      </c>
      <c r="C1201" t="s">
        <v>26</v>
      </c>
      <c r="D1201" t="s">
        <v>191</v>
      </c>
      <c r="E1201">
        <v>3040</v>
      </c>
      <c r="F1201" t="s">
        <v>425</v>
      </c>
      <c r="G1201" t="s">
        <v>4251</v>
      </c>
      <c r="H1201" t="s">
        <v>4251</v>
      </c>
      <c r="I1201" t="s">
        <v>194</v>
      </c>
      <c r="J1201" t="s">
        <v>13</v>
      </c>
      <c r="L1201">
        <v>45676</v>
      </c>
      <c r="M1201" t="s">
        <v>717</v>
      </c>
    </row>
    <row r="1202" spans="1:13" x14ac:dyDescent="0.3">
      <c r="A1202" t="s">
        <v>4252</v>
      </c>
      <c r="B1202" t="s">
        <v>46</v>
      </c>
      <c r="C1202" t="s">
        <v>24</v>
      </c>
      <c r="D1202" t="s">
        <v>191</v>
      </c>
      <c r="E1202">
        <v>3040</v>
      </c>
      <c r="F1202" t="s">
        <v>4253</v>
      </c>
      <c r="G1202" t="s">
        <v>4254</v>
      </c>
      <c r="H1202" t="s">
        <v>4254</v>
      </c>
      <c r="I1202" t="s">
        <v>194</v>
      </c>
      <c r="J1202" t="s">
        <v>13</v>
      </c>
      <c r="L1202">
        <v>45693</v>
      </c>
      <c r="M1202" t="s">
        <v>160</v>
      </c>
    </row>
    <row r="1203" spans="1:13" x14ac:dyDescent="0.3">
      <c r="A1203" t="s">
        <v>4255</v>
      </c>
      <c r="B1203" t="s">
        <v>46</v>
      </c>
      <c r="C1203" t="s">
        <v>26</v>
      </c>
      <c r="D1203" t="s">
        <v>191</v>
      </c>
      <c r="E1203">
        <v>3040</v>
      </c>
      <c r="F1203" t="s">
        <v>4256</v>
      </c>
      <c r="G1203" t="s">
        <v>4257</v>
      </c>
      <c r="H1203" t="s">
        <v>4258</v>
      </c>
      <c r="I1203" t="s">
        <v>194</v>
      </c>
      <c r="J1203" t="s">
        <v>13</v>
      </c>
      <c r="L1203">
        <v>45722</v>
      </c>
      <c r="M1203" t="s">
        <v>717</v>
      </c>
    </row>
    <row r="1204" spans="1:13" x14ac:dyDescent="0.3">
      <c r="A1204" t="s">
        <v>4259</v>
      </c>
      <c r="B1204" t="s">
        <v>37</v>
      </c>
      <c r="C1204" t="s">
        <v>22</v>
      </c>
      <c r="D1204" t="s">
        <v>207</v>
      </c>
      <c r="E1204">
        <v>3041</v>
      </c>
      <c r="F1204" t="s">
        <v>4260</v>
      </c>
      <c r="G1204" t="s">
        <v>4261</v>
      </c>
      <c r="H1204" t="s">
        <v>4262</v>
      </c>
      <c r="I1204" t="s">
        <v>211</v>
      </c>
      <c r="J1204" t="s">
        <v>14</v>
      </c>
      <c r="L1204">
        <v>45701</v>
      </c>
      <c r="M1204" t="s">
        <v>212</v>
      </c>
    </row>
    <row r="1205" spans="1:13" x14ac:dyDescent="0.3">
      <c r="A1205" t="s">
        <v>4263</v>
      </c>
      <c r="B1205" t="s">
        <v>46</v>
      </c>
      <c r="C1205" t="s">
        <v>25</v>
      </c>
      <c r="D1205" t="s">
        <v>191</v>
      </c>
      <c r="E1205">
        <v>3040</v>
      </c>
      <c r="F1205" t="s">
        <v>2059</v>
      </c>
      <c r="G1205" t="s">
        <v>4264</v>
      </c>
      <c r="H1205" t="s">
        <v>4264</v>
      </c>
      <c r="I1205" t="s">
        <v>194</v>
      </c>
      <c r="J1205" t="s">
        <v>13</v>
      </c>
      <c r="L1205">
        <v>45712</v>
      </c>
      <c r="M1205" t="s">
        <v>195</v>
      </c>
    </row>
    <row r="1206" spans="1:13" x14ac:dyDescent="0.3">
      <c r="A1206" t="s">
        <v>4265</v>
      </c>
      <c r="B1206" t="s">
        <v>46</v>
      </c>
      <c r="C1206" t="s">
        <v>26</v>
      </c>
      <c r="D1206" t="s">
        <v>47</v>
      </c>
      <c r="E1206">
        <v>3032</v>
      </c>
      <c r="F1206" t="s">
        <v>4266</v>
      </c>
      <c r="G1206" t="s">
        <v>4267</v>
      </c>
      <c r="H1206" t="s">
        <v>4267</v>
      </c>
      <c r="I1206" t="s">
        <v>51</v>
      </c>
      <c r="J1206" t="s">
        <v>52</v>
      </c>
      <c r="K1206" t="s">
        <v>21</v>
      </c>
      <c r="L1206">
        <v>45687</v>
      </c>
      <c r="M1206" t="s">
        <v>53</v>
      </c>
    </row>
    <row r="1207" spans="1:13" x14ac:dyDescent="0.3">
      <c r="A1207" t="s">
        <v>4268</v>
      </c>
      <c r="B1207" t="s">
        <v>37</v>
      </c>
      <c r="C1207" t="s">
        <v>22</v>
      </c>
      <c r="D1207" t="s">
        <v>38</v>
      </c>
      <c r="E1207">
        <v>3031</v>
      </c>
      <c r="F1207" t="s">
        <v>3226</v>
      </c>
      <c r="G1207" t="s">
        <v>4269</v>
      </c>
      <c r="H1207" t="s">
        <v>4270</v>
      </c>
      <c r="I1207" t="s">
        <v>42</v>
      </c>
      <c r="J1207" t="s">
        <v>43</v>
      </c>
      <c r="L1207">
        <v>45692</v>
      </c>
      <c r="M1207" t="s">
        <v>44</v>
      </c>
    </row>
    <row r="1208" spans="1:13" x14ac:dyDescent="0.3">
      <c r="A1208" t="s">
        <v>4271</v>
      </c>
      <c r="B1208" t="s">
        <v>37</v>
      </c>
      <c r="C1208" t="s">
        <v>26</v>
      </c>
      <c r="D1208" t="s">
        <v>444</v>
      </c>
      <c r="E1208">
        <v>3042</v>
      </c>
      <c r="F1208" t="s">
        <v>4272</v>
      </c>
      <c r="G1208" t="s">
        <v>4273</v>
      </c>
      <c r="H1208" t="s">
        <v>4274</v>
      </c>
      <c r="I1208" t="s">
        <v>448</v>
      </c>
      <c r="J1208" t="s">
        <v>449</v>
      </c>
      <c r="L1208">
        <v>45676</v>
      </c>
      <c r="M1208" t="s">
        <v>224</v>
      </c>
    </row>
    <row r="1209" spans="1:13" x14ac:dyDescent="0.3">
      <c r="A1209" t="s">
        <v>4275</v>
      </c>
      <c r="B1209" t="s">
        <v>37</v>
      </c>
      <c r="C1209" t="s">
        <v>25</v>
      </c>
      <c r="D1209" t="s">
        <v>136</v>
      </c>
      <c r="E1209">
        <v>3039</v>
      </c>
      <c r="F1209" t="s">
        <v>4276</v>
      </c>
      <c r="G1209" t="s">
        <v>4277</v>
      </c>
      <c r="H1209" t="s">
        <v>4278</v>
      </c>
      <c r="I1209" t="s">
        <v>15</v>
      </c>
      <c r="J1209" t="s">
        <v>14</v>
      </c>
      <c r="L1209">
        <v>45678</v>
      </c>
      <c r="M1209" t="s">
        <v>382</v>
      </c>
    </row>
    <row r="1210" spans="1:13" x14ac:dyDescent="0.3">
      <c r="A1210" t="s">
        <v>4279</v>
      </c>
      <c r="B1210" t="s">
        <v>37</v>
      </c>
      <c r="C1210" t="s">
        <v>25</v>
      </c>
      <c r="D1210" t="s">
        <v>97</v>
      </c>
      <c r="E1210">
        <v>3036</v>
      </c>
      <c r="F1210" t="s">
        <v>4280</v>
      </c>
      <c r="G1210" t="s">
        <v>4281</v>
      </c>
      <c r="H1210" t="s">
        <v>4281</v>
      </c>
      <c r="I1210" t="s">
        <v>100</v>
      </c>
      <c r="J1210" t="s">
        <v>101</v>
      </c>
      <c r="K1210" t="s">
        <v>21</v>
      </c>
      <c r="L1210">
        <v>45671</v>
      </c>
      <c r="M1210" t="s">
        <v>292</v>
      </c>
    </row>
    <row r="1211" spans="1:13" x14ac:dyDescent="0.3">
      <c r="A1211" t="s">
        <v>4282</v>
      </c>
      <c r="B1211" t="s">
        <v>37</v>
      </c>
      <c r="C1211" t="s">
        <v>26</v>
      </c>
      <c r="D1211" t="s">
        <v>97</v>
      </c>
      <c r="E1211">
        <v>3036</v>
      </c>
      <c r="F1211" t="s">
        <v>4283</v>
      </c>
      <c r="G1211" t="s">
        <v>4284</v>
      </c>
      <c r="H1211" t="s">
        <v>4285</v>
      </c>
      <c r="I1211" t="s">
        <v>100</v>
      </c>
      <c r="J1211" t="s">
        <v>101</v>
      </c>
      <c r="L1211">
        <v>45698</v>
      </c>
      <c r="M1211" t="s">
        <v>65</v>
      </c>
    </row>
    <row r="1212" spans="1:13" x14ac:dyDescent="0.3">
      <c r="A1212" t="s">
        <v>4286</v>
      </c>
      <c r="B1212" t="s">
        <v>37</v>
      </c>
      <c r="C1212" t="s">
        <v>26</v>
      </c>
      <c r="D1212" t="s">
        <v>78</v>
      </c>
      <c r="E1212">
        <v>3035</v>
      </c>
      <c r="F1212" t="s">
        <v>4287</v>
      </c>
      <c r="G1212" t="s">
        <v>4288</v>
      </c>
      <c r="H1212" t="s">
        <v>4288</v>
      </c>
      <c r="I1212" t="s">
        <v>81</v>
      </c>
      <c r="J1212" t="s">
        <v>82</v>
      </c>
      <c r="K1212" t="s">
        <v>21</v>
      </c>
      <c r="L1212">
        <v>45670</v>
      </c>
      <c r="M1212" t="s">
        <v>287</v>
      </c>
    </row>
    <row r="1213" spans="1:13" x14ac:dyDescent="0.3">
      <c r="A1213" t="s">
        <v>4289</v>
      </c>
      <c r="B1213" t="s">
        <v>46</v>
      </c>
      <c r="C1213" t="s">
        <v>25</v>
      </c>
      <c r="D1213" t="s">
        <v>78</v>
      </c>
      <c r="E1213">
        <v>3035</v>
      </c>
      <c r="F1213" t="s">
        <v>4290</v>
      </c>
      <c r="G1213" t="s">
        <v>4291</v>
      </c>
      <c r="H1213" t="s">
        <v>4292</v>
      </c>
      <c r="I1213" t="s">
        <v>81</v>
      </c>
      <c r="J1213" t="s">
        <v>82</v>
      </c>
      <c r="K1213" t="s">
        <v>21</v>
      </c>
      <c r="L1213">
        <v>45674</v>
      </c>
      <c r="M1213" t="s">
        <v>205</v>
      </c>
    </row>
    <row r="1214" spans="1:13" x14ac:dyDescent="0.3">
      <c r="A1214" t="s">
        <v>4293</v>
      </c>
      <c r="B1214" t="s">
        <v>46</v>
      </c>
      <c r="C1214" t="s">
        <v>26</v>
      </c>
      <c r="D1214" t="s">
        <v>47</v>
      </c>
      <c r="E1214">
        <v>3032</v>
      </c>
      <c r="F1214" t="s">
        <v>4294</v>
      </c>
      <c r="G1214" t="s">
        <v>4295</v>
      </c>
      <c r="H1214" t="s">
        <v>4295</v>
      </c>
      <c r="I1214" t="s">
        <v>51</v>
      </c>
      <c r="J1214" t="s">
        <v>52</v>
      </c>
      <c r="K1214" t="s">
        <v>21</v>
      </c>
      <c r="L1214">
        <v>45737</v>
      </c>
      <c r="M1214" t="s">
        <v>90</v>
      </c>
    </row>
    <row r="1215" spans="1:13" x14ac:dyDescent="0.3">
      <c r="A1215" t="s">
        <v>4296</v>
      </c>
      <c r="B1215" t="s">
        <v>37</v>
      </c>
      <c r="C1215" t="s">
        <v>25</v>
      </c>
      <c r="D1215" t="s">
        <v>97</v>
      </c>
      <c r="E1215">
        <v>3036</v>
      </c>
      <c r="F1215" t="s">
        <v>4297</v>
      </c>
      <c r="G1215" t="s">
        <v>4298</v>
      </c>
      <c r="H1215" t="s">
        <v>4299</v>
      </c>
      <c r="I1215" t="s">
        <v>100</v>
      </c>
      <c r="J1215" t="s">
        <v>101</v>
      </c>
      <c r="L1215">
        <v>45738</v>
      </c>
      <c r="M1215" t="s">
        <v>128</v>
      </c>
    </row>
    <row r="1216" spans="1:13" x14ac:dyDescent="0.3">
      <c r="A1216" t="s">
        <v>4300</v>
      </c>
      <c r="B1216" t="s">
        <v>37</v>
      </c>
      <c r="C1216" t="s">
        <v>22</v>
      </c>
      <c r="D1216" t="s">
        <v>444</v>
      </c>
      <c r="E1216">
        <v>3042</v>
      </c>
      <c r="F1216" t="s">
        <v>4301</v>
      </c>
      <c r="G1216" t="s">
        <v>4302</v>
      </c>
      <c r="H1216" t="s">
        <v>4303</v>
      </c>
      <c r="I1216" t="s">
        <v>448</v>
      </c>
      <c r="J1216" t="s">
        <v>449</v>
      </c>
      <c r="L1216">
        <v>45722</v>
      </c>
      <c r="M1216" t="s">
        <v>107</v>
      </c>
    </row>
    <row r="1217" spans="1:13" x14ac:dyDescent="0.3">
      <c r="A1217" t="s">
        <v>4304</v>
      </c>
      <c r="B1217" t="s">
        <v>46</v>
      </c>
      <c r="C1217" t="s">
        <v>22</v>
      </c>
      <c r="D1217" t="s">
        <v>136</v>
      </c>
      <c r="E1217">
        <v>3039</v>
      </c>
      <c r="F1217" t="s">
        <v>4305</v>
      </c>
      <c r="G1217" t="s">
        <v>4306</v>
      </c>
      <c r="H1217" t="s">
        <v>4306</v>
      </c>
      <c r="I1217" t="s">
        <v>15</v>
      </c>
      <c r="J1217" t="s">
        <v>14</v>
      </c>
      <c r="K1217" t="s">
        <v>21</v>
      </c>
      <c r="L1217">
        <v>45691</v>
      </c>
      <c r="M1217" t="s">
        <v>389</v>
      </c>
    </row>
    <row r="1218" spans="1:13" x14ac:dyDescent="0.3">
      <c r="A1218" t="s">
        <v>4307</v>
      </c>
      <c r="B1218" t="s">
        <v>46</v>
      </c>
      <c r="C1218" t="s">
        <v>26</v>
      </c>
      <c r="D1218" t="s">
        <v>444</v>
      </c>
      <c r="E1218">
        <v>3042</v>
      </c>
      <c r="F1218" t="s">
        <v>4308</v>
      </c>
      <c r="G1218" t="s">
        <v>4309</v>
      </c>
      <c r="H1218" t="s">
        <v>4309</v>
      </c>
      <c r="I1218" t="s">
        <v>448</v>
      </c>
      <c r="J1218" t="s">
        <v>449</v>
      </c>
      <c r="L1218">
        <v>45690</v>
      </c>
      <c r="M1218" t="s">
        <v>450</v>
      </c>
    </row>
    <row r="1219" spans="1:13" x14ac:dyDescent="0.3">
      <c r="A1219" t="s">
        <v>4310</v>
      </c>
      <c r="B1219" t="s">
        <v>37</v>
      </c>
      <c r="C1219" t="s">
        <v>26</v>
      </c>
      <c r="D1219" t="s">
        <v>444</v>
      </c>
      <c r="E1219">
        <v>3042</v>
      </c>
      <c r="F1219" t="s">
        <v>4311</v>
      </c>
      <c r="G1219" t="s">
        <v>4312</v>
      </c>
      <c r="H1219" t="s">
        <v>4312</v>
      </c>
      <c r="I1219" t="s">
        <v>448</v>
      </c>
      <c r="J1219" t="s">
        <v>449</v>
      </c>
      <c r="L1219">
        <v>45671</v>
      </c>
      <c r="M1219" t="s">
        <v>481</v>
      </c>
    </row>
    <row r="1220" spans="1:13" x14ac:dyDescent="0.3">
      <c r="A1220" t="s">
        <v>4313</v>
      </c>
      <c r="B1220" t="s">
        <v>46</v>
      </c>
      <c r="C1220" t="s">
        <v>24</v>
      </c>
      <c r="D1220" t="s">
        <v>78</v>
      </c>
      <c r="E1220">
        <v>3035</v>
      </c>
      <c r="F1220" t="s">
        <v>4314</v>
      </c>
      <c r="G1220" t="s">
        <v>4315</v>
      </c>
      <c r="H1220" t="s">
        <v>4315</v>
      </c>
      <c r="I1220" t="s">
        <v>81</v>
      </c>
      <c r="J1220" t="s">
        <v>82</v>
      </c>
      <c r="K1220" t="s">
        <v>21</v>
      </c>
      <c r="L1220">
        <v>45693</v>
      </c>
      <c r="M1220" t="s">
        <v>69</v>
      </c>
    </row>
    <row r="1221" spans="1:13" x14ac:dyDescent="0.3">
      <c r="A1221" t="s">
        <v>4316</v>
      </c>
      <c r="B1221" t="s">
        <v>46</v>
      </c>
      <c r="C1221" t="s">
        <v>24</v>
      </c>
      <c r="D1221" t="s">
        <v>55</v>
      </c>
      <c r="E1221">
        <v>3033</v>
      </c>
      <c r="F1221" t="s">
        <v>4317</v>
      </c>
      <c r="G1221" t="s">
        <v>4318</v>
      </c>
      <c r="H1221" t="s">
        <v>4318</v>
      </c>
      <c r="I1221" t="s">
        <v>58</v>
      </c>
      <c r="J1221" t="s">
        <v>59</v>
      </c>
      <c r="L1221">
        <v>45741</v>
      </c>
      <c r="M1221" t="s">
        <v>90</v>
      </c>
    </row>
    <row r="1222" spans="1:13" x14ac:dyDescent="0.3">
      <c r="A1222" t="s">
        <v>4319</v>
      </c>
      <c r="B1222" t="s">
        <v>37</v>
      </c>
      <c r="C1222" t="s">
        <v>24</v>
      </c>
      <c r="D1222" t="s">
        <v>136</v>
      </c>
      <c r="E1222">
        <v>3039</v>
      </c>
      <c r="F1222" t="s">
        <v>4320</v>
      </c>
      <c r="G1222" t="s">
        <v>4321</v>
      </c>
      <c r="H1222" t="s">
        <v>4322</v>
      </c>
      <c r="I1222" t="s">
        <v>15</v>
      </c>
      <c r="J1222" t="s">
        <v>14</v>
      </c>
      <c r="L1222">
        <v>45701</v>
      </c>
      <c r="M1222" t="s">
        <v>389</v>
      </c>
    </row>
    <row r="1223" spans="1:13" x14ac:dyDescent="0.3">
      <c r="A1223" t="s">
        <v>4323</v>
      </c>
      <c r="B1223" t="s">
        <v>46</v>
      </c>
      <c r="C1223" t="s">
        <v>26</v>
      </c>
      <c r="D1223" t="s">
        <v>191</v>
      </c>
      <c r="E1223">
        <v>3040</v>
      </c>
      <c r="F1223" t="s">
        <v>4324</v>
      </c>
      <c r="G1223" t="s">
        <v>4325</v>
      </c>
      <c r="H1223" t="s">
        <v>4326</v>
      </c>
      <c r="I1223" t="s">
        <v>194</v>
      </c>
      <c r="J1223" t="s">
        <v>13</v>
      </c>
      <c r="L1223">
        <v>45679</v>
      </c>
      <c r="M1223" t="s">
        <v>717</v>
      </c>
    </row>
    <row r="1224" spans="1:13" x14ac:dyDescent="0.3">
      <c r="A1224" t="s">
        <v>4327</v>
      </c>
      <c r="B1224" t="s">
        <v>37</v>
      </c>
      <c r="C1224" t="s">
        <v>26</v>
      </c>
      <c r="D1224" t="s">
        <v>38</v>
      </c>
      <c r="E1224">
        <v>3031</v>
      </c>
      <c r="F1224" t="s">
        <v>4328</v>
      </c>
      <c r="G1224" t="s">
        <v>4329</v>
      </c>
      <c r="H1224" t="s">
        <v>4329</v>
      </c>
      <c r="I1224" t="s">
        <v>42</v>
      </c>
      <c r="J1224" t="s">
        <v>43</v>
      </c>
      <c r="K1224" t="s">
        <v>21</v>
      </c>
      <c r="L1224">
        <v>45662</v>
      </c>
      <c r="M1224" t="s">
        <v>102</v>
      </c>
    </row>
    <row r="1225" spans="1:13" x14ac:dyDescent="0.3">
      <c r="A1225" t="s">
        <v>4330</v>
      </c>
      <c r="B1225" t="s">
        <v>46</v>
      </c>
      <c r="C1225" t="s">
        <v>26</v>
      </c>
      <c r="D1225" t="s">
        <v>78</v>
      </c>
      <c r="E1225">
        <v>3035</v>
      </c>
      <c r="F1225" t="s">
        <v>4331</v>
      </c>
      <c r="G1225" t="s">
        <v>4332</v>
      </c>
      <c r="H1225" t="s">
        <v>4332</v>
      </c>
      <c r="I1225" t="s">
        <v>81</v>
      </c>
      <c r="J1225" t="s">
        <v>82</v>
      </c>
      <c r="L1225">
        <v>45743</v>
      </c>
      <c r="M1225" t="s">
        <v>95</v>
      </c>
    </row>
    <row r="1226" spans="1:13" x14ac:dyDescent="0.3">
      <c r="A1226" t="s">
        <v>4333</v>
      </c>
      <c r="B1226" t="s">
        <v>46</v>
      </c>
      <c r="C1226" t="s">
        <v>24</v>
      </c>
      <c r="D1226" t="s">
        <v>97</v>
      </c>
      <c r="E1226">
        <v>3036</v>
      </c>
      <c r="F1226" t="s">
        <v>4334</v>
      </c>
      <c r="G1226" t="s">
        <v>4335</v>
      </c>
      <c r="H1226" t="s">
        <v>4335</v>
      </c>
      <c r="I1226" t="s">
        <v>100</v>
      </c>
      <c r="J1226" t="s">
        <v>101</v>
      </c>
      <c r="K1226" t="s">
        <v>21</v>
      </c>
      <c r="L1226">
        <v>45681</v>
      </c>
      <c r="M1226" t="s">
        <v>165</v>
      </c>
    </row>
    <row r="1227" spans="1:13" x14ac:dyDescent="0.3">
      <c r="A1227" t="s">
        <v>4336</v>
      </c>
      <c r="B1227" t="s">
        <v>46</v>
      </c>
      <c r="C1227" t="s">
        <v>25</v>
      </c>
      <c r="D1227" t="s">
        <v>444</v>
      </c>
      <c r="E1227">
        <v>3042</v>
      </c>
      <c r="F1227" t="s">
        <v>4337</v>
      </c>
      <c r="G1227" t="s">
        <v>4338</v>
      </c>
      <c r="H1227" t="s">
        <v>4339</v>
      </c>
      <c r="I1227" t="s">
        <v>448</v>
      </c>
      <c r="J1227" t="s">
        <v>449</v>
      </c>
      <c r="K1227" t="s">
        <v>21</v>
      </c>
      <c r="L1227">
        <v>45678</v>
      </c>
      <c r="M1227" t="s">
        <v>722</v>
      </c>
    </row>
    <row r="1228" spans="1:13" x14ac:dyDescent="0.3">
      <c r="A1228" t="s">
        <v>4340</v>
      </c>
      <c r="B1228" t="s">
        <v>37</v>
      </c>
      <c r="C1228" t="s">
        <v>24</v>
      </c>
      <c r="D1228" t="s">
        <v>207</v>
      </c>
      <c r="E1228">
        <v>3041</v>
      </c>
      <c r="F1228" t="s">
        <v>4341</v>
      </c>
      <c r="G1228" t="s">
        <v>4342</v>
      </c>
      <c r="H1228" t="s">
        <v>4342</v>
      </c>
      <c r="I1228" t="s">
        <v>211</v>
      </c>
      <c r="J1228" t="s">
        <v>14</v>
      </c>
      <c r="L1228">
        <v>45690</v>
      </c>
      <c r="M1228" t="s">
        <v>300</v>
      </c>
    </row>
    <row r="1229" spans="1:13" x14ac:dyDescent="0.3">
      <c r="A1229" t="s">
        <v>4343</v>
      </c>
      <c r="B1229" t="s">
        <v>46</v>
      </c>
      <c r="C1229" t="s">
        <v>22</v>
      </c>
      <c r="D1229" t="s">
        <v>78</v>
      </c>
      <c r="E1229">
        <v>3035</v>
      </c>
      <c r="F1229" t="s">
        <v>4344</v>
      </c>
      <c r="G1229" t="s">
        <v>4345</v>
      </c>
      <c r="H1229" t="s">
        <v>4346</v>
      </c>
      <c r="I1229" t="s">
        <v>81</v>
      </c>
      <c r="J1229" t="s">
        <v>82</v>
      </c>
      <c r="K1229" t="s">
        <v>21</v>
      </c>
      <c r="L1229">
        <v>45684</v>
      </c>
      <c r="M1229" t="s">
        <v>287</v>
      </c>
    </row>
    <row r="1230" spans="1:13" x14ac:dyDescent="0.3">
      <c r="A1230" t="s">
        <v>4347</v>
      </c>
      <c r="B1230" t="s">
        <v>46</v>
      </c>
      <c r="C1230" t="s">
        <v>26</v>
      </c>
      <c r="D1230" t="s">
        <v>97</v>
      </c>
      <c r="E1230">
        <v>3036</v>
      </c>
      <c r="F1230" t="s">
        <v>4348</v>
      </c>
      <c r="G1230" t="s">
        <v>4349</v>
      </c>
      <c r="H1230" t="s">
        <v>4349</v>
      </c>
      <c r="I1230" t="s">
        <v>100</v>
      </c>
      <c r="J1230" t="s">
        <v>101</v>
      </c>
      <c r="L1230">
        <v>45732</v>
      </c>
      <c r="M1230" t="s">
        <v>102</v>
      </c>
    </row>
    <row r="1231" spans="1:13" x14ac:dyDescent="0.3">
      <c r="A1231" t="s">
        <v>4350</v>
      </c>
      <c r="B1231" t="s">
        <v>37</v>
      </c>
      <c r="C1231" t="s">
        <v>25</v>
      </c>
      <c r="D1231" t="s">
        <v>97</v>
      </c>
      <c r="E1231">
        <v>3036</v>
      </c>
      <c r="F1231" t="s">
        <v>4351</v>
      </c>
      <c r="G1231" t="s">
        <v>4352</v>
      </c>
      <c r="H1231" t="s">
        <v>4353</v>
      </c>
      <c r="I1231" t="s">
        <v>100</v>
      </c>
      <c r="J1231" t="s">
        <v>101</v>
      </c>
      <c r="L1231">
        <v>45688</v>
      </c>
      <c r="M1231" t="s">
        <v>292</v>
      </c>
    </row>
    <row r="1232" spans="1:13" x14ac:dyDescent="0.3">
      <c r="A1232" t="s">
        <v>4354</v>
      </c>
      <c r="B1232" t="s">
        <v>37</v>
      </c>
      <c r="C1232" t="s">
        <v>24</v>
      </c>
      <c r="D1232" t="s">
        <v>47</v>
      </c>
      <c r="E1232">
        <v>3032</v>
      </c>
      <c r="F1232" t="s">
        <v>4355</v>
      </c>
      <c r="G1232" t="s">
        <v>4356</v>
      </c>
      <c r="H1232" t="s">
        <v>4357</v>
      </c>
      <c r="I1232" t="s">
        <v>51</v>
      </c>
      <c r="J1232" t="s">
        <v>52</v>
      </c>
      <c r="L1232">
        <v>45726</v>
      </c>
      <c r="M1232" t="s">
        <v>261</v>
      </c>
    </row>
    <row r="1233" spans="1:13" x14ac:dyDescent="0.3">
      <c r="A1233" t="s">
        <v>4358</v>
      </c>
      <c r="B1233" t="s">
        <v>46</v>
      </c>
      <c r="C1233" t="s">
        <v>22</v>
      </c>
      <c r="D1233" t="s">
        <v>97</v>
      </c>
      <c r="E1233">
        <v>3036</v>
      </c>
      <c r="F1233" t="s">
        <v>4359</v>
      </c>
      <c r="G1233" t="s">
        <v>4360</v>
      </c>
      <c r="H1233" t="s">
        <v>4360</v>
      </c>
      <c r="I1233" t="s">
        <v>100</v>
      </c>
      <c r="J1233" t="s">
        <v>101</v>
      </c>
      <c r="K1233" t="s">
        <v>21</v>
      </c>
      <c r="L1233">
        <v>45673</v>
      </c>
      <c r="M1233" t="s">
        <v>102</v>
      </c>
    </row>
    <row r="1234" spans="1:13" x14ac:dyDescent="0.3">
      <c r="A1234" t="s">
        <v>4361</v>
      </c>
      <c r="B1234" t="s">
        <v>46</v>
      </c>
      <c r="C1234" t="s">
        <v>26</v>
      </c>
      <c r="D1234" t="s">
        <v>55</v>
      </c>
      <c r="E1234">
        <v>3033</v>
      </c>
      <c r="F1234" t="s">
        <v>4362</v>
      </c>
      <c r="G1234" t="s">
        <v>4363</v>
      </c>
      <c r="H1234" t="s">
        <v>4364</v>
      </c>
      <c r="I1234" t="s">
        <v>58</v>
      </c>
      <c r="J1234" t="s">
        <v>59</v>
      </c>
      <c r="K1234" t="s">
        <v>21</v>
      </c>
      <c r="L1234">
        <v>45743</v>
      </c>
      <c r="M1234" t="s">
        <v>60</v>
      </c>
    </row>
    <row r="1235" spans="1:13" x14ac:dyDescent="0.3">
      <c r="A1235" t="s">
        <v>4365</v>
      </c>
      <c r="B1235" t="s">
        <v>37</v>
      </c>
      <c r="C1235" t="s">
        <v>24</v>
      </c>
      <c r="D1235" t="s">
        <v>38</v>
      </c>
      <c r="E1235">
        <v>3031</v>
      </c>
      <c r="F1235" t="s">
        <v>3691</v>
      </c>
      <c r="G1235" t="s">
        <v>4366</v>
      </c>
      <c r="H1235" t="s">
        <v>4366</v>
      </c>
      <c r="I1235" t="s">
        <v>42</v>
      </c>
      <c r="J1235" t="s">
        <v>43</v>
      </c>
      <c r="L1235">
        <v>45701</v>
      </c>
      <c r="M1235" t="s">
        <v>65</v>
      </c>
    </row>
    <row r="1236" spans="1:13" x14ac:dyDescent="0.3">
      <c r="A1236" t="s">
        <v>4367</v>
      </c>
      <c r="B1236" t="s">
        <v>46</v>
      </c>
      <c r="C1236" t="s">
        <v>26</v>
      </c>
      <c r="D1236" t="s">
        <v>71</v>
      </c>
      <c r="E1236">
        <v>3034</v>
      </c>
      <c r="F1236" t="s">
        <v>4368</v>
      </c>
      <c r="G1236" t="s">
        <v>4369</v>
      </c>
      <c r="H1236" t="s">
        <v>4369</v>
      </c>
      <c r="I1236" t="s">
        <v>74</v>
      </c>
      <c r="J1236" t="s">
        <v>75</v>
      </c>
      <c r="L1236">
        <v>45672</v>
      </c>
      <c r="M1236" t="s">
        <v>165</v>
      </c>
    </row>
    <row r="1237" spans="1:13" x14ac:dyDescent="0.3">
      <c r="A1237" t="s">
        <v>4370</v>
      </c>
      <c r="B1237" t="s">
        <v>46</v>
      </c>
      <c r="C1237" t="s">
        <v>25</v>
      </c>
      <c r="D1237" t="s">
        <v>191</v>
      </c>
      <c r="E1237">
        <v>3040</v>
      </c>
      <c r="F1237" t="s">
        <v>4371</v>
      </c>
      <c r="G1237" t="s">
        <v>4372</v>
      </c>
      <c r="H1237" t="s">
        <v>4373</v>
      </c>
      <c r="I1237" t="s">
        <v>194</v>
      </c>
      <c r="J1237" t="s">
        <v>13</v>
      </c>
      <c r="L1237">
        <v>45674</v>
      </c>
      <c r="M1237" t="s">
        <v>224</v>
      </c>
    </row>
    <row r="1238" spans="1:13" x14ac:dyDescent="0.3">
      <c r="A1238" t="s">
        <v>4374</v>
      </c>
      <c r="B1238" t="s">
        <v>46</v>
      </c>
      <c r="C1238" t="s">
        <v>22</v>
      </c>
      <c r="D1238" t="s">
        <v>97</v>
      </c>
      <c r="E1238">
        <v>3036</v>
      </c>
      <c r="F1238" t="s">
        <v>4375</v>
      </c>
      <c r="G1238" t="s">
        <v>4376</v>
      </c>
      <c r="H1238" t="s">
        <v>4376</v>
      </c>
      <c r="I1238" t="s">
        <v>100</v>
      </c>
      <c r="J1238" t="s">
        <v>101</v>
      </c>
      <c r="L1238">
        <v>45726</v>
      </c>
      <c r="M1238" t="s">
        <v>292</v>
      </c>
    </row>
    <row r="1239" spans="1:13" x14ac:dyDescent="0.3">
      <c r="A1239" t="s">
        <v>4377</v>
      </c>
      <c r="B1239" t="s">
        <v>37</v>
      </c>
      <c r="C1239" t="s">
        <v>25</v>
      </c>
      <c r="D1239" t="s">
        <v>191</v>
      </c>
      <c r="E1239">
        <v>3040</v>
      </c>
      <c r="F1239" t="s">
        <v>4378</v>
      </c>
      <c r="G1239" t="s">
        <v>4379</v>
      </c>
      <c r="H1239" t="s">
        <v>4379</v>
      </c>
      <c r="I1239" t="s">
        <v>194</v>
      </c>
      <c r="J1239" t="s">
        <v>13</v>
      </c>
      <c r="L1239">
        <v>45670</v>
      </c>
      <c r="M1239" t="s">
        <v>300</v>
      </c>
    </row>
    <row r="1240" spans="1:13" x14ac:dyDescent="0.3">
      <c r="A1240" t="s">
        <v>4380</v>
      </c>
      <c r="B1240" t="s">
        <v>37</v>
      </c>
      <c r="C1240" t="s">
        <v>25</v>
      </c>
      <c r="D1240" t="s">
        <v>191</v>
      </c>
      <c r="E1240">
        <v>3040</v>
      </c>
      <c r="F1240" t="s">
        <v>4381</v>
      </c>
      <c r="G1240" t="s">
        <v>4382</v>
      </c>
      <c r="H1240" t="s">
        <v>4382</v>
      </c>
      <c r="I1240" t="s">
        <v>194</v>
      </c>
      <c r="J1240" t="s">
        <v>13</v>
      </c>
      <c r="K1240" t="s">
        <v>21</v>
      </c>
      <c r="L1240">
        <v>45725</v>
      </c>
      <c r="M1240" t="s">
        <v>195</v>
      </c>
    </row>
    <row r="1241" spans="1:13" x14ac:dyDescent="0.3">
      <c r="A1241" t="s">
        <v>4383</v>
      </c>
      <c r="B1241" t="s">
        <v>37</v>
      </c>
      <c r="C1241" t="s">
        <v>22</v>
      </c>
      <c r="D1241" t="s">
        <v>104</v>
      </c>
      <c r="E1241">
        <v>3037</v>
      </c>
      <c r="F1241" t="s">
        <v>4384</v>
      </c>
      <c r="G1241" t="s">
        <v>4385</v>
      </c>
      <c r="H1241" t="s">
        <v>4385</v>
      </c>
      <c r="I1241" t="s">
        <v>12</v>
      </c>
      <c r="J1241" t="s">
        <v>13</v>
      </c>
      <c r="K1241" t="s">
        <v>21</v>
      </c>
      <c r="L1241">
        <v>45711</v>
      </c>
      <c r="M1241" t="s">
        <v>107</v>
      </c>
    </row>
    <row r="1242" spans="1:13" x14ac:dyDescent="0.3">
      <c r="A1242" t="s">
        <v>4386</v>
      </c>
      <c r="B1242" t="s">
        <v>37</v>
      </c>
      <c r="C1242" t="s">
        <v>25</v>
      </c>
      <c r="D1242" t="s">
        <v>191</v>
      </c>
      <c r="E1242">
        <v>3040</v>
      </c>
      <c r="F1242" t="s">
        <v>4387</v>
      </c>
      <c r="G1242" t="s">
        <v>4388</v>
      </c>
      <c r="H1242" t="s">
        <v>4389</v>
      </c>
      <c r="I1242" t="s">
        <v>194</v>
      </c>
      <c r="J1242" t="s">
        <v>13</v>
      </c>
      <c r="L1242">
        <v>45736</v>
      </c>
      <c r="M1242" t="s">
        <v>224</v>
      </c>
    </row>
    <row r="1243" spans="1:13" x14ac:dyDescent="0.3">
      <c r="A1243" t="s">
        <v>4390</v>
      </c>
      <c r="B1243" t="s">
        <v>46</v>
      </c>
      <c r="C1243" t="s">
        <v>25</v>
      </c>
      <c r="D1243" t="s">
        <v>38</v>
      </c>
      <c r="E1243">
        <v>3031</v>
      </c>
      <c r="F1243" t="s">
        <v>29</v>
      </c>
      <c r="G1243" t="s">
        <v>4391</v>
      </c>
      <c r="H1243" t="s">
        <v>4391</v>
      </c>
      <c r="I1243" t="s">
        <v>42</v>
      </c>
      <c r="J1243" t="s">
        <v>43</v>
      </c>
      <c r="K1243" t="s">
        <v>21</v>
      </c>
      <c r="L1243">
        <v>45728</v>
      </c>
      <c r="M1243" t="s">
        <v>287</v>
      </c>
    </row>
    <row r="1244" spans="1:13" x14ac:dyDescent="0.3">
      <c r="A1244" t="s">
        <v>4392</v>
      </c>
      <c r="B1244" t="s">
        <v>37</v>
      </c>
      <c r="C1244" t="s">
        <v>22</v>
      </c>
      <c r="D1244" t="s">
        <v>118</v>
      </c>
      <c r="E1244">
        <v>3038</v>
      </c>
      <c r="F1244" t="s">
        <v>4393</v>
      </c>
      <c r="G1244" t="s">
        <v>4394</v>
      </c>
      <c r="H1244" t="s">
        <v>4394</v>
      </c>
      <c r="I1244" t="s">
        <v>122</v>
      </c>
      <c r="J1244" t="s">
        <v>123</v>
      </c>
      <c r="L1244">
        <v>45717</v>
      </c>
      <c r="M1244" t="s">
        <v>344</v>
      </c>
    </row>
    <row r="1245" spans="1:13" x14ac:dyDescent="0.3">
      <c r="A1245" t="s">
        <v>4395</v>
      </c>
      <c r="B1245" t="s">
        <v>46</v>
      </c>
      <c r="C1245" t="s">
        <v>26</v>
      </c>
      <c r="D1245" t="s">
        <v>47</v>
      </c>
      <c r="E1245">
        <v>3032</v>
      </c>
      <c r="F1245" t="s">
        <v>3123</v>
      </c>
      <c r="G1245" t="s">
        <v>4396</v>
      </c>
      <c r="H1245" t="s">
        <v>4397</v>
      </c>
      <c r="I1245" t="s">
        <v>51</v>
      </c>
      <c r="J1245" t="s">
        <v>52</v>
      </c>
      <c r="L1245">
        <v>45678</v>
      </c>
      <c r="M1245" t="s">
        <v>90</v>
      </c>
    </row>
    <row r="1246" spans="1:13" x14ac:dyDescent="0.3">
      <c r="A1246" t="s">
        <v>4398</v>
      </c>
      <c r="B1246" t="s">
        <v>37</v>
      </c>
      <c r="C1246" t="s">
        <v>26</v>
      </c>
      <c r="D1246" t="s">
        <v>55</v>
      </c>
      <c r="E1246">
        <v>3033</v>
      </c>
      <c r="F1246" t="s">
        <v>4399</v>
      </c>
      <c r="G1246" t="s">
        <v>4400</v>
      </c>
      <c r="H1246" t="s">
        <v>4400</v>
      </c>
      <c r="I1246" t="s">
        <v>58</v>
      </c>
      <c r="J1246" t="s">
        <v>59</v>
      </c>
      <c r="L1246">
        <v>45729</v>
      </c>
      <c r="M1246" t="s">
        <v>90</v>
      </c>
    </row>
    <row r="1247" spans="1:13" x14ac:dyDescent="0.3">
      <c r="A1247" t="s">
        <v>4401</v>
      </c>
      <c r="B1247" t="s">
        <v>46</v>
      </c>
      <c r="C1247" t="s">
        <v>24</v>
      </c>
      <c r="D1247" t="s">
        <v>97</v>
      </c>
      <c r="E1247">
        <v>3036</v>
      </c>
      <c r="F1247" t="s">
        <v>4402</v>
      </c>
      <c r="G1247" t="s">
        <v>4403</v>
      </c>
      <c r="H1247" t="s">
        <v>4403</v>
      </c>
      <c r="I1247" t="s">
        <v>100</v>
      </c>
      <c r="J1247" t="s">
        <v>101</v>
      </c>
      <c r="L1247">
        <v>45725</v>
      </c>
      <c r="M1247" t="s">
        <v>128</v>
      </c>
    </row>
    <row r="1248" spans="1:13" x14ac:dyDescent="0.3">
      <c r="A1248" t="s">
        <v>4404</v>
      </c>
      <c r="B1248" t="s">
        <v>46</v>
      </c>
      <c r="C1248" t="s">
        <v>25</v>
      </c>
      <c r="D1248" t="s">
        <v>47</v>
      </c>
      <c r="E1248">
        <v>3032</v>
      </c>
      <c r="F1248" t="s">
        <v>4405</v>
      </c>
      <c r="G1248" t="s">
        <v>4406</v>
      </c>
      <c r="H1248" t="s">
        <v>4406</v>
      </c>
      <c r="I1248" t="s">
        <v>51</v>
      </c>
      <c r="J1248" t="s">
        <v>52</v>
      </c>
      <c r="K1248" t="s">
        <v>21</v>
      </c>
      <c r="L1248">
        <v>45716</v>
      </c>
      <c r="M1248" t="s">
        <v>144</v>
      </c>
    </row>
    <row r="1249" spans="1:13" x14ac:dyDescent="0.3">
      <c r="A1249" t="s">
        <v>4407</v>
      </c>
      <c r="B1249" t="s">
        <v>46</v>
      </c>
      <c r="C1249" t="s">
        <v>24</v>
      </c>
      <c r="D1249" t="s">
        <v>47</v>
      </c>
      <c r="E1249">
        <v>3032</v>
      </c>
      <c r="F1249" t="s">
        <v>4408</v>
      </c>
      <c r="G1249" t="s">
        <v>4409</v>
      </c>
      <c r="H1249" t="s">
        <v>4409</v>
      </c>
      <c r="I1249" t="s">
        <v>51</v>
      </c>
      <c r="J1249" t="s">
        <v>52</v>
      </c>
      <c r="L1249">
        <v>45685</v>
      </c>
      <c r="M1249" t="s">
        <v>144</v>
      </c>
    </row>
    <row r="1250" spans="1:13" x14ac:dyDescent="0.3">
      <c r="A1250" t="s">
        <v>4410</v>
      </c>
      <c r="B1250" t="s">
        <v>37</v>
      </c>
      <c r="C1250" t="s">
        <v>25</v>
      </c>
      <c r="D1250" t="s">
        <v>104</v>
      </c>
      <c r="E1250">
        <v>3037</v>
      </c>
      <c r="F1250" t="s">
        <v>4411</v>
      </c>
      <c r="G1250" t="s">
        <v>4412</v>
      </c>
      <c r="H1250" t="s">
        <v>4412</v>
      </c>
      <c r="I1250" t="s">
        <v>12</v>
      </c>
      <c r="J1250" t="s">
        <v>13</v>
      </c>
      <c r="K1250" t="s">
        <v>21</v>
      </c>
      <c r="L1250">
        <v>45659</v>
      </c>
      <c r="M1250" t="s">
        <v>76</v>
      </c>
    </row>
    <row r="1251" spans="1:13" x14ac:dyDescent="0.3">
      <c r="A1251" t="s">
        <v>4413</v>
      </c>
      <c r="B1251" t="s">
        <v>46</v>
      </c>
      <c r="C1251" t="s">
        <v>22</v>
      </c>
      <c r="D1251" t="s">
        <v>78</v>
      </c>
      <c r="E1251">
        <v>3035</v>
      </c>
      <c r="F1251" t="s">
        <v>4414</v>
      </c>
      <c r="G1251" t="s">
        <v>4415</v>
      </c>
      <c r="H1251" t="s">
        <v>4416</v>
      </c>
      <c r="I1251" t="s">
        <v>81</v>
      </c>
      <c r="J1251" t="s">
        <v>82</v>
      </c>
      <c r="L1251">
        <v>45693</v>
      </c>
      <c r="M1251" t="s">
        <v>287</v>
      </c>
    </row>
    <row r="1252" spans="1:13" x14ac:dyDescent="0.3">
      <c r="A1252" t="s">
        <v>4417</v>
      </c>
      <c r="B1252" t="s">
        <v>37</v>
      </c>
      <c r="C1252" t="s">
        <v>26</v>
      </c>
      <c r="D1252" t="s">
        <v>71</v>
      </c>
      <c r="E1252">
        <v>3034</v>
      </c>
      <c r="F1252" t="s">
        <v>4418</v>
      </c>
      <c r="G1252" t="s">
        <v>4419</v>
      </c>
      <c r="H1252" t="s">
        <v>4419</v>
      </c>
      <c r="I1252" t="s">
        <v>74</v>
      </c>
      <c r="J1252" t="s">
        <v>75</v>
      </c>
      <c r="L1252">
        <v>45697</v>
      </c>
      <c r="M1252" t="s">
        <v>165</v>
      </c>
    </row>
    <row r="1253" spans="1:13" x14ac:dyDescent="0.3">
      <c r="A1253" t="s">
        <v>4420</v>
      </c>
      <c r="B1253" t="s">
        <v>46</v>
      </c>
      <c r="C1253" t="s">
        <v>22</v>
      </c>
      <c r="D1253" t="s">
        <v>97</v>
      </c>
      <c r="E1253">
        <v>3036</v>
      </c>
      <c r="F1253" t="s">
        <v>4421</v>
      </c>
      <c r="G1253" t="s">
        <v>4422</v>
      </c>
      <c r="H1253" t="s">
        <v>4423</v>
      </c>
      <c r="I1253" t="s">
        <v>100</v>
      </c>
      <c r="J1253" t="s">
        <v>101</v>
      </c>
      <c r="L1253">
        <v>45742</v>
      </c>
      <c r="M1253" t="s">
        <v>102</v>
      </c>
    </row>
    <row r="1254" spans="1:13" x14ac:dyDescent="0.3">
      <c r="A1254" t="s">
        <v>4424</v>
      </c>
      <c r="B1254" t="s">
        <v>46</v>
      </c>
      <c r="C1254" t="s">
        <v>22</v>
      </c>
      <c r="D1254" t="s">
        <v>444</v>
      </c>
      <c r="E1254">
        <v>3042</v>
      </c>
      <c r="F1254" t="s">
        <v>4425</v>
      </c>
      <c r="G1254" t="s">
        <v>4426</v>
      </c>
      <c r="H1254" t="s">
        <v>4427</v>
      </c>
      <c r="I1254" t="s">
        <v>448</v>
      </c>
      <c r="J1254" t="s">
        <v>449</v>
      </c>
      <c r="L1254">
        <v>45679</v>
      </c>
      <c r="M1254" t="s">
        <v>481</v>
      </c>
    </row>
    <row r="1255" spans="1:13" x14ac:dyDescent="0.3">
      <c r="A1255" t="s">
        <v>4428</v>
      </c>
      <c r="B1255" t="s">
        <v>46</v>
      </c>
      <c r="C1255" t="s">
        <v>25</v>
      </c>
      <c r="D1255" t="s">
        <v>136</v>
      </c>
      <c r="E1255">
        <v>3039</v>
      </c>
      <c r="F1255" t="s">
        <v>4429</v>
      </c>
      <c r="G1255" t="s">
        <v>4430</v>
      </c>
      <c r="H1255" t="s">
        <v>4431</v>
      </c>
      <c r="I1255" t="s">
        <v>15</v>
      </c>
      <c r="J1255" t="s">
        <v>14</v>
      </c>
      <c r="L1255">
        <v>45687</v>
      </c>
      <c r="M1255" t="s">
        <v>160</v>
      </c>
    </row>
    <row r="1256" spans="1:13" x14ac:dyDescent="0.3">
      <c r="A1256" t="s">
        <v>4432</v>
      </c>
      <c r="B1256" t="s">
        <v>37</v>
      </c>
      <c r="C1256" t="s">
        <v>25</v>
      </c>
      <c r="D1256" t="s">
        <v>136</v>
      </c>
      <c r="E1256">
        <v>3039</v>
      </c>
      <c r="F1256" t="s">
        <v>4433</v>
      </c>
      <c r="G1256" t="s">
        <v>4434</v>
      </c>
      <c r="H1256" t="s">
        <v>4434</v>
      </c>
      <c r="I1256" t="s">
        <v>15</v>
      </c>
      <c r="J1256" t="s">
        <v>14</v>
      </c>
      <c r="L1256">
        <v>45692</v>
      </c>
      <c r="M1256" t="s">
        <v>95</v>
      </c>
    </row>
    <row r="1257" spans="1:13" x14ac:dyDescent="0.3">
      <c r="A1257" t="s">
        <v>4435</v>
      </c>
      <c r="B1257" t="s">
        <v>37</v>
      </c>
      <c r="C1257" t="s">
        <v>22</v>
      </c>
      <c r="D1257" t="s">
        <v>55</v>
      </c>
      <c r="E1257">
        <v>3033</v>
      </c>
      <c r="F1257" t="s">
        <v>4436</v>
      </c>
      <c r="G1257" t="s">
        <v>4437</v>
      </c>
      <c r="H1257" t="s">
        <v>4438</v>
      </c>
      <c r="I1257" t="s">
        <v>58</v>
      </c>
      <c r="J1257" t="s">
        <v>59</v>
      </c>
      <c r="L1257">
        <v>45659</v>
      </c>
      <c r="M1257" t="s">
        <v>95</v>
      </c>
    </row>
    <row r="1258" spans="1:13" x14ac:dyDescent="0.3">
      <c r="A1258" t="s">
        <v>4439</v>
      </c>
      <c r="B1258" t="s">
        <v>37</v>
      </c>
      <c r="C1258" t="s">
        <v>24</v>
      </c>
      <c r="D1258" t="s">
        <v>55</v>
      </c>
      <c r="E1258">
        <v>3033</v>
      </c>
      <c r="F1258" t="s">
        <v>4440</v>
      </c>
      <c r="G1258" t="s">
        <v>4441</v>
      </c>
      <c r="H1258" t="s">
        <v>4442</v>
      </c>
      <c r="I1258" t="s">
        <v>58</v>
      </c>
      <c r="J1258" t="s">
        <v>59</v>
      </c>
      <c r="L1258">
        <v>45691</v>
      </c>
      <c r="M1258" t="s">
        <v>90</v>
      </c>
    </row>
    <row r="1259" spans="1:13" x14ac:dyDescent="0.3">
      <c r="A1259" t="s">
        <v>4443</v>
      </c>
      <c r="B1259" t="s">
        <v>37</v>
      </c>
      <c r="C1259" t="s">
        <v>22</v>
      </c>
      <c r="D1259" t="s">
        <v>104</v>
      </c>
      <c r="E1259">
        <v>3037</v>
      </c>
      <c r="F1259" t="s">
        <v>4444</v>
      </c>
      <c r="G1259" t="s">
        <v>4445</v>
      </c>
      <c r="H1259" t="s">
        <v>4445</v>
      </c>
      <c r="I1259" t="s">
        <v>12</v>
      </c>
      <c r="J1259" t="s">
        <v>13</v>
      </c>
      <c r="K1259" t="s">
        <v>21</v>
      </c>
      <c r="L1259">
        <v>45689</v>
      </c>
      <c r="M1259" t="s">
        <v>287</v>
      </c>
    </row>
    <row r="1260" spans="1:13" x14ac:dyDescent="0.3">
      <c r="A1260" t="s">
        <v>4446</v>
      </c>
      <c r="B1260" t="s">
        <v>37</v>
      </c>
      <c r="C1260" t="s">
        <v>26</v>
      </c>
      <c r="D1260" t="s">
        <v>191</v>
      </c>
      <c r="E1260">
        <v>3040</v>
      </c>
      <c r="F1260" t="s">
        <v>4447</v>
      </c>
      <c r="G1260" t="s">
        <v>4448</v>
      </c>
      <c r="H1260" t="s">
        <v>4448</v>
      </c>
      <c r="I1260" t="s">
        <v>194</v>
      </c>
      <c r="J1260" t="s">
        <v>13</v>
      </c>
      <c r="L1260">
        <v>45726</v>
      </c>
      <c r="M1260" t="s">
        <v>321</v>
      </c>
    </row>
    <row r="1261" spans="1:13" x14ac:dyDescent="0.3">
      <c r="A1261" t="s">
        <v>4449</v>
      </c>
      <c r="B1261" t="s">
        <v>37</v>
      </c>
      <c r="C1261" t="s">
        <v>25</v>
      </c>
      <c r="D1261" t="s">
        <v>191</v>
      </c>
      <c r="E1261">
        <v>3040</v>
      </c>
      <c r="F1261" t="s">
        <v>4450</v>
      </c>
      <c r="G1261" t="s">
        <v>4451</v>
      </c>
      <c r="H1261" t="s">
        <v>4451</v>
      </c>
      <c r="I1261" t="s">
        <v>194</v>
      </c>
      <c r="J1261" t="s">
        <v>13</v>
      </c>
      <c r="L1261">
        <v>45718</v>
      </c>
      <c r="M1261" t="s">
        <v>300</v>
      </c>
    </row>
    <row r="1262" spans="1:13" x14ac:dyDescent="0.3">
      <c r="A1262" t="s">
        <v>4452</v>
      </c>
      <c r="B1262" t="s">
        <v>46</v>
      </c>
      <c r="C1262" t="s">
        <v>26</v>
      </c>
      <c r="D1262" t="s">
        <v>104</v>
      </c>
      <c r="E1262">
        <v>3037</v>
      </c>
      <c r="F1262" t="s">
        <v>4453</v>
      </c>
      <c r="G1262" t="s">
        <v>4454</v>
      </c>
      <c r="H1262" t="s">
        <v>4454</v>
      </c>
      <c r="I1262" t="s">
        <v>12</v>
      </c>
      <c r="J1262" t="s">
        <v>13</v>
      </c>
      <c r="K1262" t="s">
        <v>21</v>
      </c>
      <c r="L1262">
        <v>45693</v>
      </c>
      <c r="M1262" t="s">
        <v>107</v>
      </c>
    </row>
    <row r="1263" spans="1:13" x14ac:dyDescent="0.3">
      <c r="A1263" t="s">
        <v>4455</v>
      </c>
      <c r="B1263" t="s">
        <v>46</v>
      </c>
      <c r="C1263" t="s">
        <v>22</v>
      </c>
      <c r="D1263" t="s">
        <v>47</v>
      </c>
      <c r="E1263">
        <v>3032</v>
      </c>
      <c r="F1263" t="s">
        <v>4456</v>
      </c>
      <c r="G1263" t="s">
        <v>4457</v>
      </c>
      <c r="H1263" t="s">
        <v>4457</v>
      </c>
      <c r="I1263" t="s">
        <v>51</v>
      </c>
      <c r="J1263" t="s">
        <v>52</v>
      </c>
      <c r="K1263" t="s">
        <v>21</v>
      </c>
      <c r="L1263">
        <v>45705</v>
      </c>
      <c r="M1263" t="s">
        <v>542</v>
      </c>
    </row>
    <row r="1264" spans="1:13" x14ac:dyDescent="0.3">
      <c r="A1264" t="s">
        <v>4458</v>
      </c>
      <c r="B1264" t="s">
        <v>37</v>
      </c>
      <c r="C1264" t="s">
        <v>26</v>
      </c>
      <c r="D1264" t="s">
        <v>136</v>
      </c>
      <c r="E1264">
        <v>3039</v>
      </c>
      <c r="F1264" t="s">
        <v>4459</v>
      </c>
      <c r="G1264" t="s">
        <v>4460</v>
      </c>
      <c r="H1264" t="s">
        <v>4461</v>
      </c>
      <c r="I1264" t="s">
        <v>15</v>
      </c>
      <c r="J1264" t="s">
        <v>14</v>
      </c>
      <c r="K1264" t="s">
        <v>21</v>
      </c>
      <c r="L1264">
        <v>45699</v>
      </c>
      <c r="M1264" t="s">
        <v>577</v>
      </c>
    </row>
    <row r="1265" spans="1:13" x14ac:dyDescent="0.3">
      <c r="A1265" t="s">
        <v>4462</v>
      </c>
      <c r="B1265" t="s">
        <v>46</v>
      </c>
      <c r="C1265" t="s">
        <v>24</v>
      </c>
      <c r="D1265" t="s">
        <v>118</v>
      </c>
      <c r="E1265">
        <v>3038</v>
      </c>
      <c r="F1265" t="s">
        <v>4463</v>
      </c>
      <c r="G1265" t="s">
        <v>4464</v>
      </c>
      <c r="H1265" t="s">
        <v>4464</v>
      </c>
      <c r="I1265" t="s">
        <v>122</v>
      </c>
      <c r="J1265" t="s">
        <v>123</v>
      </c>
      <c r="K1265" t="s">
        <v>21</v>
      </c>
      <c r="L1265">
        <v>45733</v>
      </c>
      <c r="M1265" t="s">
        <v>124</v>
      </c>
    </row>
    <row r="1266" spans="1:13" x14ac:dyDescent="0.3">
      <c r="A1266" t="s">
        <v>4465</v>
      </c>
      <c r="B1266" t="s">
        <v>37</v>
      </c>
      <c r="C1266" t="s">
        <v>24</v>
      </c>
      <c r="D1266" t="s">
        <v>71</v>
      </c>
      <c r="E1266">
        <v>3034</v>
      </c>
      <c r="F1266" t="s">
        <v>4466</v>
      </c>
      <c r="G1266" t="s">
        <v>4467</v>
      </c>
      <c r="H1266" t="s">
        <v>4468</v>
      </c>
      <c r="I1266" t="s">
        <v>74</v>
      </c>
      <c r="J1266" t="s">
        <v>75</v>
      </c>
      <c r="L1266">
        <v>45677</v>
      </c>
      <c r="M1266" t="s">
        <v>112</v>
      </c>
    </row>
    <row r="1267" spans="1:13" x14ac:dyDescent="0.3">
      <c r="A1267" t="s">
        <v>4469</v>
      </c>
      <c r="B1267" t="s">
        <v>37</v>
      </c>
      <c r="C1267" t="s">
        <v>22</v>
      </c>
      <c r="D1267" t="s">
        <v>55</v>
      </c>
      <c r="E1267">
        <v>3033</v>
      </c>
      <c r="F1267" t="s">
        <v>4470</v>
      </c>
      <c r="G1267" t="s">
        <v>4471</v>
      </c>
      <c r="H1267" t="s">
        <v>4471</v>
      </c>
      <c r="I1267" t="s">
        <v>58</v>
      </c>
      <c r="J1267" t="s">
        <v>59</v>
      </c>
      <c r="L1267">
        <v>45693</v>
      </c>
      <c r="M1267" t="s">
        <v>86</v>
      </c>
    </row>
    <row r="1268" spans="1:13" x14ac:dyDescent="0.3">
      <c r="A1268" t="s">
        <v>4472</v>
      </c>
      <c r="B1268" t="s">
        <v>46</v>
      </c>
      <c r="C1268" t="s">
        <v>25</v>
      </c>
      <c r="D1268" t="s">
        <v>207</v>
      </c>
      <c r="E1268">
        <v>3041</v>
      </c>
      <c r="F1268" t="s">
        <v>4473</v>
      </c>
      <c r="G1268" t="s">
        <v>4474</v>
      </c>
      <c r="H1268" t="s">
        <v>4474</v>
      </c>
      <c r="I1268" t="s">
        <v>211</v>
      </c>
      <c r="J1268" t="s">
        <v>14</v>
      </c>
      <c r="L1268">
        <v>45720</v>
      </c>
      <c r="M1268" t="s">
        <v>394</v>
      </c>
    </row>
    <row r="1269" spans="1:13" x14ac:dyDescent="0.3">
      <c r="A1269" t="s">
        <v>4475</v>
      </c>
      <c r="B1269" t="s">
        <v>46</v>
      </c>
      <c r="C1269" t="s">
        <v>24</v>
      </c>
      <c r="D1269" t="s">
        <v>71</v>
      </c>
      <c r="E1269">
        <v>3034</v>
      </c>
      <c r="F1269" t="s">
        <v>4476</v>
      </c>
      <c r="G1269" t="s">
        <v>4477</v>
      </c>
      <c r="H1269" t="s">
        <v>4477</v>
      </c>
      <c r="I1269" t="s">
        <v>74</v>
      </c>
      <c r="J1269" t="s">
        <v>75</v>
      </c>
      <c r="K1269" t="s">
        <v>21</v>
      </c>
      <c r="L1269">
        <v>45708</v>
      </c>
      <c r="M1269" t="s">
        <v>205</v>
      </c>
    </row>
    <row r="1270" spans="1:13" x14ac:dyDescent="0.3">
      <c r="A1270" t="s">
        <v>4478</v>
      </c>
      <c r="B1270" t="s">
        <v>46</v>
      </c>
      <c r="C1270" t="s">
        <v>26</v>
      </c>
      <c r="D1270" t="s">
        <v>444</v>
      </c>
      <c r="E1270">
        <v>3042</v>
      </c>
      <c r="F1270" t="s">
        <v>4479</v>
      </c>
      <c r="G1270" t="s">
        <v>4480</v>
      </c>
      <c r="H1270" t="s">
        <v>4481</v>
      </c>
      <c r="I1270" t="s">
        <v>448</v>
      </c>
      <c r="J1270" t="s">
        <v>449</v>
      </c>
      <c r="L1270">
        <v>45696</v>
      </c>
      <c r="M1270" t="s">
        <v>224</v>
      </c>
    </row>
    <row r="1271" spans="1:13" x14ac:dyDescent="0.3">
      <c r="A1271" t="s">
        <v>4482</v>
      </c>
      <c r="B1271" t="s">
        <v>46</v>
      </c>
      <c r="C1271" t="s">
        <v>26</v>
      </c>
      <c r="D1271" t="s">
        <v>191</v>
      </c>
      <c r="E1271">
        <v>3040</v>
      </c>
      <c r="F1271" t="s">
        <v>4483</v>
      </c>
      <c r="G1271" t="s">
        <v>4484</v>
      </c>
      <c r="H1271" t="s">
        <v>4485</v>
      </c>
      <c r="I1271" t="s">
        <v>194</v>
      </c>
      <c r="J1271" t="s">
        <v>13</v>
      </c>
      <c r="L1271">
        <v>45732</v>
      </c>
      <c r="M1271" t="s">
        <v>224</v>
      </c>
    </row>
    <row r="1272" spans="1:13" x14ac:dyDescent="0.3">
      <c r="A1272" t="s">
        <v>4486</v>
      </c>
      <c r="B1272" t="s">
        <v>37</v>
      </c>
      <c r="C1272" t="s">
        <v>25</v>
      </c>
      <c r="D1272" t="s">
        <v>71</v>
      </c>
      <c r="E1272">
        <v>3034</v>
      </c>
      <c r="F1272" t="s">
        <v>4487</v>
      </c>
      <c r="G1272" t="s">
        <v>4488</v>
      </c>
      <c r="H1272" t="s">
        <v>4488</v>
      </c>
      <c r="I1272" t="s">
        <v>74</v>
      </c>
      <c r="J1272" t="s">
        <v>75</v>
      </c>
      <c r="L1272">
        <v>45679</v>
      </c>
      <c r="M1272" t="s">
        <v>165</v>
      </c>
    </row>
    <row r="1273" spans="1:13" x14ac:dyDescent="0.3">
      <c r="A1273" t="s">
        <v>4489</v>
      </c>
      <c r="B1273" t="s">
        <v>46</v>
      </c>
      <c r="C1273" t="s">
        <v>22</v>
      </c>
      <c r="D1273" t="s">
        <v>444</v>
      </c>
      <c r="E1273">
        <v>3042</v>
      </c>
      <c r="F1273" t="s">
        <v>1223</v>
      </c>
      <c r="G1273" t="s">
        <v>4490</v>
      </c>
      <c r="H1273" t="s">
        <v>4491</v>
      </c>
      <c r="I1273" t="s">
        <v>448</v>
      </c>
      <c r="J1273" t="s">
        <v>449</v>
      </c>
      <c r="L1273">
        <v>45705</v>
      </c>
      <c r="M1273" t="s">
        <v>363</v>
      </c>
    </row>
    <row r="1274" spans="1:13" x14ac:dyDescent="0.3">
      <c r="A1274" t="s">
        <v>4492</v>
      </c>
      <c r="B1274" t="s">
        <v>46</v>
      </c>
      <c r="C1274" t="s">
        <v>25</v>
      </c>
      <c r="D1274" t="s">
        <v>97</v>
      </c>
      <c r="E1274">
        <v>3036</v>
      </c>
      <c r="F1274" t="s">
        <v>4493</v>
      </c>
      <c r="G1274" t="s">
        <v>4494</v>
      </c>
      <c r="H1274" t="s">
        <v>4494</v>
      </c>
      <c r="I1274" t="s">
        <v>100</v>
      </c>
      <c r="J1274" t="s">
        <v>101</v>
      </c>
      <c r="L1274">
        <v>45658</v>
      </c>
      <c r="M1274" t="s">
        <v>165</v>
      </c>
    </row>
    <row r="1275" spans="1:13" x14ac:dyDescent="0.3">
      <c r="A1275" t="s">
        <v>4495</v>
      </c>
      <c r="B1275" t="s">
        <v>46</v>
      </c>
      <c r="C1275" t="s">
        <v>22</v>
      </c>
      <c r="D1275" t="s">
        <v>444</v>
      </c>
      <c r="E1275">
        <v>3042</v>
      </c>
      <c r="F1275" t="s">
        <v>4496</v>
      </c>
      <c r="G1275" t="s">
        <v>4497</v>
      </c>
      <c r="H1275" t="s">
        <v>4498</v>
      </c>
      <c r="I1275" t="s">
        <v>448</v>
      </c>
      <c r="J1275" t="s">
        <v>449</v>
      </c>
      <c r="L1275">
        <v>45683</v>
      </c>
      <c r="M1275" t="s">
        <v>363</v>
      </c>
    </row>
    <row r="1276" spans="1:13" x14ac:dyDescent="0.3">
      <c r="A1276" t="s">
        <v>4499</v>
      </c>
      <c r="B1276" t="s">
        <v>46</v>
      </c>
      <c r="C1276" t="s">
        <v>25</v>
      </c>
      <c r="D1276" t="s">
        <v>97</v>
      </c>
      <c r="E1276">
        <v>3036</v>
      </c>
      <c r="F1276" t="s">
        <v>4500</v>
      </c>
      <c r="G1276" t="s">
        <v>4501</v>
      </c>
      <c r="H1276" t="s">
        <v>4502</v>
      </c>
      <c r="I1276" t="s">
        <v>100</v>
      </c>
      <c r="J1276" t="s">
        <v>101</v>
      </c>
      <c r="L1276">
        <v>45745</v>
      </c>
      <c r="M1276" t="s">
        <v>65</v>
      </c>
    </row>
    <row r="1277" spans="1:13" x14ac:dyDescent="0.3">
      <c r="A1277" t="s">
        <v>4503</v>
      </c>
      <c r="B1277" t="s">
        <v>37</v>
      </c>
      <c r="C1277" t="s">
        <v>24</v>
      </c>
      <c r="D1277" t="s">
        <v>97</v>
      </c>
      <c r="E1277">
        <v>3036</v>
      </c>
      <c r="F1277" t="s">
        <v>4504</v>
      </c>
      <c r="G1277" t="s">
        <v>4505</v>
      </c>
      <c r="H1277" t="s">
        <v>4506</v>
      </c>
      <c r="I1277" t="s">
        <v>100</v>
      </c>
      <c r="J1277" t="s">
        <v>101</v>
      </c>
      <c r="K1277" t="s">
        <v>21</v>
      </c>
      <c r="L1277">
        <v>45668</v>
      </c>
      <c r="M1277" t="s">
        <v>65</v>
      </c>
    </row>
    <row r="1278" spans="1:13" x14ac:dyDescent="0.3">
      <c r="A1278" t="s">
        <v>4507</v>
      </c>
      <c r="B1278" t="s">
        <v>46</v>
      </c>
      <c r="C1278" t="s">
        <v>24</v>
      </c>
      <c r="D1278" t="s">
        <v>38</v>
      </c>
      <c r="E1278">
        <v>3031</v>
      </c>
      <c r="F1278" t="s">
        <v>4508</v>
      </c>
      <c r="G1278" t="s">
        <v>4509</v>
      </c>
      <c r="H1278" t="s">
        <v>4510</v>
      </c>
      <c r="I1278" t="s">
        <v>42</v>
      </c>
      <c r="J1278" t="s">
        <v>43</v>
      </c>
      <c r="L1278">
        <v>45663</v>
      </c>
      <c r="M1278" t="s">
        <v>102</v>
      </c>
    </row>
    <row r="1279" spans="1:13" x14ac:dyDescent="0.3">
      <c r="A1279" t="s">
        <v>4511</v>
      </c>
      <c r="B1279" t="s">
        <v>46</v>
      </c>
      <c r="C1279" t="s">
        <v>25</v>
      </c>
      <c r="D1279" t="s">
        <v>47</v>
      </c>
      <c r="E1279">
        <v>3032</v>
      </c>
      <c r="F1279" t="s">
        <v>4512</v>
      </c>
      <c r="G1279" t="s">
        <v>4513</v>
      </c>
      <c r="H1279" t="s">
        <v>4513</v>
      </c>
      <c r="I1279" t="s">
        <v>51</v>
      </c>
      <c r="J1279" t="s">
        <v>52</v>
      </c>
      <c r="K1279" t="s">
        <v>21</v>
      </c>
      <c r="L1279">
        <v>45741</v>
      </c>
      <c r="M1279" t="s">
        <v>144</v>
      </c>
    </row>
    <row r="1280" spans="1:13" x14ac:dyDescent="0.3">
      <c r="A1280" t="s">
        <v>4514</v>
      </c>
      <c r="B1280" t="s">
        <v>46</v>
      </c>
      <c r="C1280" t="s">
        <v>22</v>
      </c>
      <c r="D1280" t="s">
        <v>444</v>
      </c>
      <c r="E1280">
        <v>3042</v>
      </c>
      <c r="F1280" t="s">
        <v>4515</v>
      </c>
      <c r="G1280" t="s">
        <v>4516</v>
      </c>
      <c r="H1280" t="s">
        <v>4517</v>
      </c>
      <c r="I1280" t="s">
        <v>448</v>
      </c>
      <c r="J1280" t="s">
        <v>449</v>
      </c>
      <c r="K1280" t="s">
        <v>21</v>
      </c>
      <c r="L1280">
        <v>45735</v>
      </c>
      <c r="M1280" t="s">
        <v>224</v>
      </c>
    </row>
    <row r="1281" spans="1:13" x14ac:dyDescent="0.3">
      <c r="A1281" t="s">
        <v>4518</v>
      </c>
      <c r="B1281" t="s">
        <v>46</v>
      </c>
      <c r="C1281" t="s">
        <v>24</v>
      </c>
      <c r="D1281" t="s">
        <v>444</v>
      </c>
      <c r="E1281">
        <v>3042</v>
      </c>
      <c r="F1281" t="s">
        <v>4519</v>
      </c>
      <c r="G1281" t="s">
        <v>4520</v>
      </c>
      <c r="H1281" t="s">
        <v>4520</v>
      </c>
      <c r="I1281" t="s">
        <v>448</v>
      </c>
      <c r="J1281" t="s">
        <v>449</v>
      </c>
      <c r="L1281">
        <v>45658</v>
      </c>
      <c r="M1281" t="s">
        <v>481</v>
      </c>
    </row>
    <row r="1282" spans="1:13" x14ac:dyDescent="0.3">
      <c r="A1282" t="s">
        <v>4521</v>
      </c>
      <c r="B1282" t="s">
        <v>37</v>
      </c>
      <c r="C1282" t="s">
        <v>24</v>
      </c>
      <c r="D1282" t="s">
        <v>71</v>
      </c>
      <c r="E1282">
        <v>3034</v>
      </c>
      <c r="F1282" t="s">
        <v>4522</v>
      </c>
      <c r="G1282" t="s">
        <v>4523</v>
      </c>
      <c r="H1282" t="s">
        <v>4524</v>
      </c>
      <c r="I1282" t="s">
        <v>74</v>
      </c>
      <c r="J1282" t="s">
        <v>75</v>
      </c>
      <c r="L1282">
        <v>45665</v>
      </c>
      <c r="M1282" t="s">
        <v>165</v>
      </c>
    </row>
    <row r="1283" spans="1:13" x14ac:dyDescent="0.3">
      <c r="A1283" t="s">
        <v>4525</v>
      </c>
      <c r="B1283" t="s">
        <v>37</v>
      </c>
      <c r="C1283" t="s">
        <v>25</v>
      </c>
      <c r="D1283" t="s">
        <v>104</v>
      </c>
      <c r="E1283">
        <v>3037</v>
      </c>
      <c r="F1283" t="s">
        <v>4526</v>
      </c>
      <c r="G1283" t="s">
        <v>4527</v>
      </c>
      <c r="H1283" t="s">
        <v>4527</v>
      </c>
      <c r="I1283" t="s">
        <v>12</v>
      </c>
      <c r="J1283" t="s">
        <v>13</v>
      </c>
      <c r="L1283">
        <v>45719</v>
      </c>
      <c r="M1283" t="s">
        <v>107</v>
      </c>
    </row>
    <row r="1284" spans="1:13" x14ac:dyDescent="0.3">
      <c r="A1284" t="s">
        <v>4528</v>
      </c>
      <c r="B1284" t="s">
        <v>46</v>
      </c>
      <c r="C1284" t="s">
        <v>22</v>
      </c>
      <c r="D1284" t="s">
        <v>55</v>
      </c>
      <c r="E1284">
        <v>3033</v>
      </c>
      <c r="F1284" t="s">
        <v>4529</v>
      </c>
      <c r="G1284" t="s">
        <v>4530</v>
      </c>
      <c r="H1284" t="s">
        <v>4530</v>
      </c>
      <c r="I1284" t="s">
        <v>58</v>
      </c>
      <c r="J1284" t="s">
        <v>59</v>
      </c>
      <c r="K1284" t="s">
        <v>21</v>
      </c>
      <c r="L1284">
        <v>45684</v>
      </c>
      <c r="M1284" t="s">
        <v>69</v>
      </c>
    </row>
    <row r="1285" spans="1:13" x14ac:dyDescent="0.3">
      <c r="A1285" t="s">
        <v>4531</v>
      </c>
      <c r="B1285" t="s">
        <v>37</v>
      </c>
      <c r="C1285" t="s">
        <v>26</v>
      </c>
      <c r="D1285" t="s">
        <v>136</v>
      </c>
      <c r="E1285">
        <v>3039</v>
      </c>
      <c r="F1285" t="s">
        <v>4532</v>
      </c>
      <c r="G1285" t="s">
        <v>4533</v>
      </c>
      <c r="H1285" t="s">
        <v>4534</v>
      </c>
      <c r="I1285" t="s">
        <v>15</v>
      </c>
      <c r="J1285" t="s">
        <v>14</v>
      </c>
      <c r="K1285" t="s">
        <v>21</v>
      </c>
      <c r="L1285">
        <v>45699</v>
      </c>
      <c r="M1285" t="s">
        <v>200</v>
      </c>
    </row>
    <row r="1286" spans="1:13" x14ac:dyDescent="0.3">
      <c r="A1286" t="s">
        <v>4535</v>
      </c>
      <c r="B1286" t="s">
        <v>37</v>
      </c>
      <c r="C1286" t="s">
        <v>25</v>
      </c>
      <c r="D1286" t="s">
        <v>97</v>
      </c>
      <c r="E1286">
        <v>3036</v>
      </c>
      <c r="F1286" t="s">
        <v>4536</v>
      </c>
      <c r="G1286" t="s">
        <v>4537</v>
      </c>
      <c r="H1286" t="s">
        <v>4537</v>
      </c>
      <c r="I1286" t="s">
        <v>100</v>
      </c>
      <c r="J1286" t="s">
        <v>101</v>
      </c>
      <c r="L1286">
        <v>45660</v>
      </c>
      <c r="M1286" t="s">
        <v>165</v>
      </c>
    </row>
    <row r="1287" spans="1:13" x14ac:dyDescent="0.3">
      <c r="A1287" t="s">
        <v>4538</v>
      </c>
      <c r="B1287" t="s">
        <v>37</v>
      </c>
      <c r="C1287" t="s">
        <v>25</v>
      </c>
      <c r="D1287" t="s">
        <v>118</v>
      </c>
      <c r="E1287">
        <v>3038</v>
      </c>
      <c r="F1287" t="s">
        <v>4539</v>
      </c>
      <c r="G1287" t="s">
        <v>4540</v>
      </c>
      <c r="H1287" t="s">
        <v>4541</v>
      </c>
      <c r="I1287" t="s">
        <v>122</v>
      </c>
      <c r="J1287" t="s">
        <v>123</v>
      </c>
      <c r="L1287">
        <v>45734</v>
      </c>
      <c r="M1287" t="s">
        <v>359</v>
      </c>
    </row>
    <row r="1288" spans="1:13" x14ac:dyDescent="0.3">
      <c r="A1288" t="s">
        <v>4542</v>
      </c>
      <c r="B1288" t="s">
        <v>46</v>
      </c>
      <c r="C1288" t="s">
        <v>24</v>
      </c>
      <c r="D1288" t="s">
        <v>104</v>
      </c>
      <c r="E1288">
        <v>3037</v>
      </c>
      <c r="F1288" t="s">
        <v>4543</v>
      </c>
      <c r="G1288" t="s">
        <v>4544</v>
      </c>
      <c r="H1288" t="s">
        <v>4545</v>
      </c>
      <c r="I1288" t="s">
        <v>12</v>
      </c>
      <c r="J1288" t="s">
        <v>13</v>
      </c>
      <c r="L1288">
        <v>45694</v>
      </c>
      <c r="M1288" t="s">
        <v>287</v>
      </c>
    </row>
    <row r="1289" spans="1:13" x14ac:dyDescent="0.3">
      <c r="A1289" t="s">
        <v>4546</v>
      </c>
      <c r="B1289" t="s">
        <v>37</v>
      </c>
      <c r="C1289" t="s">
        <v>25</v>
      </c>
      <c r="D1289" t="s">
        <v>444</v>
      </c>
      <c r="E1289">
        <v>3042</v>
      </c>
      <c r="F1289" t="s">
        <v>4547</v>
      </c>
      <c r="G1289" t="s">
        <v>4548</v>
      </c>
      <c r="H1289" t="s">
        <v>4549</v>
      </c>
      <c r="I1289" t="s">
        <v>448</v>
      </c>
      <c r="J1289" t="s">
        <v>449</v>
      </c>
      <c r="L1289">
        <v>45694</v>
      </c>
      <c r="M1289" t="s">
        <v>107</v>
      </c>
    </row>
    <row r="1290" spans="1:13" x14ac:dyDescent="0.3">
      <c r="A1290" t="s">
        <v>4550</v>
      </c>
      <c r="B1290" t="s">
        <v>37</v>
      </c>
      <c r="C1290" t="s">
        <v>25</v>
      </c>
      <c r="D1290" t="s">
        <v>207</v>
      </c>
      <c r="E1290">
        <v>3041</v>
      </c>
      <c r="F1290" t="s">
        <v>4551</v>
      </c>
      <c r="G1290" t="s">
        <v>4552</v>
      </c>
      <c r="H1290" t="s">
        <v>4552</v>
      </c>
      <c r="I1290" t="s">
        <v>211</v>
      </c>
      <c r="J1290" t="s">
        <v>14</v>
      </c>
      <c r="L1290">
        <v>45692</v>
      </c>
      <c r="M1290" t="s">
        <v>212</v>
      </c>
    </row>
    <row r="1291" spans="1:13" x14ac:dyDescent="0.3">
      <c r="A1291" t="s">
        <v>4553</v>
      </c>
      <c r="B1291" t="s">
        <v>37</v>
      </c>
      <c r="C1291" t="s">
        <v>22</v>
      </c>
      <c r="D1291" t="s">
        <v>38</v>
      </c>
      <c r="E1291">
        <v>3031</v>
      </c>
      <c r="F1291" t="s">
        <v>4554</v>
      </c>
      <c r="G1291" t="s">
        <v>4555</v>
      </c>
      <c r="H1291" t="s">
        <v>4556</v>
      </c>
      <c r="I1291" t="s">
        <v>42</v>
      </c>
      <c r="J1291" t="s">
        <v>43</v>
      </c>
      <c r="L1291">
        <v>45740</v>
      </c>
      <c r="M1291" t="s">
        <v>420</v>
      </c>
    </row>
    <row r="1292" spans="1:13" x14ac:dyDescent="0.3">
      <c r="A1292" t="s">
        <v>4557</v>
      </c>
      <c r="B1292" t="s">
        <v>46</v>
      </c>
      <c r="C1292" t="s">
        <v>25</v>
      </c>
      <c r="D1292" t="s">
        <v>47</v>
      </c>
      <c r="E1292">
        <v>3032</v>
      </c>
      <c r="F1292" t="s">
        <v>4558</v>
      </c>
      <c r="G1292" t="s">
        <v>4559</v>
      </c>
      <c r="H1292" t="s">
        <v>4560</v>
      </c>
      <c r="I1292" t="s">
        <v>51</v>
      </c>
      <c r="J1292" t="s">
        <v>52</v>
      </c>
      <c r="K1292" t="s">
        <v>21</v>
      </c>
      <c r="L1292">
        <v>45713</v>
      </c>
      <c r="M1292" t="s">
        <v>476</v>
      </c>
    </row>
    <row r="1293" spans="1:13" x14ac:dyDescent="0.3">
      <c r="A1293" t="s">
        <v>4561</v>
      </c>
      <c r="B1293" t="s">
        <v>46</v>
      </c>
      <c r="C1293" t="s">
        <v>26</v>
      </c>
      <c r="D1293" t="s">
        <v>38</v>
      </c>
      <c r="E1293">
        <v>3031</v>
      </c>
      <c r="F1293" t="s">
        <v>4562</v>
      </c>
      <c r="G1293" t="s">
        <v>4563</v>
      </c>
      <c r="H1293" t="s">
        <v>4563</v>
      </c>
      <c r="I1293" t="s">
        <v>42</v>
      </c>
      <c r="J1293" t="s">
        <v>43</v>
      </c>
      <c r="L1293">
        <v>45708</v>
      </c>
      <c r="M1293" t="s">
        <v>420</v>
      </c>
    </row>
    <row r="1294" spans="1:13" x14ac:dyDescent="0.3">
      <c r="A1294" t="s">
        <v>4564</v>
      </c>
      <c r="B1294" t="s">
        <v>37</v>
      </c>
      <c r="C1294" t="s">
        <v>26</v>
      </c>
      <c r="D1294" t="s">
        <v>47</v>
      </c>
      <c r="E1294">
        <v>3032</v>
      </c>
      <c r="F1294" t="s">
        <v>4565</v>
      </c>
      <c r="G1294" t="s">
        <v>4566</v>
      </c>
      <c r="H1294" t="s">
        <v>4566</v>
      </c>
      <c r="I1294" t="s">
        <v>51</v>
      </c>
      <c r="J1294" t="s">
        <v>52</v>
      </c>
      <c r="L1294">
        <v>45727</v>
      </c>
      <c r="M1294" t="s">
        <v>90</v>
      </c>
    </row>
    <row r="1295" spans="1:13" x14ac:dyDescent="0.3">
      <c r="A1295" t="s">
        <v>4567</v>
      </c>
      <c r="B1295" t="s">
        <v>37</v>
      </c>
      <c r="C1295" t="s">
        <v>26</v>
      </c>
      <c r="D1295" t="s">
        <v>38</v>
      </c>
      <c r="E1295">
        <v>3031</v>
      </c>
      <c r="F1295" t="s">
        <v>105</v>
      </c>
      <c r="G1295" t="s">
        <v>4568</v>
      </c>
      <c r="H1295" t="s">
        <v>4569</v>
      </c>
      <c r="I1295" t="s">
        <v>42</v>
      </c>
      <c r="J1295" t="s">
        <v>43</v>
      </c>
      <c r="L1295">
        <v>45710</v>
      </c>
      <c r="M1295" t="s">
        <v>65</v>
      </c>
    </row>
    <row r="1296" spans="1:13" x14ac:dyDescent="0.3">
      <c r="A1296" t="s">
        <v>4570</v>
      </c>
      <c r="B1296" t="s">
        <v>46</v>
      </c>
      <c r="C1296" t="s">
        <v>26</v>
      </c>
      <c r="D1296" t="s">
        <v>207</v>
      </c>
      <c r="E1296">
        <v>3041</v>
      </c>
      <c r="F1296" t="s">
        <v>4571</v>
      </c>
      <c r="G1296" t="s">
        <v>4572</v>
      </c>
      <c r="H1296" t="s">
        <v>4572</v>
      </c>
      <c r="I1296" t="s">
        <v>211</v>
      </c>
      <c r="J1296" t="s">
        <v>14</v>
      </c>
      <c r="K1296" t="s">
        <v>21</v>
      </c>
      <c r="L1296">
        <v>45664</v>
      </c>
      <c r="M1296" t="s">
        <v>363</v>
      </c>
    </row>
    <row r="1297" spans="1:13" x14ac:dyDescent="0.3">
      <c r="A1297" t="s">
        <v>4573</v>
      </c>
      <c r="B1297" t="s">
        <v>37</v>
      </c>
      <c r="C1297" t="s">
        <v>26</v>
      </c>
      <c r="D1297" t="s">
        <v>78</v>
      </c>
      <c r="E1297">
        <v>3035</v>
      </c>
      <c r="F1297" t="s">
        <v>4574</v>
      </c>
      <c r="G1297" t="s">
        <v>4575</v>
      </c>
      <c r="H1297" t="s">
        <v>4575</v>
      </c>
      <c r="I1297" t="s">
        <v>81</v>
      </c>
      <c r="J1297" t="s">
        <v>82</v>
      </c>
      <c r="L1297">
        <v>45694</v>
      </c>
      <c r="M1297" t="s">
        <v>489</v>
      </c>
    </row>
    <row r="1298" spans="1:13" x14ac:dyDescent="0.3">
      <c r="A1298" t="s">
        <v>4576</v>
      </c>
      <c r="B1298" t="s">
        <v>37</v>
      </c>
      <c r="C1298" t="s">
        <v>22</v>
      </c>
      <c r="D1298" t="s">
        <v>55</v>
      </c>
      <c r="E1298">
        <v>3033</v>
      </c>
      <c r="F1298" t="s">
        <v>4577</v>
      </c>
      <c r="G1298" t="s">
        <v>4578</v>
      </c>
      <c r="H1298" t="s">
        <v>4579</v>
      </c>
      <c r="I1298" t="s">
        <v>58</v>
      </c>
      <c r="J1298" t="s">
        <v>59</v>
      </c>
      <c r="K1298" t="s">
        <v>21</v>
      </c>
      <c r="L1298">
        <v>45661</v>
      </c>
      <c r="M1298" t="s">
        <v>69</v>
      </c>
    </row>
    <row r="1299" spans="1:13" x14ac:dyDescent="0.3">
      <c r="A1299" t="s">
        <v>4580</v>
      </c>
      <c r="B1299" t="s">
        <v>46</v>
      </c>
      <c r="C1299" t="s">
        <v>22</v>
      </c>
      <c r="D1299" t="s">
        <v>118</v>
      </c>
      <c r="E1299">
        <v>3038</v>
      </c>
      <c r="F1299" t="s">
        <v>4581</v>
      </c>
      <c r="G1299" t="s">
        <v>4582</v>
      </c>
      <c r="H1299" t="s">
        <v>4583</v>
      </c>
      <c r="I1299" t="s">
        <v>122</v>
      </c>
      <c r="J1299" t="s">
        <v>123</v>
      </c>
      <c r="L1299">
        <v>45660</v>
      </c>
      <c r="M1299" t="s">
        <v>359</v>
      </c>
    </row>
    <row r="1300" spans="1:13" x14ac:dyDescent="0.3">
      <c r="A1300" t="s">
        <v>4584</v>
      </c>
      <c r="B1300" t="s">
        <v>37</v>
      </c>
      <c r="C1300" t="s">
        <v>25</v>
      </c>
      <c r="D1300" t="s">
        <v>118</v>
      </c>
      <c r="E1300">
        <v>3038</v>
      </c>
      <c r="F1300" t="s">
        <v>4585</v>
      </c>
      <c r="G1300" t="s">
        <v>4586</v>
      </c>
      <c r="H1300" t="s">
        <v>4586</v>
      </c>
      <c r="I1300" t="s">
        <v>122</v>
      </c>
      <c r="J1300" t="s">
        <v>123</v>
      </c>
      <c r="K1300" t="s">
        <v>21</v>
      </c>
      <c r="L1300">
        <v>45702</v>
      </c>
      <c r="M1300" t="s">
        <v>389</v>
      </c>
    </row>
    <row r="1301" spans="1:13" x14ac:dyDescent="0.3">
      <c r="A1301" t="s">
        <v>4587</v>
      </c>
      <c r="B1301" t="s">
        <v>46</v>
      </c>
      <c r="C1301" t="s">
        <v>26</v>
      </c>
      <c r="D1301" t="s">
        <v>97</v>
      </c>
      <c r="E1301">
        <v>3036</v>
      </c>
      <c r="F1301" t="s">
        <v>4588</v>
      </c>
      <c r="G1301" t="s">
        <v>4589</v>
      </c>
      <c r="H1301" t="s">
        <v>4589</v>
      </c>
      <c r="I1301" t="s">
        <v>100</v>
      </c>
      <c r="J1301" t="s">
        <v>101</v>
      </c>
      <c r="L1301">
        <v>45667</v>
      </c>
      <c r="M1301" t="s">
        <v>165</v>
      </c>
    </row>
    <row r="1302" spans="1:13" x14ac:dyDescent="0.3">
      <c r="A1302" t="s">
        <v>4590</v>
      </c>
      <c r="B1302" t="s">
        <v>46</v>
      </c>
      <c r="C1302" t="s">
        <v>22</v>
      </c>
      <c r="D1302" t="s">
        <v>78</v>
      </c>
      <c r="E1302">
        <v>3035</v>
      </c>
      <c r="F1302" t="s">
        <v>4591</v>
      </c>
      <c r="G1302" t="s">
        <v>4592</v>
      </c>
      <c r="H1302" t="s">
        <v>4592</v>
      </c>
      <c r="I1302" t="s">
        <v>81</v>
      </c>
      <c r="J1302" t="s">
        <v>82</v>
      </c>
      <c r="L1302">
        <v>45735</v>
      </c>
      <c r="M1302" t="s">
        <v>69</v>
      </c>
    </row>
    <row r="1303" spans="1:13" x14ac:dyDescent="0.3">
      <c r="A1303" t="s">
        <v>4593</v>
      </c>
      <c r="B1303" t="s">
        <v>46</v>
      </c>
      <c r="C1303" t="s">
        <v>25</v>
      </c>
      <c r="D1303" t="s">
        <v>444</v>
      </c>
      <c r="E1303">
        <v>3042</v>
      </c>
      <c r="F1303" t="s">
        <v>4594</v>
      </c>
      <c r="G1303" t="s">
        <v>4595</v>
      </c>
      <c r="H1303" t="s">
        <v>4595</v>
      </c>
      <c r="I1303" t="s">
        <v>448</v>
      </c>
      <c r="J1303" t="s">
        <v>449</v>
      </c>
      <c r="L1303">
        <v>45716</v>
      </c>
      <c r="M1303" t="s">
        <v>481</v>
      </c>
    </row>
    <row r="1304" spans="1:13" x14ac:dyDescent="0.3">
      <c r="A1304" t="s">
        <v>4596</v>
      </c>
      <c r="B1304" t="s">
        <v>46</v>
      </c>
      <c r="C1304" t="s">
        <v>24</v>
      </c>
      <c r="D1304" t="s">
        <v>118</v>
      </c>
      <c r="E1304">
        <v>3038</v>
      </c>
      <c r="F1304" t="s">
        <v>4597</v>
      </c>
      <c r="G1304" t="s">
        <v>4598</v>
      </c>
      <c r="H1304" t="s">
        <v>4599</v>
      </c>
      <c r="I1304" t="s">
        <v>122</v>
      </c>
      <c r="J1304" t="s">
        <v>123</v>
      </c>
      <c r="L1304">
        <v>45732</v>
      </c>
      <c r="M1304" t="s">
        <v>124</v>
      </c>
    </row>
    <row r="1305" spans="1:13" x14ac:dyDescent="0.3">
      <c r="A1305" t="s">
        <v>4600</v>
      </c>
      <c r="B1305" t="s">
        <v>37</v>
      </c>
      <c r="C1305" t="s">
        <v>25</v>
      </c>
      <c r="D1305" t="s">
        <v>47</v>
      </c>
      <c r="E1305">
        <v>3032</v>
      </c>
      <c r="F1305" t="s">
        <v>4601</v>
      </c>
      <c r="G1305" t="s">
        <v>4602</v>
      </c>
      <c r="H1305" t="s">
        <v>4603</v>
      </c>
      <c r="I1305" t="s">
        <v>51</v>
      </c>
      <c r="J1305" t="s">
        <v>52</v>
      </c>
      <c r="L1305">
        <v>45736</v>
      </c>
      <c r="M1305" t="s">
        <v>90</v>
      </c>
    </row>
    <row r="1306" spans="1:13" x14ac:dyDescent="0.3">
      <c r="A1306" t="s">
        <v>4604</v>
      </c>
      <c r="B1306" t="s">
        <v>46</v>
      </c>
      <c r="C1306" t="s">
        <v>22</v>
      </c>
      <c r="D1306" t="s">
        <v>71</v>
      </c>
      <c r="E1306">
        <v>3034</v>
      </c>
      <c r="F1306" t="s">
        <v>4605</v>
      </c>
      <c r="G1306" t="s">
        <v>4606</v>
      </c>
      <c r="H1306" t="s">
        <v>4607</v>
      </c>
      <c r="I1306" t="s">
        <v>74</v>
      </c>
      <c r="J1306" t="s">
        <v>75</v>
      </c>
      <c r="L1306">
        <v>45719</v>
      </c>
      <c r="M1306" t="s">
        <v>212</v>
      </c>
    </row>
    <row r="1307" spans="1:13" x14ac:dyDescent="0.3">
      <c r="A1307" t="s">
        <v>4608</v>
      </c>
      <c r="B1307" t="s">
        <v>37</v>
      </c>
      <c r="C1307" t="s">
        <v>24</v>
      </c>
      <c r="D1307" t="s">
        <v>104</v>
      </c>
      <c r="E1307">
        <v>3037</v>
      </c>
      <c r="F1307" t="s">
        <v>4609</v>
      </c>
      <c r="G1307" t="s">
        <v>4610</v>
      </c>
      <c r="H1307" t="s">
        <v>4610</v>
      </c>
      <c r="I1307" t="s">
        <v>12</v>
      </c>
      <c r="J1307" t="s">
        <v>13</v>
      </c>
      <c r="L1307">
        <v>45683</v>
      </c>
      <c r="M1307" t="s">
        <v>76</v>
      </c>
    </row>
    <row r="1308" spans="1:13" x14ac:dyDescent="0.3">
      <c r="A1308" t="s">
        <v>4611</v>
      </c>
      <c r="B1308" t="s">
        <v>46</v>
      </c>
      <c r="C1308" t="s">
        <v>22</v>
      </c>
      <c r="D1308" t="s">
        <v>97</v>
      </c>
      <c r="E1308">
        <v>3036</v>
      </c>
      <c r="F1308" t="s">
        <v>4612</v>
      </c>
      <c r="G1308" t="s">
        <v>4613</v>
      </c>
      <c r="H1308" t="s">
        <v>4613</v>
      </c>
      <c r="I1308" t="s">
        <v>100</v>
      </c>
      <c r="J1308" t="s">
        <v>101</v>
      </c>
      <c r="L1308">
        <v>45722</v>
      </c>
      <c r="M1308" t="s">
        <v>165</v>
      </c>
    </row>
    <row r="1309" spans="1:13" x14ac:dyDescent="0.3">
      <c r="A1309" t="s">
        <v>4614</v>
      </c>
      <c r="B1309" t="s">
        <v>37</v>
      </c>
      <c r="C1309" t="s">
        <v>25</v>
      </c>
      <c r="D1309" t="s">
        <v>78</v>
      </c>
      <c r="E1309">
        <v>3035</v>
      </c>
      <c r="F1309" t="s">
        <v>4615</v>
      </c>
      <c r="G1309" t="s">
        <v>4616</v>
      </c>
      <c r="H1309" t="s">
        <v>4617</v>
      </c>
      <c r="I1309" t="s">
        <v>81</v>
      </c>
      <c r="J1309" t="s">
        <v>82</v>
      </c>
      <c r="K1309" t="s">
        <v>21</v>
      </c>
      <c r="L1309">
        <v>45680</v>
      </c>
      <c r="M1309" t="s">
        <v>287</v>
      </c>
    </row>
    <row r="1310" spans="1:13" x14ac:dyDescent="0.3">
      <c r="A1310" t="s">
        <v>4618</v>
      </c>
      <c r="B1310" t="s">
        <v>37</v>
      </c>
      <c r="C1310" t="s">
        <v>22</v>
      </c>
      <c r="D1310" t="s">
        <v>71</v>
      </c>
      <c r="E1310">
        <v>3034</v>
      </c>
      <c r="F1310" t="s">
        <v>4619</v>
      </c>
      <c r="G1310" t="s">
        <v>4620</v>
      </c>
      <c r="H1310" t="s">
        <v>4621</v>
      </c>
      <c r="I1310" t="s">
        <v>74</v>
      </c>
      <c r="J1310" t="s">
        <v>75</v>
      </c>
      <c r="L1310">
        <v>45714</v>
      </c>
      <c r="M1310" t="s">
        <v>212</v>
      </c>
    </row>
    <row r="1311" spans="1:13" x14ac:dyDescent="0.3">
      <c r="A1311" t="s">
        <v>4622</v>
      </c>
      <c r="B1311" t="s">
        <v>37</v>
      </c>
      <c r="C1311" t="s">
        <v>25</v>
      </c>
      <c r="D1311" t="s">
        <v>97</v>
      </c>
      <c r="E1311">
        <v>3036</v>
      </c>
      <c r="F1311" t="s">
        <v>4623</v>
      </c>
      <c r="G1311" t="s">
        <v>4624</v>
      </c>
      <c r="H1311" t="s">
        <v>4624</v>
      </c>
      <c r="I1311" t="s">
        <v>100</v>
      </c>
      <c r="J1311" t="s">
        <v>101</v>
      </c>
      <c r="L1311">
        <v>45704</v>
      </c>
      <c r="M1311" t="s">
        <v>292</v>
      </c>
    </row>
    <row r="1312" spans="1:13" x14ac:dyDescent="0.3">
      <c r="A1312" t="s">
        <v>4625</v>
      </c>
      <c r="B1312" t="s">
        <v>37</v>
      </c>
      <c r="C1312" t="s">
        <v>26</v>
      </c>
      <c r="D1312" t="s">
        <v>55</v>
      </c>
      <c r="E1312">
        <v>3033</v>
      </c>
      <c r="F1312" t="s">
        <v>4626</v>
      </c>
      <c r="G1312" t="s">
        <v>4627</v>
      </c>
      <c r="H1312" t="s">
        <v>4628</v>
      </c>
      <c r="I1312" t="s">
        <v>58</v>
      </c>
      <c r="J1312" t="s">
        <v>59</v>
      </c>
      <c r="K1312" t="s">
        <v>21</v>
      </c>
      <c r="L1312">
        <v>45707</v>
      </c>
      <c r="M1312" t="s">
        <v>60</v>
      </c>
    </row>
    <row r="1313" spans="1:13" x14ac:dyDescent="0.3">
      <c r="A1313" t="s">
        <v>4629</v>
      </c>
      <c r="B1313" t="s">
        <v>37</v>
      </c>
      <c r="C1313" t="s">
        <v>25</v>
      </c>
      <c r="D1313" t="s">
        <v>444</v>
      </c>
      <c r="E1313">
        <v>3042</v>
      </c>
      <c r="F1313" t="s">
        <v>4630</v>
      </c>
      <c r="G1313" t="s">
        <v>4631</v>
      </c>
      <c r="H1313" t="s">
        <v>4632</v>
      </c>
      <c r="I1313" t="s">
        <v>448</v>
      </c>
      <c r="J1313" t="s">
        <v>449</v>
      </c>
      <c r="L1313">
        <v>45742</v>
      </c>
      <c r="M1313" t="s">
        <v>722</v>
      </c>
    </row>
    <row r="1314" spans="1:13" x14ac:dyDescent="0.3">
      <c r="A1314" t="s">
        <v>4633</v>
      </c>
      <c r="B1314" t="s">
        <v>46</v>
      </c>
      <c r="C1314" t="s">
        <v>22</v>
      </c>
      <c r="D1314" t="s">
        <v>97</v>
      </c>
      <c r="E1314">
        <v>3036</v>
      </c>
      <c r="F1314" t="s">
        <v>4634</v>
      </c>
      <c r="G1314" t="s">
        <v>4635</v>
      </c>
      <c r="H1314" t="s">
        <v>4635</v>
      </c>
      <c r="I1314" t="s">
        <v>100</v>
      </c>
      <c r="J1314" t="s">
        <v>101</v>
      </c>
      <c r="L1314">
        <v>45720</v>
      </c>
      <c r="M1314" t="s">
        <v>128</v>
      </c>
    </row>
    <row r="1315" spans="1:13" x14ac:dyDescent="0.3">
      <c r="A1315" t="s">
        <v>4636</v>
      </c>
      <c r="B1315" t="s">
        <v>46</v>
      </c>
      <c r="C1315" t="s">
        <v>25</v>
      </c>
      <c r="D1315" t="s">
        <v>207</v>
      </c>
      <c r="E1315">
        <v>3041</v>
      </c>
      <c r="F1315" t="s">
        <v>4637</v>
      </c>
      <c r="G1315" t="s">
        <v>4638</v>
      </c>
      <c r="H1315" t="s">
        <v>4639</v>
      </c>
      <c r="I1315" t="s">
        <v>211</v>
      </c>
      <c r="J1315" t="s">
        <v>14</v>
      </c>
      <c r="L1315">
        <v>45712</v>
      </c>
      <c r="M1315" t="s">
        <v>212</v>
      </c>
    </row>
    <row r="1316" spans="1:13" x14ac:dyDescent="0.3">
      <c r="A1316" t="s">
        <v>4640</v>
      </c>
      <c r="B1316" t="s">
        <v>37</v>
      </c>
      <c r="C1316" t="s">
        <v>22</v>
      </c>
      <c r="D1316" t="s">
        <v>104</v>
      </c>
      <c r="E1316">
        <v>3037</v>
      </c>
      <c r="F1316" t="s">
        <v>4641</v>
      </c>
      <c r="G1316" t="s">
        <v>4642</v>
      </c>
      <c r="H1316" t="s">
        <v>4642</v>
      </c>
      <c r="I1316" t="s">
        <v>12</v>
      </c>
      <c r="J1316" t="s">
        <v>13</v>
      </c>
      <c r="L1316">
        <v>45687</v>
      </c>
      <c r="M1316" t="s">
        <v>76</v>
      </c>
    </row>
    <row r="1317" spans="1:13" x14ac:dyDescent="0.3">
      <c r="A1317" t="s">
        <v>4643</v>
      </c>
      <c r="B1317" t="s">
        <v>37</v>
      </c>
      <c r="C1317" t="s">
        <v>24</v>
      </c>
      <c r="D1317" t="s">
        <v>47</v>
      </c>
      <c r="E1317">
        <v>3032</v>
      </c>
      <c r="F1317" t="s">
        <v>4644</v>
      </c>
      <c r="G1317" t="s">
        <v>4645</v>
      </c>
      <c r="H1317" t="s">
        <v>4645</v>
      </c>
      <c r="I1317" t="s">
        <v>51</v>
      </c>
      <c r="J1317" t="s">
        <v>52</v>
      </c>
      <c r="L1317">
        <v>45682</v>
      </c>
      <c r="M1317" t="s">
        <v>177</v>
      </c>
    </row>
    <row r="1318" spans="1:13" x14ac:dyDescent="0.3">
      <c r="A1318" t="s">
        <v>4646</v>
      </c>
      <c r="B1318" t="s">
        <v>37</v>
      </c>
      <c r="C1318" t="s">
        <v>22</v>
      </c>
      <c r="D1318" t="s">
        <v>207</v>
      </c>
      <c r="E1318">
        <v>3041</v>
      </c>
      <c r="F1318" t="s">
        <v>727</v>
      </c>
      <c r="G1318" t="s">
        <v>4647</v>
      </c>
      <c r="H1318" t="s">
        <v>4647</v>
      </c>
      <c r="I1318" t="s">
        <v>211</v>
      </c>
      <c r="J1318" t="s">
        <v>14</v>
      </c>
      <c r="L1318">
        <v>45676</v>
      </c>
      <c r="M1318" t="s">
        <v>363</v>
      </c>
    </row>
    <row r="1319" spans="1:13" x14ac:dyDescent="0.3">
      <c r="A1319" t="s">
        <v>4648</v>
      </c>
      <c r="B1319" t="s">
        <v>37</v>
      </c>
      <c r="C1319" t="s">
        <v>25</v>
      </c>
      <c r="D1319" t="s">
        <v>191</v>
      </c>
      <c r="E1319">
        <v>3040</v>
      </c>
      <c r="F1319" t="s">
        <v>4649</v>
      </c>
      <c r="G1319" t="s">
        <v>4650</v>
      </c>
      <c r="H1319" t="s">
        <v>4650</v>
      </c>
      <c r="I1319" t="s">
        <v>194</v>
      </c>
      <c r="J1319" t="s">
        <v>13</v>
      </c>
      <c r="L1319">
        <v>45727</v>
      </c>
      <c r="M1319" t="s">
        <v>321</v>
      </c>
    </row>
    <row r="1320" spans="1:13" x14ac:dyDescent="0.3">
      <c r="A1320" t="s">
        <v>4651</v>
      </c>
      <c r="B1320" t="s">
        <v>46</v>
      </c>
      <c r="C1320" t="s">
        <v>24</v>
      </c>
      <c r="D1320" t="s">
        <v>97</v>
      </c>
      <c r="E1320">
        <v>3036</v>
      </c>
      <c r="F1320" t="s">
        <v>4652</v>
      </c>
      <c r="G1320" t="s">
        <v>4653</v>
      </c>
      <c r="H1320" t="s">
        <v>4654</v>
      </c>
      <c r="I1320" t="s">
        <v>100</v>
      </c>
      <c r="J1320" t="s">
        <v>101</v>
      </c>
      <c r="L1320">
        <v>45675</v>
      </c>
      <c r="M1320" t="s">
        <v>102</v>
      </c>
    </row>
    <row r="1321" spans="1:13" x14ac:dyDescent="0.3">
      <c r="A1321" t="s">
        <v>4655</v>
      </c>
      <c r="B1321" t="s">
        <v>46</v>
      </c>
      <c r="C1321" t="s">
        <v>22</v>
      </c>
      <c r="D1321" t="s">
        <v>207</v>
      </c>
      <c r="E1321">
        <v>3041</v>
      </c>
      <c r="F1321" t="s">
        <v>4656</v>
      </c>
      <c r="G1321" t="s">
        <v>4657</v>
      </c>
      <c r="H1321" t="s">
        <v>4658</v>
      </c>
      <c r="I1321" t="s">
        <v>211</v>
      </c>
      <c r="J1321" t="s">
        <v>14</v>
      </c>
      <c r="L1321">
        <v>45672</v>
      </c>
      <c r="M1321" t="s">
        <v>300</v>
      </c>
    </row>
    <row r="1322" spans="1:13" x14ac:dyDescent="0.3">
      <c r="A1322" t="s">
        <v>4659</v>
      </c>
      <c r="B1322" t="s">
        <v>46</v>
      </c>
      <c r="C1322" t="s">
        <v>26</v>
      </c>
      <c r="D1322" t="s">
        <v>97</v>
      </c>
      <c r="E1322">
        <v>3036</v>
      </c>
      <c r="F1322" t="s">
        <v>4660</v>
      </c>
      <c r="G1322" t="s">
        <v>4661</v>
      </c>
      <c r="H1322" t="s">
        <v>4661</v>
      </c>
      <c r="I1322" t="s">
        <v>100</v>
      </c>
      <c r="J1322" t="s">
        <v>101</v>
      </c>
      <c r="K1322" t="s">
        <v>21</v>
      </c>
      <c r="L1322">
        <v>45736</v>
      </c>
      <c r="M1322" t="s">
        <v>102</v>
      </c>
    </row>
    <row r="1323" spans="1:13" x14ac:dyDescent="0.3">
      <c r="A1323" t="s">
        <v>4662</v>
      </c>
      <c r="B1323" t="s">
        <v>46</v>
      </c>
      <c r="C1323" t="s">
        <v>22</v>
      </c>
      <c r="D1323" t="s">
        <v>47</v>
      </c>
      <c r="E1323">
        <v>3032</v>
      </c>
      <c r="F1323" t="s">
        <v>4663</v>
      </c>
      <c r="G1323" t="s">
        <v>4664</v>
      </c>
      <c r="H1323" t="s">
        <v>4665</v>
      </c>
      <c r="I1323" t="s">
        <v>51</v>
      </c>
      <c r="J1323" t="s">
        <v>52</v>
      </c>
      <c r="K1323" t="s">
        <v>21</v>
      </c>
      <c r="L1323">
        <v>45715</v>
      </c>
      <c r="M1323" t="s">
        <v>53</v>
      </c>
    </row>
    <row r="1324" spans="1:13" x14ac:dyDescent="0.3">
      <c r="A1324" t="s">
        <v>4666</v>
      </c>
      <c r="B1324" t="s">
        <v>37</v>
      </c>
      <c r="C1324" t="s">
        <v>26</v>
      </c>
      <c r="D1324" t="s">
        <v>207</v>
      </c>
      <c r="E1324">
        <v>3041</v>
      </c>
      <c r="F1324" t="s">
        <v>4667</v>
      </c>
      <c r="G1324" t="s">
        <v>4668</v>
      </c>
      <c r="H1324" t="s">
        <v>4669</v>
      </c>
      <c r="I1324" t="s">
        <v>211</v>
      </c>
      <c r="J1324" t="s">
        <v>14</v>
      </c>
      <c r="L1324">
        <v>45740</v>
      </c>
      <c r="M1324" t="s">
        <v>577</v>
      </c>
    </row>
    <row r="1325" spans="1:13" x14ac:dyDescent="0.3">
      <c r="A1325" t="s">
        <v>4670</v>
      </c>
      <c r="B1325" t="s">
        <v>37</v>
      </c>
      <c r="C1325" t="s">
        <v>26</v>
      </c>
      <c r="D1325" t="s">
        <v>71</v>
      </c>
      <c r="E1325">
        <v>3034</v>
      </c>
      <c r="F1325" t="s">
        <v>4671</v>
      </c>
      <c r="G1325" t="s">
        <v>4672</v>
      </c>
      <c r="H1325" t="s">
        <v>4672</v>
      </c>
      <c r="I1325" t="s">
        <v>74</v>
      </c>
      <c r="J1325" t="s">
        <v>75</v>
      </c>
      <c r="K1325" t="s">
        <v>21</v>
      </c>
      <c r="L1325">
        <v>45658</v>
      </c>
      <c r="M1325" t="s">
        <v>165</v>
      </c>
    </row>
    <row r="1326" spans="1:13" x14ac:dyDescent="0.3">
      <c r="A1326" t="s">
        <v>4673</v>
      </c>
      <c r="B1326" t="s">
        <v>37</v>
      </c>
      <c r="C1326" t="s">
        <v>25</v>
      </c>
      <c r="D1326" t="s">
        <v>71</v>
      </c>
      <c r="E1326">
        <v>3034</v>
      </c>
      <c r="F1326" t="s">
        <v>4674</v>
      </c>
      <c r="G1326" t="s">
        <v>4675</v>
      </c>
      <c r="H1326" t="s">
        <v>4676</v>
      </c>
      <c r="I1326" t="s">
        <v>74</v>
      </c>
      <c r="J1326" t="s">
        <v>75</v>
      </c>
      <c r="K1326" t="s">
        <v>21</v>
      </c>
      <c r="L1326">
        <v>45739</v>
      </c>
      <c r="M1326" t="s">
        <v>165</v>
      </c>
    </row>
    <row r="1327" spans="1:13" x14ac:dyDescent="0.3">
      <c r="A1327" t="s">
        <v>4677</v>
      </c>
      <c r="B1327" t="s">
        <v>46</v>
      </c>
      <c r="C1327" t="s">
        <v>26</v>
      </c>
      <c r="D1327" t="s">
        <v>97</v>
      </c>
      <c r="E1327">
        <v>3036</v>
      </c>
      <c r="F1327" t="s">
        <v>4678</v>
      </c>
      <c r="G1327" t="s">
        <v>4679</v>
      </c>
      <c r="H1327" t="s">
        <v>4680</v>
      </c>
      <c r="I1327" t="s">
        <v>100</v>
      </c>
      <c r="J1327" t="s">
        <v>101</v>
      </c>
      <c r="L1327">
        <v>45713</v>
      </c>
      <c r="M1327" t="s">
        <v>128</v>
      </c>
    </row>
    <row r="1328" spans="1:13" x14ac:dyDescent="0.3">
      <c r="A1328" t="s">
        <v>4681</v>
      </c>
      <c r="B1328" t="s">
        <v>37</v>
      </c>
      <c r="C1328" t="s">
        <v>24</v>
      </c>
      <c r="D1328" t="s">
        <v>71</v>
      </c>
      <c r="E1328">
        <v>3034</v>
      </c>
      <c r="F1328" t="s">
        <v>4682</v>
      </c>
      <c r="G1328" t="s">
        <v>4683</v>
      </c>
      <c r="H1328" t="s">
        <v>4683</v>
      </c>
      <c r="I1328" t="s">
        <v>74</v>
      </c>
      <c r="J1328" t="s">
        <v>75</v>
      </c>
      <c r="K1328" t="s">
        <v>21</v>
      </c>
      <c r="L1328">
        <v>45744</v>
      </c>
      <c r="M1328" t="s">
        <v>212</v>
      </c>
    </row>
    <row r="1329" spans="1:13" x14ac:dyDescent="0.3">
      <c r="A1329" t="s">
        <v>4684</v>
      </c>
      <c r="B1329" t="s">
        <v>46</v>
      </c>
      <c r="C1329" t="s">
        <v>25</v>
      </c>
      <c r="D1329" t="s">
        <v>97</v>
      </c>
      <c r="E1329">
        <v>3036</v>
      </c>
      <c r="F1329" t="s">
        <v>4685</v>
      </c>
      <c r="G1329" t="s">
        <v>4686</v>
      </c>
      <c r="H1329" t="s">
        <v>4687</v>
      </c>
      <c r="I1329" t="s">
        <v>100</v>
      </c>
      <c r="J1329" t="s">
        <v>101</v>
      </c>
      <c r="L1329">
        <v>45680</v>
      </c>
      <c r="M1329" t="s">
        <v>292</v>
      </c>
    </row>
    <row r="1330" spans="1:13" x14ac:dyDescent="0.3">
      <c r="A1330" t="s">
        <v>4688</v>
      </c>
      <c r="B1330" t="s">
        <v>46</v>
      </c>
      <c r="C1330" t="s">
        <v>25</v>
      </c>
      <c r="D1330" t="s">
        <v>191</v>
      </c>
      <c r="E1330">
        <v>3040</v>
      </c>
      <c r="F1330" t="s">
        <v>4689</v>
      </c>
      <c r="G1330" t="s">
        <v>4690</v>
      </c>
      <c r="H1330" t="s">
        <v>4690</v>
      </c>
      <c r="I1330" t="s">
        <v>194</v>
      </c>
      <c r="J1330" t="s">
        <v>13</v>
      </c>
      <c r="L1330">
        <v>45677</v>
      </c>
      <c r="M1330" t="s">
        <v>300</v>
      </c>
    </row>
    <row r="1331" spans="1:13" x14ac:dyDescent="0.3">
      <c r="A1331" t="s">
        <v>4691</v>
      </c>
      <c r="B1331" t="s">
        <v>46</v>
      </c>
      <c r="C1331" t="s">
        <v>25</v>
      </c>
      <c r="D1331" t="s">
        <v>71</v>
      </c>
      <c r="E1331">
        <v>3034</v>
      </c>
      <c r="F1331" t="s">
        <v>4692</v>
      </c>
      <c r="G1331" t="s">
        <v>4693</v>
      </c>
      <c r="H1331" t="s">
        <v>4693</v>
      </c>
      <c r="I1331" t="s">
        <v>74</v>
      </c>
      <c r="J1331" t="s">
        <v>75</v>
      </c>
      <c r="L1331">
        <v>45694</v>
      </c>
      <c r="M1331" t="s">
        <v>212</v>
      </c>
    </row>
    <row r="1332" spans="1:13" x14ac:dyDescent="0.3">
      <c r="A1332" t="s">
        <v>4694</v>
      </c>
      <c r="B1332" t="s">
        <v>46</v>
      </c>
      <c r="C1332" t="s">
        <v>22</v>
      </c>
      <c r="D1332" t="s">
        <v>136</v>
      </c>
      <c r="E1332">
        <v>3039</v>
      </c>
      <c r="F1332" t="s">
        <v>4695</v>
      </c>
      <c r="G1332" t="s">
        <v>4696</v>
      </c>
      <c r="H1332" t="s">
        <v>4696</v>
      </c>
      <c r="I1332" t="s">
        <v>15</v>
      </c>
      <c r="J1332" t="s">
        <v>14</v>
      </c>
      <c r="K1332" t="s">
        <v>21</v>
      </c>
      <c r="L1332">
        <v>45697</v>
      </c>
      <c r="M1332" t="s">
        <v>382</v>
      </c>
    </row>
    <row r="1333" spans="1:13" x14ac:dyDescent="0.3">
      <c r="A1333" t="s">
        <v>4697</v>
      </c>
      <c r="B1333" t="s">
        <v>46</v>
      </c>
      <c r="C1333" t="s">
        <v>22</v>
      </c>
      <c r="D1333" t="s">
        <v>97</v>
      </c>
      <c r="E1333">
        <v>3036</v>
      </c>
      <c r="F1333" t="s">
        <v>4698</v>
      </c>
      <c r="G1333" t="s">
        <v>4699</v>
      </c>
      <c r="H1333" t="s">
        <v>4699</v>
      </c>
      <c r="I1333" t="s">
        <v>100</v>
      </c>
      <c r="J1333" t="s">
        <v>101</v>
      </c>
      <c r="L1333">
        <v>45701</v>
      </c>
      <c r="M1333" t="s">
        <v>102</v>
      </c>
    </row>
    <row r="1334" spans="1:13" x14ac:dyDescent="0.3">
      <c r="A1334" t="s">
        <v>4700</v>
      </c>
      <c r="B1334" t="s">
        <v>37</v>
      </c>
      <c r="C1334" t="s">
        <v>22</v>
      </c>
      <c r="D1334" t="s">
        <v>104</v>
      </c>
      <c r="E1334">
        <v>3037</v>
      </c>
      <c r="F1334" t="s">
        <v>4701</v>
      </c>
      <c r="G1334" t="s">
        <v>4702</v>
      </c>
      <c r="H1334" t="s">
        <v>4703</v>
      </c>
      <c r="I1334" t="s">
        <v>12</v>
      </c>
      <c r="J1334" t="s">
        <v>13</v>
      </c>
      <c r="L1334">
        <v>45682</v>
      </c>
      <c r="M1334" t="s">
        <v>224</v>
      </c>
    </row>
    <row r="1335" spans="1:13" x14ac:dyDescent="0.3">
      <c r="A1335" t="s">
        <v>4704</v>
      </c>
      <c r="B1335" t="s">
        <v>37</v>
      </c>
      <c r="C1335" t="s">
        <v>22</v>
      </c>
      <c r="D1335" t="s">
        <v>444</v>
      </c>
      <c r="E1335">
        <v>3042</v>
      </c>
      <c r="F1335" t="s">
        <v>4705</v>
      </c>
      <c r="G1335" t="s">
        <v>4706</v>
      </c>
      <c r="H1335" t="s">
        <v>4706</v>
      </c>
      <c r="I1335" t="s">
        <v>448</v>
      </c>
      <c r="J1335" t="s">
        <v>449</v>
      </c>
      <c r="K1335" t="s">
        <v>21</v>
      </c>
      <c r="L1335">
        <v>45693</v>
      </c>
      <c r="M1335" t="s">
        <v>722</v>
      </c>
    </row>
    <row r="1336" spans="1:13" x14ac:dyDescent="0.3">
      <c r="A1336" t="s">
        <v>4707</v>
      </c>
      <c r="B1336" t="s">
        <v>37</v>
      </c>
      <c r="C1336" t="s">
        <v>24</v>
      </c>
      <c r="D1336" t="s">
        <v>47</v>
      </c>
      <c r="E1336">
        <v>3032</v>
      </c>
      <c r="F1336" t="s">
        <v>4708</v>
      </c>
      <c r="G1336" t="s">
        <v>4709</v>
      </c>
      <c r="H1336" t="s">
        <v>4710</v>
      </c>
      <c r="I1336" t="s">
        <v>51</v>
      </c>
      <c r="J1336" t="s">
        <v>52</v>
      </c>
      <c r="L1336">
        <v>45708</v>
      </c>
      <c r="M1336" t="s">
        <v>881</v>
      </c>
    </row>
    <row r="1337" spans="1:13" x14ac:dyDescent="0.3">
      <c r="A1337" t="s">
        <v>4711</v>
      </c>
      <c r="B1337" t="s">
        <v>46</v>
      </c>
      <c r="C1337" t="s">
        <v>22</v>
      </c>
      <c r="D1337" t="s">
        <v>78</v>
      </c>
      <c r="E1337">
        <v>3035</v>
      </c>
      <c r="F1337" t="s">
        <v>4712</v>
      </c>
      <c r="G1337" t="s">
        <v>4713</v>
      </c>
      <c r="H1337" t="s">
        <v>4713</v>
      </c>
      <c r="I1337" t="s">
        <v>81</v>
      </c>
      <c r="J1337" t="s">
        <v>82</v>
      </c>
      <c r="L1337">
        <v>45708</v>
      </c>
      <c r="M1337" t="s">
        <v>205</v>
      </c>
    </row>
    <row r="1338" spans="1:13" x14ac:dyDescent="0.3">
      <c r="A1338" t="s">
        <v>4714</v>
      </c>
      <c r="B1338" t="s">
        <v>46</v>
      </c>
      <c r="C1338" t="s">
        <v>22</v>
      </c>
      <c r="D1338" t="s">
        <v>47</v>
      </c>
      <c r="E1338">
        <v>3032</v>
      </c>
      <c r="F1338" t="s">
        <v>4715</v>
      </c>
      <c r="G1338" t="s">
        <v>4716</v>
      </c>
      <c r="H1338" t="s">
        <v>4716</v>
      </c>
      <c r="I1338" t="s">
        <v>51</v>
      </c>
      <c r="J1338" t="s">
        <v>52</v>
      </c>
      <c r="K1338" t="s">
        <v>21</v>
      </c>
      <c r="L1338">
        <v>45659</v>
      </c>
      <c r="M1338" t="s">
        <v>144</v>
      </c>
    </row>
    <row r="1339" spans="1:13" x14ac:dyDescent="0.3">
      <c r="A1339" t="s">
        <v>4717</v>
      </c>
      <c r="B1339" t="s">
        <v>46</v>
      </c>
      <c r="C1339" t="s">
        <v>22</v>
      </c>
      <c r="D1339" t="s">
        <v>55</v>
      </c>
      <c r="E1339">
        <v>3033</v>
      </c>
      <c r="F1339" t="s">
        <v>4660</v>
      </c>
      <c r="G1339" t="s">
        <v>4718</v>
      </c>
      <c r="H1339" t="s">
        <v>4719</v>
      </c>
      <c r="I1339" t="s">
        <v>58</v>
      </c>
      <c r="J1339" t="s">
        <v>59</v>
      </c>
      <c r="L1339">
        <v>45728</v>
      </c>
      <c r="M1339" t="s">
        <v>90</v>
      </c>
    </row>
    <row r="1340" spans="1:13" x14ac:dyDescent="0.3">
      <c r="A1340" t="s">
        <v>4720</v>
      </c>
      <c r="B1340" t="s">
        <v>37</v>
      </c>
      <c r="C1340" t="s">
        <v>25</v>
      </c>
      <c r="D1340" t="s">
        <v>207</v>
      </c>
      <c r="E1340">
        <v>3041</v>
      </c>
      <c r="F1340" t="s">
        <v>4721</v>
      </c>
      <c r="G1340" t="s">
        <v>4722</v>
      </c>
      <c r="H1340" t="s">
        <v>4723</v>
      </c>
      <c r="I1340" t="s">
        <v>211</v>
      </c>
      <c r="J1340" t="s">
        <v>14</v>
      </c>
      <c r="K1340" t="s">
        <v>21</v>
      </c>
      <c r="L1340">
        <v>45696</v>
      </c>
      <c r="M1340" t="s">
        <v>300</v>
      </c>
    </row>
    <row r="1341" spans="1:13" x14ac:dyDescent="0.3">
      <c r="A1341" t="s">
        <v>4724</v>
      </c>
      <c r="B1341" t="s">
        <v>46</v>
      </c>
      <c r="C1341" t="s">
        <v>26</v>
      </c>
      <c r="D1341" t="s">
        <v>47</v>
      </c>
      <c r="E1341">
        <v>3032</v>
      </c>
      <c r="F1341" t="s">
        <v>4725</v>
      </c>
      <c r="G1341" t="s">
        <v>4726</v>
      </c>
      <c r="H1341" t="s">
        <v>4727</v>
      </c>
      <c r="I1341" t="s">
        <v>51</v>
      </c>
      <c r="J1341" t="s">
        <v>52</v>
      </c>
      <c r="L1341">
        <v>45702</v>
      </c>
      <c r="M1341" t="s">
        <v>656</v>
      </c>
    </row>
    <row r="1342" spans="1:13" x14ac:dyDescent="0.3">
      <c r="A1342" t="s">
        <v>4728</v>
      </c>
      <c r="B1342" t="s">
        <v>46</v>
      </c>
      <c r="C1342" t="s">
        <v>25</v>
      </c>
      <c r="D1342" t="s">
        <v>136</v>
      </c>
      <c r="E1342">
        <v>3039</v>
      </c>
      <c r="F1342" t="s">
        <v>4729</v>
      </c>
      <c r="G1342" t="s">
        <v>4730</v>
      </c>
      <c r="H1342" t="s">
        <v>4731</v>
      </c>
      <c r="I1342" t="s">
        <v>15</v>
      </c>
      <c r="J1342" t="s">
        <v>14</v>
      </c>
      <c r="L1342">
        <v>45709</v>
      </c>
      <c r="M1342" t="s">
        <v>140</v>
      </c>
    </row>
    <row r="1343" spans="1:13" x14ac:dyDescent="0.3">
      <c r="A1343" t="s">
        <v>4732</v>
      </c>
      <c r="B1343" t="s">
        <v>37</v>
      </c>
      <c r="C1343" t="s">
        <v>26</v>
      </c>
      <c r="D1343" t="s">
        <v>71</v>
      </c>
      <c r="E1343">
        <v>3034</v>
      </c>
      <c r="F1343" t="s">
        <v>4733</v>
      </c>
      <c r="G1343" t="s">
        <v>4734</v>
      </c>
      <c r="H1343" t="s">
        <v>4735</v>
      </c>
      <c r="I1343" t="s">
        <v>74</v>
      </c>
      <c r="J1343" t="s">
        <v>75</v>
      </c>
      <c r="K1343" t="s">
        <v>21</v>
      </c>
      <c r="L1343">
        <v>45730</v>
      </c>
      <c r="M1343" t="s">
        <v>112</v>
      </c>
    </row>
    <row r="1344" spans="1:13" x14ac:dyDescent="0.3">
      <c r="A1344" t="s">
        <v>4736</v>
      </c>
      <c r="B1344" t="s">
        <v>46</v>
      </c>
      <c r="C1344" t="s">
        <v>24</v>
      </c>
      <c r="D1344" t="s">
        <v>104</v>
      </c>
      <c r="E1344">
        <v>3037</v>
      </c>
      <c r="F1344" t="s">
        <v>399</v>
      </c>
      <c r="G1344" t="s">
        <v>4737</v>
      </c>
      <c r="H1344" t="s">
        <v>4738</v>
      </c>
      <c r="I1344" t="s">
        <v>12</v>
      </c>
      <c r="J1344" t="s">
        <v>13</v>
      </c>
      <c r="K1344" t="s">
        <v>21</v>
      </c>
      <c r="L1344">
        <v>45739</v>
      </c>
      <c r="M1344" t="s">
        <v>224</v>
      </c>
    </row>
    <row r="1345" spans="1:13" x14ac:dyDescent="0.3">
      <c r="A1345" t="s">
        <v>4739</v>
      </c>
      <c r="B1345" t="s">
        <v>37</v>
      </c>
      <c r="C1345" t="s">
        <v>24</v>
      </c>
      <c r="D1345" t="s">
        <v>444</v>
      </c>
      <c r="E1345">
        <v>3042</v>
      </c>
      <c r="F1345" t="s">
        <v>4740</v>
      </c>
      <c r="G1345" t="s">
        <v>4741</v>
      </c>
      <c r="H1345" t="s">
        <v>4741</v>
      </c>
      <c r="I1345" t="s">
        <v>448</v>
      </c>
      <c r="J1345" t="s">
        <v>449</v>
      </c>
      <c r="K1345" t="s">
        <v>21</v>
      </c>
      <c r="L1345">
        <v>45678</v>
      </c>
      <c r="M1345" t="s">
        <v>107</v>
      </c>
    </row>
    <row r="1346" spans="1:13" x14ac:dyDescent="0.3">
      <c r="A1346" t="s">
        <v>4742</v>
      </c>
      <c r="B1346" t="s">
        <v>46</v>
      </c>
      <c r="C1346" t="s">
        <v>22</v>
      </c>
      <c r="D1346" t="s">
        <v>191</v>
      </c>
      <c r="E1346">
        <v>3040</v>
      </c>
      <c r="F1346" t="s">
        <v>4743</v>
      </c>
      <c r="G1346" t="s">
        <v>4744</v>
      </c>
      <c r="H1346" t="s">
        <v>4745</v>
      </c>
      <c r="I1346" t="s">
        <v>194</v>
      </c>
      <c r="J1346" t="s">
        <v>13</v>
      </c>
      <c r="L1346">
        <v>45682</v>
      </c>
      <c r="M1346" t="s">
        <v>224</v>
      </c>
    </row>
    <row r="1347" spans="1:13" x14ac:dyDescent="0.3">
      <c r="A1347" t="s">
        <v>4746</v>
      </c>
      <c r="B1347" t="s">
        <v>37</v>
      </c>
      <c r="C1347" t="s">
        <v>22</v>
      </c>
      <c r="D1347" t="s">
        <v>47</v>
      </c>
      <c r="E1347">
        <v>3032</v>
      </c>
      <c r="F1347" t="s">
        <v>4747</v>
      </c>
      <c r="G1347" t="s">
        <v>4748</v>
      </c>
      <c r="H1347" t="s">
        <v>4748</v>
      </c>
      <c r="I1347" t="s">
        <v>51</v>
      </c>
      <c r="J1347" t="s">
        <v>52</v>
      </c>
      <c r="L1347">
        <v>45745</v>
      </c>
      <c r="M1347" t="s">
        <v>212</v>
      </c>
    </row>
    <row r="1348" spans="1:13" x14ac:dyDescent="0.3">
      <c r="A1348" t="s">
        <v>4749</v>
      </c>
      <c r="B1348" t="s">
        <v>37</v>
      </c>
      <c r="C1348" t="s">
        <v>22</v>
      </c>
      <c r="D1348" t="s">
        <v>104</v>
      </c>
      <c r="E1348">
        <v>3037</v>
      </c>
      <c r="F1348" t="s">
        <v>4750</v>
      </c>
      <c r="G1348" t="s">
        <v>4751</v>
      </c>
      <c r="H1348" t="s">
        <v>4751</v>
      </c>
      <c r="I1348" t="s">
        <v>12</v>
      </c>
      <c r="J1348" t="s">
        <v>13</v>
      </c>
      <c r="K1348" t="s">
        <v>21</v>
      </c>
      <c r="L1348">
        <v>45692</v>
      </c>
      <c r="M1348" t="s">
        <v>224</v>
      </c>
    </row>
    <row r="1349" spans="1:13" x14ac:dyDescent="0.3">
      <c r="A1349" t="s">
        <v>4752</v>
      </c>
      <c r="B1349" t="s">
        <v>46</v>
      </c>
      <c r="C1349" t="s">
        <v>25</v>
      </c>
      <c r="D1349" t="s">
        <v>47</v>
      </c>
      <c r="E1349">
        <v>3032</v>
      </c>
      <c r="F1349" t="s">
        <v>4753</v>
      </c>
      <c r="G1349" t="s">
        <v>4754</v>
      </c>
      <c r="H1349" t="s">
        <v>4754</v>
      </c>
      <c r="I1349" t="s">
        <v>51</v>
      </c>
      <c r="J1349" t="s">
        <v>52</v>
      </c>
      <c r="L1349">
        <v>45659</v>
      </c>
      <c r="M1349" t="s">
        <v>656</v>
      </c>
    </row>
    <row r="1350" spans="1:13" x14ac:dyDescent="0.3">
      <c r="A1350" t="s">
        <v>4755</v>
      </c>
      <c r="B1350" t="s">
        <v>37</v>
      </c>
      <c r="C1350" t="s">
        <v>22</v>
      </c>
      <c r="D1350" t="s">
        <v>97</v>
      </c>
      <c r="E1350">
        <v>3036</v>
      </c>
      <c r="F1350" t="s">
        <v>4756</v>
      </c>
      <c r="G1350" t="s">
        <v>4757</v>
      </c>
      <c r="H1350" t="s">
        <v>4758</v>
      </c>
      <c r="I1350" t="s">
        <v>100</v>
      </c>
      <c r="J1350" t="s">
        <v>101</v>
      </c>
      <c r="L1350">
        <v>45690</v>
      </c>
      <c r="M1350" t="s">
        <v>292</v>
      </c>
    </row>
    <row r="1351" spans="1:13" x14ac:dyDescent="0.3">
      <c r="A1351" t="s">
        <v>4759</v>
      </c>
      <c r="B1351" t="s">
        <v>37</v>
      </c>
      <c r="C1351" t="s">
        <v>25</v>
      </c>
      <c r="D1351" t="s">
        <v>104</v>
      </c>
      <c r="E1351">
        <v>3037</v>
      </c>
      <c r="F1351" t="s">
        <v>4760</v>
      </c>
      <c r="G1351" t="s">
        <v>4761</v>
      </c>
      <c r="H1351" t="s">
        <v>4761</v>
      </c>
      <c r="I1351" t="s">
        <v>12</v>
      </c>
      <c r="J1351" t="s">
        <v>13</v>
      </c>
      <c r="L1351">
        <v>45700</v>
      </c>
      <c r="M1351" t="s">
        <v>189</v>
      </c>
    </row>
    <row r="1352" spans="1:13" x14ac:dyDescent="0.3">
      <c r="A1352" t="s">
        <v>4762</v>
      </c>
      <c r="B1352" t="s">
        <v>37</v>
      </c>
      <c r="C1352" t="s">
        <v>24</v>
      </c>
      <c r="D1352" t="s">
        <v>47</v>
      </c>
      <c r="E1352">
        <v>3032</v>
      </c>
      <c r="F1352" t="s">
        <v>4763</v>
      </c>
      <c r="G1352" t="s">
        <v>4764</v>
      </c>
      <c r="H1352" t="s">
        <v>4765</v>
      </c>
      <c r="I1352" t="s">
        <v>51</v>
      </c>
      <c r="J1352" t="s">
        <v>52</v>
      </c>
      <c r="K1352" t="s">
        <v>21</v>
      </c>
      <c r="L1352">
        <v>45671</v>
      </c>
      <c r="M1352" t="s">
        <v>144</v>
      </c>
    </row>
    <row r="1353" spans="1:13" x14ac:dyDescent="0.3">
      <c r="A1353" t="s">
        <v>4766</v>
      </c>
      <c r="B1353" t="s">
        <v>37</v>
      </c>
      <c r="C1353" t="s">
        <v>22</v>
      </c>
      <c r="D1353" t="s">
        <v>191</v>
      </c>
      <c r="E1353">
        <v>3040</v>
      </c>
      <c r="F1353" t="s">
        <v>4767</v>
      </c>
      <c r="G1353" t="s">
        <v>4768</v>
      </c>
      <c r="H1353" t="s">
        <v>4769</v>
      </c>
      <c r="I1353" t="s">
        <v>194</v>
      </c>
      <c r="J1353" t="s">
        <v>13</v>
      </c>
      <c r="K1353" t="s">
        <v>21</v>
      </c>
      <c r="L1353">
        <v>45670</v>
      </c>
      <c r="M1353" t="s">
        <v>321</v>
      </c>
    </row>
    <row r="1354" spans="1:13" x14ac:dyDescent="0.3">
      <c r="A1354" t="s">
        <v>4770</v>
      </c>
      <c r="B1354" t="s">
        <v>46</v>
      </c>
      <c r="C1354" t="s">
        <v>24</v>
      </c>
      <c r="D1354" t="s">
        <v>207</v>
      </c>
      <c r="E1354">
        <v>3041</v>
      </c>
      <c r="F1354" t="s">
        <v>4771</v>
      </c>
      <c r="G1354" t="s">
        <v>4772</v>
      </c>
      <c r="H1354" t="s">
        <v>4773</v>
      </c>
      <c r="I1354" t="s">
        <v>211</v>
      </c>
      <c r="J1354" t="s">
        <v>14</v>
      </c>
      <c r="L1354">
        <v>45673</v>
      </c>
      <c r="M1354" t="s">
        <v>394</v>
      </c>
    </row>
    <row r="1355" spans="1:13" x14ac:dyDescent="0.3">
      <c r="A1355" t="s">
        <v>4774</v>
      </c>
      <c r="B1355" t="s">
        <v>37</v>
      </c>
      <c r="C1355" t="s">
        <v>22</v>
      </c>
      <c r="D1355" t="s">
        <v>136</v>
      </c>
      <c r="E1355">
        <v>3039</v>
      </c>
      <c r="F1355" t="s">
        <v>4775</v>
      </c>
      <c r="G1355" t="s">
        <v>4776</v>
      </c>
      <c r="H1355" t="s">
        <v>4776</v>
      </c>
      <c r="I1355" t="s">
        <v>15</v>
      </c>
      <c r="J1355" t="s">
        <v>14</v>
      </c>
      <c r="K1355" t="s">
        <v>21</v>
      </c>
      <c r="L1355">
        <v>45736</v>
      </c>
      <c r="M1355" t="s">
        <v>987</v>
      </c>
    </row>
    <row r="1356" spans="1:13" x14ac:dyDescent="0.3">
      <c r="A1356" t="s">
        <v>4777</v>
      </c>
      <c r="B1356" t="s">
        <v>46</v>
      </c>
      <c r="C1356" t="s">
        <v>25</v>
      </c>
      <c r="D1356" t="s">
        <v>55</v>
      </c>
      <c r="E1356">
        <v>3033</v>
      </c>
      <c r="F1356" t="s">
        <v>4778</v>
      </c>
      <c r="G1356" t="s">
        <v>4779</v>
      </c>
      <c r="H1356" t="s">
        <v>4779</v>
      </c>
      <c r="I1356" t="s">
        <v>58</v>
      </c>
      <c r="J1356" t="s">
        <v>59</v>
      </c>
      <c r="K1356" t="s">
        <v>21</v>
      </c>
      <c r="L1356">
        <v>45736</v>
      </c>
      <c r="M1356" t="s">
        <v>69</v>
      </c>
    </row>
    <row r="1357" spans="1:13" x14ac:dyDescent="0.3">
      <c r="A1357" t="s">
        <v>4780</v>
      </c>
      <c r="B1357" t="s">
        <v>37</v>
      </c>
      <c r="C1357" t="s">
        <v>26</v>
      </c>
      <c r="D1357" t="s">
        <v>444</v>
      </c>
      <c r="E1357">
        <v>3042</v>
      </c>
      <c r="F1357" t="s">
        <v>4781</v>
      </c>
      <c r="G1357" t="s">
        <v>4782</v>
      </c>
      <c r="H1357" t="s">
        <v>4783</v>
      </c>
      <c r="I1357" t="s">
        <v>448</v>
      </c>
      <c r="J1357" t="s">
        <v>449</v>
      </c>
      <c r="K1357" t="s">
        <v>21</v>
      </c>
      <c r="L1357">
        <v>45662</v>
      </c>
      <c r="M1357" t="s">
        <v>722</v>
      </c>
    </row>
    <row r="1358" spans="1:13" x14ac:dyDescent="0.3">
      <c r="A1358" t="s">
        <v>4784</v>
      </c>
      <c r="B1358" t="s">
        <v>46</v>
      </c>
      <c r="C1358" t="s">
        <v>22</v>
      </c>
      <c r="D1358" t="s">
        <v>38</v>
      </c>
      <c r="E1358">
        <v>3031</v>
      </c>
      <c r="F1358" t="s">
        <v>4785</v>
      </c>
      <c r="G1358" t="s">
        <v>4786</v>
      </c>
      <c r="H1358" t="s">
        <v>4786</v>
      </c>
      <c r="I1358" t="s">
        <v>42</v>
      </c>
      <c r="J1358" t="s">
        <v>43</v>
      </c>
      <c r="K1358" t="s">
        <v>21</v>
      </c>
      <c r="L1358">
        <v>45725</v>
      </c>
      <c r="M1358" t="s">
        <v>44</v>
      </c>
    </row>
    <row r="1359" spans="1:13" x14ac:dyDescent="0.3">
      <c r="A1359" t="s">
        <v>4787</v>
      </c>
      <c r="B1359" t="s">
        <v>46</v>
      </c>
      <c r="C1359" t="s">
        <v>22</v>
      </c>
      <c r="D1359" t="s">
        <v>444</v>
      </c>
      <c r="E1359">
        <v>3042</v>
      </c>
      <c r="F1359" t="s">
        <v>4788</v>
      </c>
      <c r="G1359" t="s">
        <v>4789</v>
      </c>
      <c r="H1359" t="s">
        <v>4789</v>
      </c>
      <c r="I1359" t="s">
        <v>448</v>
      </c>
      <c r="J1359" t="s">
        <v>449</v>
      </c>
      <c r="L1359">
        <v>45718</v>
      </c>
      <c r="M1359" t="s">
        <v>481</v>
      </c>
    </row>
    <row r="1360" spans="1:13" x14ac:dyDescent="0.3">
      <c r="A1360" t="s">
        <v>4790</v>
      </c>
      <c r="B1360" t="s">
        <v>46</v>
      </c>
      <c r="C1360" t="s">
        <v>22</v>
      </c>
      <c r="D1360" t="s">
        <v>47</v>
      </c>
      <c r="E1360">
        <v>3032</v>
      </c>
      <c r="F1360" t="s">
        <v>4791</v>
      </c>
      <c r="G1360" t="s">
        <v>4792</v>
      </c>
      <c r="H1360" t="s">
        <v>4793</v>
      </c>
      <c r="I1360" t="s">
        <v>51</v>
      </c>
      <c r="J1360" t="s">
        <v>52</v>
      </c>
      <c r="K1360" t="s">
        <v>21</v>
      </c>
      <c r="L1360">
        <v>45690</v>
      </c>
      <c r="M1360" t="s">
        <v>881</v>
      </c>
    </row>
    <row r="1361" spans="1:13" x14ac:dyDescent="0.3">
      <c r="A1361" t="s">
        <v>4794</v>
      </c>
      <c r="B1361" t="s">
        <v>46</v>
      </c>
      <c r="C1361" t="s">
        <v>24</v>
      </c>
      <c r="D1361" t="s">
        <v>78</v>
      </c>
      <c r="E1361">
        <v>3035</v>
      </c>
      <c r="F1361" t="s">
        <v>4795</v>
      </c>
      <c r="G1361" t="s">
        <v>4796</v>
      </c>
      <c r="H1361" t="s">
        <v>4796</v>
      </c>
      <c r="I1361" t="s">
        <v>81</v>
      </c>
      <c r="J1361" t="s">
        <v>82</v>
      </c>
      <c r="L1361">
        <v>45681</v>
      </c>
      <c r="M1361" t="s">
        <v>287</v>
      </c>
    </row>
    <row r="1362" spans="1:13" x14ac:dyDescent="0.3">
      <c r="A1362" t="s">
        <v>4797</v>
      </c>
      <c r="B1362" t="s">
        <v>46</v>
      </c>
      <c r="C1362" t="s">
        <v>25</v>
      </c>
      <c r="D1362" t="s">
        <v>444</v>
      </c>
      <c r="E1362">
        <v>3042</v>
      </c>
      <c r="F1362" t="s">
        <v>4798</v>
      </c>
      <c r="G1362" t="s">
        <v>4799</v>
      </c>
      <c r="H1362" t="s">
        <v>4799</v>
      </c>
      <c r="I1362" t="s">
        <v>448</v>
      </c>
      <c r="J1362" t="s">
        <v>449</v>
      </c>
      <c r="L1362">
        <v>45735</v>
      </c>
      <c r="M1362" t="s">
        <v>450</v>
      </c>
    </row>
    <row r="1363" spans="1:13" x14ac:dyDescent="0.3">
      <c r="A1363" t="s">
        <v>4800</v>
      </c>
      <c r="B1363" t="s">
        <v>37</v>
      </c>
      <c r="C1363" t="s">
        <v>24</v>
      </c>
      <c r="D1363" t="s">
        <v>104</v>
      </c>
      <c r="E1363">
        <v>3037</v>
      </c>
      <c r="F1363" t="s">
        <v>4801</v>
      </c>
      <c r="G1363" t="s">
        <v>4802</v>
      </c>
      <c r="H1363" t="s">
        <v>4803</v>
      </c>
      <c r="I1363" t="s">
        <v>12</v>
      </c>
      <c r="J1363" t="s">
        <v>13</v>
      </c>
      <c r="L1363">
        <v>45675</v>
      </c>
      <c r="M1363" t="s">
        <v>287</v>
      </c>
    </row>
    <row r="1364" spans="1:13" x14ac:dyDescent="0.3">
      <c r="A1364" t="s">
        <v>4804</v>
      </c>
      <c r="B1364" t="s">
        <v>46</v>
      </c>
      <c r="C1364" t="s">
        <v>22</v>
      </c>
      <c r="D1364" t="s">
        <v>444</v>
      </c>
      <c r="E1364">
        <v>3042</v>
      </c>
      <c r="F1364" t="s">
        <v>4805</v>
      </c>
      <c r="G1364" t="s">
        <v>4806</v>
      </c>
      <c r="H1364" t="s">
        <v>4806</v>
      </c>
      <c r="I1364" t="s">
        <v>448</v>
      </c>
      <c r="J1364" t="s">
        <v>449</v>
      </c>
      <c r="L1364">
        <v>45714</v>
      </c>
      <c r="M1364" t="s">
        <v>224</v>
      </c>
    </row>
    <row r="1365" spans="1:13" x14ac:dyDescent="0.3">
      <c r="A1365" t="s">
        <v>4807</v>
      </c>
      <c r="B1365" t="s">
        <v>37</v>
      </c>
      <c r="C1365" t="s">
        <v>24</v>
      </c>
      <c r="D1365" t="s">
        <v>118</v>
      </c>
      <c r="E1365">
        <v>3038</v>
      </c>
      <c r="F1365" t="s">
        <v>4808</v>
      </c>
      <c r="G1365" t="s">
        <v>4809</v>
      </c>
      <c r="H1365" t="s">
        <v>4810</v>
      </c>
      <c r="I1365" t="s">
        <v>122</v>
      </c>
      <c r="J1365" t="s">
        <v>123</v>
      </c>
      <c r="L1365">
        <v>45717</v>
      </c>
      <c r="M1365" t="s">
        <v>344</v>
      </c>
    </row>
    <row r="1366" spans="1:13" x14ac:dyDescent="0.3">
      <c r="A1366" t="s">
        <v>4811</v>
      </c>
      <c r="B1366" t="s">
        <v>37</v>
      </c>
      <c r="C1366" t="s">
        <v>26</v>
      </c>
      <c r="D1366" t="s">
        <v>47</v>
      </c>
      <c r="E1366">
        <v>3032</v>
      </c>
      <c r="F1366" t="s">
        <v>246</v>
      </c>
      <c r="G1366" t="s">
        <v>4812</v>
      </c>
      <c r="H1366" t="s">
        <v>4812</v>
      </c>
      <c r="I1366" t="s">
        <v>51</v>
      </c>
      <c r="J1366" t="s">
        <v>52</v>
      </c>
      <c r="L1366">
        <v>45724</v>
      </c>
      <c r="M1366" t="s">
        <v>177</v>
      </c>
    </row>
    <row r="1367" spans="1:13" x14ac:dyDescent="0.3">
      <c r="A1367" t="s">
        <v>4813</v>
      </c>
      <c r="B1367" t="s">
        <v>37</v>
      </c>
      <c r="C1367" t="s">
        <v>26</v>
      </c>
      <c r="D1367" t="s">
        <v>104</v>
      </c>
      <c r="E1367">
        <v>3037</v>
      </c>
      <c r="F1367" t="s">
        <v>4814</v>
      </c>
      <c r="G1367" t="s">
        <v>4815</v>
      </c>
      <c r="H1367" t="s">
        <v>4815</v>
      </c>
      <c r="I1367" t="s">
        <v>12</v>
      </c>
      <c r="J1367" t="s">
        <v>13</v>
      </c>
      <c r="L1367">
        <v>45698</v>
      </c>
      <c r="M1367" t="s">
        <v>189</v>
      </c>
    </row>
    <row r="1368" spans="1:13" x14ac:dyDescent="0.3">
      <c r="A1368" t="s">
        <v>4816</v>
      </c>
      <c r="B1368" t="s">
        <v>37</v>
      </c>
      <c r="C1368" t="s">
        <v>24</v>
      </c>
      <c r="D1368" t="s">
        <v>71</v>
      </c>
      <c r="E1368">
        <v>3034</v>
      </c>
      <c r="F1368" t="s">
        <v>4817</v>
      </c>
      <c r="G1368" t="s">
        <v>4818</v>
      </c>
      <c r="H1368" t="s">
        <v>4818</v>
      </c>
      <c r="I1368" t="s">
        <v>74</v>
      </c>
      <c r="J1368" t="s">
        <v>75</v>
      </c>
      <c r="L1368">
        <v>45715</v>
      </c>
      <c r="M1368" t="s">
        <v>165</v>
      </c>
    </row>
    <row r="1369" spans="1:13" x14ac:dyDescent="0.3">
      <c r="A1369" t="s">
        <v>4819</v>
      </c>
      <c r="B1369" t="s">
        <v>46</v>
      </c>
      <c r="C1369" t="s">
        <v>24</v>
      </c>
      <c r="D1369" t="s">
        <v>207</v>
      </c>
      <c r="E1369">
        <v>3041</v>
      </c>
      <c r="F1369" t="s">
        <v>4317</v>
      </c>
      <c r="G1369" t="s">
        <v>4820</v>
      </c>
      <c r="H1369" t="s">
        <v>4820</v>
      </c>
      <c r="I1369" t="s">
        <v>211</v>
      </c>
      <c r="J1369" t="s">
        <v>14</v>
      </c>
      <c r="L1369">
        <v>45714</v>
      </c>
      <c r="M1369" t="s">
        <v>577</v>
      </c>
    </row>
    <row r="1370" spans="1:13" x14ac:dyDescent="0.3">
      <c r="A1370" t="s">
        <v>4821</v>
      </c>
      <c r="B1370" t="s">
        <v>46</v>
      </c>
      <c r="C1370" t="s">
        <v>22</v>
      </c>
      <c r="D1370" t="s">
        <v>118</v>
      </c>
      <c r="E1370">
        <v>3038</v>
      </c>
      <c r="F1370" t="s">
        <v>4822</v>
      </c>
      <c r="G1370" t="s">
        <v>4823</v>
      </c>
      <c r="H1370" t="s">
        <v>4823</v>
      </c>
      <c r="I1370" t="s">
        <v>122</v>
      </c>
      <c r="J1370" t="s">
        <v>123</v>
      </c>
      <c r="L1370">
        <v>45744</v>
      </c>
      <c r="M1370" t="s">
        <v>581</v>
      </c>
    </row>
    <row r="1371" spans="1:13" x14ac:dyDescent="0.3">
      <c r="A1371" t="s">
        <v>4824</v>
      </c>
      <c r="B1371" t="s">
        <v>46</v>
      </c>
      <c r="C1371" t="s">
        <v>26</v>
      </c>
      <c r="D1371" t="s">
        <v>136</v>
      </c>
      <c r="E1371">
        <v>3039</v>
      </c>
      <c r="F1371" t="s">
        <v>4825</v>
      </c>
      <c r="G1371" t="s">
        <v>4826</v>
      </c>
      <c r="H1371" t="s">
        <v>4827</v>
      </c>
      <c r="I1371" t="s">
        <v>15</v>
      </c>
      <c r="J1371" t="s">
        <v>14</v>
      </c>
      <c r="L1371">
        <v>45695</v>
      </c>
      <c r="M1371" t="s">
        <v>200</v>
      </c>
    </row>
    <row r="1372" spans="1:13" x14ac:dyDescent="0.3">
      <c r="A1372" t="s">
        <v>4828</v>
      </c>
      <c r="B1372" t="s">
        <v>46</v>
      </c>
      <c r="C1372" t="s">
        <v>22</v>
      </c>
      <c r="D1372" t="s">
        <v>38</v>
      </c>
      <c r="E1372">
        <v>3031</v>
      </c>
      <c r="F1372" t="s">
        <v>4829</v>
      </c>
      <c r="G1372" t="s">
        <v>4830</v>
      </c>
      <c r="H1372" t="s">
        <v>4831</v>
      </c>
      <c r="I1372" t="s">
        <v>42</v>
      </c>
      <c r="J1372" t="s">
        <v>43</v>
      </c>
      <c r="L1372">
        <v>45658</v>
      </c>
      <c r="M1372" t="s">
        <v>76</v>
      </c>
    </row>
    <row r="1373" spans="1:13" x14ac:dyDescent="0.3">
      <c r="A1373" t="s">
        <v>4832</v>
      </c>
      <c r="B1373" t="s">
        <v>46</v>
      </c>
      <c r="C1373" t="s">
        <v>26</v>
      </c>
      <c r="D1373" t="s">
        <v>47</v>
      </c>
      <c r="E1373">
        <v>3032</v>
      </c>
      <c r="F1373" t="s">
        <v>4833</v>
      </c>
      <c r="G1373" t="s">
        <v>4834</v>
      </c>
      <c r="H1373" t="s">
        <v>4834</v>
      </c>
      <c r="I1373" t="s">
        <v>51</v>
      </c>
      <c r="J1373" t="s">
        <v>52</v>
      </c>
      <c r="L1373">
        <v>45684</v>
      </c>
      <c r="M1373" t="s">
        <v>542</v>
      </c>
    </row>
    <row r="1374" spans="1:13" x14ac:dyDescent="0.3">
      <c r="A1374" t="s">
        <v>4835</v>
      </c>
      <c r="B1374" t="s">
        <v>37</v>
      </c>
      <c r="C1374" t="s">
        <v>26</v>
      </c>
      <c r="D1374" t="s">
        <v>444</v>
      </c>
      <c r="E1374">
        <v>3042</v>
      </c>
      <c r="F1374" t="s">
        <v>4836</v>
      </c>
      <c r="G1374" t="s">
        <v>4837</v>
      </c>
      <c r="H1374" t="s">
        <v>4838</v>
      </c>
      <c r="I1374" t="s">
        <v>448</v>
      </c>
      <c r="J1374" t="s">
        <v>449</v>
      </c>
      <c r="K1374" t="s">
        <v>21</v>
      </c>
      <c r="L1374">
        <v>45668</v>
      </c>
      <c r="M1374" t="s">
        <v>224</v>
      </c>
    </row>
    <row r="1375" spans="1:13" x14ac:dyDescent="0.3">
      <c r="A1375" t="s">
        <v>4839</v>
      </c>
      <c r="B1375" t="s">
        <v>46</v>
      </c>
      <c r="C1375" t="s">
        <v>25</v>
      </c>
      <c r="D1375" t="s">
        <v>97</v>
      </c>
      <c r="E1375">
        <v>3036</v>
      </c>
      <c r="F1375" t="s">
        <v>4840</v>
      </c>
      <c r="G1375" t="s">
        <v>4841</v>
      </c>
      <c r="H1375" t="s">
        <v>4842</v>
      </c>
      <c r="I1375" t="s">
        <v>100</v>
      </c>
      <c r="J1375" t="s">
        <v>101</v>
      </c>
      <c r="L1375">
        <v>45744</v>
      </c>
      <c r="M1375" t="s">
        <v>128</v>
      </c>
    </row>
    <row r="1376" spans="1:13" x14ac:dyDescent="0.3">
      <c r="A1376" t="s">
        <v>4843</v>
      </c>
      <c r="B1376" t="s">
        <v>46</v>
      </c>
      <c r="C1376" t="s">
        <v>22</v>
      </c>
      <c r="D1376" t="s">
        <v>47</v>
      </c>
      <c r="E1376">
        <v>3032</v>
      </c>
      <c r="F1376" t="s">
        <v>333</v>
      </c>
      <c r="G1376" t="s">
        <v>4844</v>
      </c>
      <c r="H1376" t="s">
        <v>4844</v>
      </c>
      <c r="I1376" t="s">
        <v>51</v>
      </c>
      <c r="J1376" t="s">
        <v>52</v>
      </c>
      <c r="L1376">
        <v>45662</v>
      </c>
      <c r="M1376" t="s">
        <v>261</v>
      </c>
    </row>
    <row r="1377" spans="1:13" x14ac:dyDescent="0.3">
      <c r="A1377" t="s">
        <v>4845</v>
      </c>
      <c r="B1377" t="s">
        <v>46</v>
      </c>
      <c r="C1377" t="s">
        <v>26</v>
      </c>
      <c r="D1377" t="s">
        <v>55</v>
      </c>
      <c r="E1377">
        <v>3033</v>
      </c>
      <c r="F1377" t="s">
        <v>4846</v>
      </c>
      <c r="G1377" t="s">
        <v>4847</v>
      </c>
      <c r="H1377" t="s">
        <v>4847</v>
      </c>
      <c r="I1377" t="s">
        <v>58</v>
      </c>
      <c r="J1377" t="s">
        <v>59</v>
      </c>
      <c r="L1377">
        <v>45701</v>
      </c>
      <c r="M1377" t="s">
        <v>95</v>
      </c>
    </row>
    <row r="1378" spans="1:13" x14ac:dyDescent="0.3">
      <c r="A1378" t="s">
        <v>4848</v>
      </c>
      <c r="B1378" t="s">
        <v>37</v>
      </c>
      <c r="C1378" t="s">
        <v>26</v>
      </c>
      <c r="D1378" t="s">
        <v>191</v>
      </c>
      <c r="E1378">
        <v>3040</v>
      </c>
      <c r="F1378" t="s">
        <v>4849</v>
      </c>
      <c r="G1378" t="s">
        <v>4850</v>
      </c>
      <c r="H1378" t="s">
        <v>4851</v>
      </c>
      <c r="I1378" t="s">
        <v>194</v>
      </c>
      <c r="J1378" t="s">
        <v>13</v>
      </c>
      <c r="K1378" t="s">
        <v>21</v>
      </c>
      <c r="L1378">
        <v>45737</v>
      </c>
      <c r="M1378" t="s">
        <v>195</v>
      </c>
    </row>
    <row r="1379" spans="1:13" x14ac:dyDescent="0.3">
      <c r="A1379" t="s">
        <v>4852</v>
      </c>
      <c r="B1379" t="s">
        <v>46</v>
      </c>
      <c r="C1379" t="s">
        <v>22</v>
      </c>
      <c r="D1379" t="s">
        <v>38</v>
      </c>
      <c r="E1379">
        <v>3031</v>
      </c>
      <c r="F1379" t="s">
        <v>4853</v>
      </c>
      <c r="G1379" t="s">
        <v>4854</v>
      </c>
      <c r="H1379" t="s">
        <v>4854</v>
      </c>
      <c r="I1379" t="s">
        <v>42</v>
      </c>
      <c r="J1379" t="s">
        <v>43</v>
      </c>
      <c r="K1379" t="s">
        <v>21</v>
      </c>
      <c r="L1379">
        <v>45732</v>
      </c>
      <c r="M1379" t="s">
        <v>128</v>
      </c>
    </row>
    <row r="1380" spans="1:13" x14ac:dyDescent="0.3">
      <c r="A1380" t="s">
        <v>4855</v>
      </c>
      <c r="B1380" t="s">
        <v>37</v>
      </c>
      <c r="C1380" t="s">
        <v>25</v>
      </c>
      <c r="D1380" t="s">
        <v>71</v>
      </c>
      <c r="E1380">
        <v>3034</v>
      </c>
      <c r="F1380" t="s">
        <v>4856</v>
      </c>
      <c r="G1380" t="s">
        <v>4857</v>
      </c>
      <c r="H1380" t="s">
        <v>4857</v>
      </c>
      <c r="I1380" t="s">
        <v>74</v>
      </c>
      <c r="J1380" t="s">
        <v>75</v>
      </c>
      <c r="K1380" t="s">
        <v>21</v>
      </c>
      <c r="L1380">
        <v>45675</v>
      </c>
      <c r="M1380" t="s">
        <v>205</v>
      </c>
    </row>
    <row r="1381" spans="1:13" x14ac:dyDescent="0.3">
      <c r="A1381" t="s">
        <v>4858</v>
      </c>
      <c r="B1381" t="s">
        <v>37</v>
      </c>
      <c r="C1381" t="s">
        <v>22</v>
      </c>
      <c r="D1381" t="s">
        <v>38</v>
      </c>
      <c r="E1381">
        <v>3031</v>
      </c>
      <c r="F1381" t="s">
        <v>4051</v>
      </c>
      <c r="G1381" t="s">
        <v>4859</v>
      </c>
      <c r="H1381" t="s">
        <v>4859</v>
      </c>
      <c r="I1381" t="s">
        <v>42</v>
      </c>
      <c r="J1381" t="s">
        <v>43</v>
      </c>
      <c r="L1381">
        <v>45670</v>
      </c>
      <c r="M1381" t="s">
        <v>76</v>
      </c>
    </row>
    <row r="1382" spans="1:13" x14ac:dyDescent="0.3">
      <c r="A1382" t="s">
        <v>4860</v>
      </c>
      <c r="B1382" t="s">
        <v>46</v>
      </c>
      <c r="C1382" t="s">
        <v>25</v>
      </c>
      <c r="D1382" t="s">
        <v>104</v>
      </c>
      <c r="E1382">
        <v>3037</v>
      </c>
      <c r="F1382" t="s">
        <v>4861</v>
      </c>
      <c r="G1382" t="s">
        <v>4862</v>
      </c>
      <c r="H1382" t="s">
        <v>4862</v>
      </c>
      <c r="I1382" t="s">
        <v>12</v>
      </c>
      <c r="J1382" t="s">
        <v>13</v>
      </c>
      <c r="L1382">
        <v>45732</v>
      </c>
      <c r="M1382" t="s">
        <v>224</v>
      </c>
    </row>
    <row r="1383" spans="1:13" x14ac:dyDescent="0.3">
      <c r="A1383" t="s">
        <v>4863</v>
      </c>
      <c r="B1383" t="s">
        <v>37</v>
      </c>
      <c r="C1383" t="s">
        <v>26</v>
      </c>
      <c r="D1383" t="s">
        <v>104</v>
      </c>
      <c r="E1383">
        <v>3037</v>
      </c>
      <c r="F1383" t="s">
        <v>4864</v>
      </c>
      <c r="G1383" t="s">
        <v>4865</v>
      </c>
      <c r="H1383" t="s">
        <v>4866</v>
      </c>
      <c r="I1383" t="s">
        <v>12</v>
      </c>
      <c r="J1383" t="s">
        <v>13</v>
      </c>
      <c r="L1383">
        <v>45675</v>
      </c>
      <c r="M1383" t="s">
        <v>76</v>
      </c>
    </row>
    <row r="1384" spans="1:13" x14ac:dyDescent="0.3">
      <c r="A1384" t="s">
        <v>4867</v>
      </c>
      <c r="B1384" t="s">
        <v>37</v>
      </c>
      <c r="C1384" t="s">
        <v>26</v>
      </c>
      <c r="D1384" t="s">
        <v>97</v>
      </c>
      <c r="E1384">
        <v>3036</v>
      </c>
      <c r="F1384" t="s">
        <v>4868</v>
      </c>
      <c r="G1384" t="s">
        <v>4869</v>
      </c>
      <c r="H1384" t="s">
        <v>4870</v>
      </c>
      <c r="I1384" t="s">
        <v>100</v>
      </c>
      <c r="J1384" t="s">
        <v>101</v>
      </c>
      <c r="L1384">
        <v>45734</v>
      </c>
      <c r="M1384" t="s">
        <v>65</v>
      </c>
    </row>
    <row r="1385" spans="1:13" x14ac:dyDescent="0.3">
      <c r="A1385" t="s">
        <v>4871</v>
      </c>
      <c r="B1385" t="s">
        <v>37</v>
      </c>
      <c r="C1385" t="s">
        <v>24</v>
      </c>
      <c r="D1385" t="s">
        <v>55</v>
      </c>
      <c r="E1385">
        <v>3033</v>
      </c>
      <c r="F1385" t="s">
        <v>4872</v>
      </c>
      <c r="G1385" t="s">
        <v>4873</v>
      </c>
      <c r="H1385" t="s">
        <v>4873</v>
      </c>
      <c r="I1385" t="s">
        <v>58</v>
      </c>
      <c r="J1385" t="s">
        <v>59</v>
      </c>
      <c r="L1385">
        <v>45672</v>
      </c>
      <c r="M1385" t="s">
        <v>95</v>
      </c>
    </row>
    <row r="1386" spans="1:13" x14ac:dyDescent="0.3">
      <c r="A1386" t="s">
        <v>4874</v>
      </c>
      <c r="B1386" t="s">
        <v>37</v>
      </c>
      <c r="C1386" t="s">
        <v>26</v>
      </c>
      <c r="D1386" t="s">
        <v>191</v>
      </c>
      <c r="E1386">
        <v>3040</v>
      </c>
      <c r="F1386" t="s">
        <v>4875</v>
      </c>
      <c r="G1386" t="s">
        <v>4876</v>
      </c>
      <c r="H1386" t="s">
        <v>4877</v>
      </c>
      <c r="I1386" t="s">
        <v>194</v>
      </c>
      <c r="J1386" t="s">
        <v>13</v>
      </c>
      <c r="K1386" t="s">
        <v>21</v>
      </c>
      <c r="L1386">
        <v>45678</v>
      </c>
      <c r="M1386" t="s">
        <v>160</v>
      </c>
    </row>
    <row r="1387" spans="1:13" x14ac:dyDescent="0.3">
      <c r="A1387" t="s">
        <v>4878</v>
      </c>
      <c r="B1387" t="s">
        <v>37</v>
      </c>
      <c r="C1387" t="s">
        <v>22</v>
      </c>
      <c r="D1387" t="s">
        <v>71</v>
      </c>
      <c r="E1387">
        <v>3034</v>
      </c>
      <c r="F1387" t="s">
        <v>4879</v>
      </c>
      <c r="G1387" t="s">
        <v>4880</v>
      </c>
      <c r="H1387" t="s">
        <v>4880</v>
      </c>
      <c r="I1387" t="s">
        <v>74</v>
      </c>
      <c r="J1387" t="s">
        <v>75</v>
      </c>
      <c r="L1387">
        <v>45720</v>
      </c>
      <c r="M1387" t="s">
        <v>212</v>
      </c>
    </row>
    <row r="1388" spans="1:13" x14ac:dyDescent="0.3">
      <c r="A1388" t="s">
        <v>4881</v>
      </c>
      <c r="B1388" t="s">
        <v>46</v>
      </c>
      <c r="C1388" t="s">
        <v>22</v>
      </c>
      <c r="D1388" t="s">
        <v>444</v>
      </c>
      <c r="E1388">
        <v>3042</v>
      </c>
      <c r="F1388" t="s">
        <v>4882</v>
      </c>
      <c r="G1388" t="s">
        <v>4883</v>
      </c>
      <c r="H1388" t="s">
        <v>4884</v>
      </c>
      <c r="I1388" t="s">
        <v>448</v>
      </c>
      <c r="J1388" t="s">
        <v>449</v>
      </c>
      <c r="K1388" t="s">
        <v>21</v>
      </c>
      <c r="L1388">
        <v>45698</v>
      </c>
      <c r="M1388" t="s">
        <v>481</v>
      </c>
    </row>
    <row r="1389" spans="1:13" x14ac:dyDescent="0.3">
      <c r="A1389" t="s">
        <v>4885</v>
      </c>
      <c r="B1389" t="s">
        <v>46</v>
      </c>
      <c r="C1389" t="s">
        <v>26</v>
      </c>
      <c r="D1389" t="s">
        <v>47</v>
      </c>
      <c r="E1389">
        <v>3032</v>
      </c>
      <c r="F1389" t="s">
        <v>4886</v>
      </c>
      <c r="G1389" t="s">
        <v>4887</v>
      </c>
      <c r="H1389" t="s">
        <v>4887</v>
      </c>
      <c r="I1389" t="s">
        <v>51</v>
      </c>
      <c r="J1389" t="s">
        <v>52</v>
      </c>
      <c r="K1389" t="s">
        <v>21</v>
      </c>
      <c r="L1389">
        <v>45703</v>
      </c>
      <c r="M1389" t="s">
        <v>656</v>
      </c>
    </row>
    <row r="1390" spans="1:13" x14ac:dyDescent="0.3">
      <c r="A1390" t="s">
        <v>4888</v>
      </c>
      <c r="B1390" t="s">
        <v>46</v>
      </c>
      <c r="C1390" t="s">
        <v>26</v>
      </c>
      <c r="D1390" t="s">
        <v>444</v>
      </c>
      <c r="E1390">
        <v>3042</v>
      </c>
      <c r="F1390" t="s">
        <v>4889</v>
      </c>
      <c r="G1390" t="s">
        <v>4890</v>
      </c>
      <c r="H1390" t="s">
        <v>4891</v>
      </c>
      <c r="I1390" t="s">
        <v>448</v>
      </c>
      <c r="J1390" t="s">
        <v>449</v>
      </c>
      <c r="L1390">
        <v>45686</v>
      </c>
      <c r="M1390" t="s">
        <v>224</v>
      </c>
    </row>
    <row r="1391" spans="1:13" x14ac:dyDescent="0.3">
      <c r="A1391" t="s">
        <v>4892</v>
      </c>
      <c r="B1391" t="s">
        <v>37</v>
      </c>
      <c r="C1391" t="s">
        <v>26</v>
      </c>
      <c r="D1391" t="s">
        <v>97</v>
      </c>
      <c r="E1391">
        <v>3036</v>
      </c>
      <c r="F1391" t="s">
        <v>4893</v>
      </c>
      <c r="G1391" t="s">
        <v>4894</v>
      </c>
      <c r="H1391" t="s">
        <v>4895</v>
      </c>
      <c r="I1391" t="s">
        <v>100</v>
      </c>
      <c r="J1391" t="s">
        <v>101</v>
      </c>
      <c r="L1391">
        <v>45665</v>
      </c>
      <c r="M1391" t="s">
        <v>165</v>
      </c>
    </row>
    <row r="1392" spans="1:13" x14ac:dyDescent="0.3">
      <c r="A1392" t="s">
        <v>4896</v>
      </c>
      <c r="B1392" t="s">
        <v>37</v>
      </c>
      <c r="C1392" t="s">
        <v>25</v>
      </c>
      <c r="D1392" t="s">
        <v>444</v>
      </c>
      <c r="E1392">
        <v>3042</v>
      </c>
      <c r="F1392" t="s">
        <v>4897</v>
      </c>
      <c r="G1392" t="s">
        <v>4898</v>
      </c>
      <c r="H1392" t="s">
        <v>4899</v>
      </c>
      <c r="I1392" t="s">
        <v>448</v>
      </c>
      <c r="J1392" t="s">
        <v>449</v>
      </c>
      <c r="L1392">
        <v>45727</v>
      </c>
      <c r="M1392" t="s">
        <v>722</v>
      </c>
    </row>
    <row r="1393" spans="1:13" x14ac:dyDescent="0.3">
      <c r="A1393" t="s">
        <v>4900</v>
      </c>
      <c r="B1393" t="s">
        <v>46</v>
      </c>
      <c r="C1393" t="s">
        <v>22</v>
      </c>
      <c r="D1393" t="s">
        <v>55</v>
      </c>
      <c r="E1393">
        <v>3033</v>
      </c>
      <c r="F1393" t="s">
        <v>4901</v>
      </c>
      <c r="G1393" t="s">
        <v>4902</v>
      </c>
      <c r="H1393" t="s">
        <v>4903</v>
      </c>
      <c r="I1393" t="s">
        <v>58</v>
      </c>
      <c r="J1393" t="s">
        <v>59</v>
      </c>
      <c r="K1393" t="s">
        <v>21</v>
      </c>
      <c r="L1393">
        <v>45675</v>
      </c>
      <c r="M1393" t="s">
        <v>69</v>
      </c>
    </row>
    <row r="1394" spans="1:13" x14ac:dyDescent="0.3">
      <c r="A1394" t="s">
        <v>4904</v>
      </c>
      <c r="B1394" t="s">
        <v>46</v>
      </c>
      <c r="C1394" t="s">
        <v>25</v>
      </c>
      <c r="D1394" t="s">
        <v>97</v>
      </c>
      <c r="E1394">
        <v>3036</v>
      </c>
      <c r="F1394" t="s">
        <v>4905</v>
      </c>
      <c r="G1394" t="s">
        <v>4906</v>
      </c>
      <c r="H1394" t="s">
        <v>4907</v>
      </c>
      <c r="I1394" t="s">
        <v>100</v>
      </c>
      <c r="J1394" t="s">
        <v>101</v>
      </c>
      <c r="L1394">
        <v>45745</v>
      </c>
      <c r="M1394" t="s">
        <v>128</v>
      </c>
    </row>
    <row r="1395" spans="1:13" x14ac:dyDescent="0.3">
      <c r="A1395" t="s">
        <v>4908</v>
      </c>
      <c r="B1395" t="s">
        <v>37</v>
      </c>
      <c r="C1395" t="s">
        <v>25</v>
      </c>
      <c r="D1395" t="s">
        <v>104</v>
      </c>
      <c r="E1395">
        <v>3037</v>
      </c>
      <c r="F1395" t="s">
        <v>4909</v>
      </c>
      <c r="G1395" t="s">
        <v>4910</v>
      </c>
      <c r="H1395" t="s">
        <v>4911</v>
      </c>
      <c r="I1395" t="s">
        <v>12</v>
      </c>
      <c r="J1395" t="s">
        <v>13</v>
      </c>
      <c r="L1395">
        <v>45671</v>
      </c>
      <c r="M1395" t="s">
        <v>107</v>
      </c>
    </row>
    <row r="1396" spans="1:13" x14ac:dyDescent="0.3">
      <c r="A1396" t="s">
        <v>4912</v>
      </c>
      <c r="B1396" t="s">
        <v>37</v>
      </c>
      <c r="C1396" t="s">
        <v>26</v>
      </c>
      <c r="D1396" t="s">
        <v>136</v>
      </c>
      <c r="E1396">
        <v>3039</v>
      </c>
      <c r="F1396" t="s">
        <v>4913</v>
      </c>
      <c r="G1396" t="s">
        <v>4914</v>
      </c>
      <c r="H1396" t="s">
        <v>4914</v>
      </c>
      <c r="I1396" t="s">
        <v>15</v>
      </c>
      <c r="J1396" t="s">
        <v>14</v>
      </c>
      <c r="L1396">
        <v>45715</v>
      </c>
      <c r="M1396" t="s">
        <v>95</v>
      </c>
    </row>
    <row r="1397" spans="1:13" x14ac:dyDescent="0.3">
      <c r="A1397" t="s">
        <v>4915</v>
      </c>
      <c r="B1397" t="s">
        <v>37</v>
      </c>
      <c r="C1397" t="s">
        <v>25</v>
      </c>
      <c r="D1397" t="s">
        <v>55</v>
      </c>
      <c r="E1397">
        <v>3033</v>
      </c>
      <c r="F1397" t="s">
        <v>4916</v>
      </c>
      <c r="G1397" t="s">
        <v>4917</v>
      </c>
      <c r="H1397" t="s">
        <v>4918</v>
      </c>
      <c r="I1397" t="s">
        <v>58</v>
      </c>
      <c r="J1397" t="s">
        <v>59</v>
      </c>
      <c r="L1397">
        <v>45703</v>
      </c>
      <c r="M1397" t="s">
        <v>60</v>
      </c>
    </row>
    <row r="1398" spans="1:13" x14ac:dyDescent="0.3">
      <c r="A1398" t="s">
        <v>4919</v>
      </c>
      <c r="B1398" t="s">
        <v>46</v>
      </c>
      <c r="C1398" t="s">
        <v>26</v>
      </c>
      <c r="D1398" t="s">
        <v>136</v>
      </c>
      <c r="E1398">
        <v>3039</v>
      </c>
      <c r="F1398" t="s">
        <v>4920</v>
      </c>
      <c r="G1398" t="s">
        <v>4921</v>
      </c>
      <c r="H1398" t="s">
        <v>4922</v>
      </c>
      <c r="I1398" t="s">
        <v>15</v>
      </c>
      <c r="J1398" t="s">
        <v>14</v>
      </c>
      <c r="L1398">
        <v>45705</v>
      </c>
      <c r="M1398" t="s">
        <v>160</v>
      </c>
    </row>
    <row r="1399" spans="1:13" x14ac:dyDescent="0.3">
      <c r="A1399" t="s">
        <v>4923</v>
      </c>
      <c r="B1399" t="s">
        <v>37</v>
      </c>
      <c r="C1399" t="s">
        <v>26</v>
      </c>
      <c r="D1399" t="s">
        <v>47</v>
      </c>
      <c r="E1399">
        <v>3032</v>
      </c>
      <c r="F1399" t="s">
        <v>4924</v>
      </c>
      <c r="G1399" t="s">
        <v>4925</v>
      </c>
      <c r="H1399" t="s">
        <v>4926</v>
      </c>
      <c r="I1399" t="s">
        <v>51</v>
      </c>
      <c r="J1399" t="s">
        <v>52</v>
      </c>
      <c r="L1399">
        <v>45715</v>
      </c>
      <c r="M1399" t="s">
        <v>53</v>
      </c>
    </row>
    <row r="1400" spans="1:13" x14ac:dyDescent="0.3">
      <c r="A1400" t="s">
        <v>4927</v>
      </c>
      <c r="B1400" t="s">
        <v>46</v>
      </c>
      <c r="C1400" t="s">
        <v>22</v>
      </c>
      <c r="D1400" t="s">
        <v>191</v>
      </c>
      <c r="E1400">
        <v>3040</v>
      </c>
      <c r="F1400" t="s">
        <v>4928</v>
      </c>
      <c r="G1400" t="s">
        <v>4929</v>
      </c>
      <c r="H1400" t="s">
        <v>4930</v>
      </c>
      <c r="I1400" t="s">
        <v>194</v>
      </c>
      <c r="J1400" t="s">
        <v>13</v>
      </c>
      <c r="K1400" t="s">
        <v>21</v>
      </c>
      <c r="L1400">
        <v>45697</v>
      </c>
      <c r="M1400" t="s">
        <v>224</v>
      </c>
    </row>
    <row r="1401" spans="1:13" x14ac:dyDescent="0.3">
      <c r="A1401" t="s">
        <v>4931</v>
      </c>
      <c r="B1401" t="s">
        <v>37</v>
      </c>
      <c r="C1401" t="s">
        <v>22</v>
      </c>
      <c r="D1401" t="s">
        <v>207</v>
      </c>
      <c r="E1401">
        <v>3041</v>
      </c>
      <c r="F1401" t="s">
        <v>4932</v>
      </c>
      <c r="G1401" t="s">
        <v>4933</v>
      </c>
      <c r="H1401" t="s">
        <v>4933</v>
      </c>
      <c r="I1401" t="s">
        <v>211</v>
      </c>
      <c r="J1401" t="s">
        <v>14</v>
      </c>
      <c r="L1401">
        <v>45730</v>
      </c>
      <c r="M1401" t="s">
        <v>300</v>
      </c>
    </row>
    <row r="1402" spans="1:13" x14ac:dyDescent="0.3">
      <c r="A1402" t="s">
        <v>4934</v>
      </c>
      <c r="B1402" t="s">
        <v>37</v>
      </c>
      <c r="C1402" t="s">
        <v>22</v>
      </c>
      <c r="D1402" t="s">
        <v>191</v>
      </c>
      <c r="E1402">
        <v>3040</v>
      </c>
      <c r="F1402" t="s">
        <v>4935</v>
      </c>
      <c r="G1402" t="s">
        <v>4936</v>
      </c>
      <c r="H1402" t="s">
        <v>4937</v>
      </c>
      <c r="I1402" t="s">
        <v>194</v>
      </c>
      <c r="J1402" t="s">
        <v>13</v>
      </c>
      <c r="L1402">
        <v>45727</v>
      </c>
      <c r="M1402" t="s">
        <v>224</v>
      </c>
    </row>
    <row r="1403" spans="1:13" x14ac:dyDescent="0.3">
      <c r="A1403" t="s">
        <v>4938</v>
      </c>
      <c r="B1403" t="s">
        <v>37</v>
      </c>
      <c r="C1403" t="s">
        <v>24</v>
      </c>
      <c r="D1403" t="s">
        <v>71</v>
      </c>
      <c r="E1403">
        <v>3034</v>
      </c>
      <c r="F1403" t="s">
        <v>4939</v>
      </c>
      <c r="G1403" t="s">
        <v>4940</v>
      </c>
      <c r="H1403" t="s">
        <v>4940</v>
      </c>
      <c r="I1403" t="s">
        <v>74</v>
      </c>
      <c r="J1403" t="s">
        <v>75</v>
      </c>
      <c r="K1403" t="s">
        <v>21</v>
      </c>
      <c r="L1403">
        <v>45742</v>
      </c>
      <c r="M1403" t="s">
        <v>205</v>
      </c>
    </row>
    <row r="1404" spans="1:13" x14ac:dyDescent="0.3">
      <c r="A1404" t="s">
        <v>4941</v>
      </c>
      <c r="B1404" t="s">
        <v>37</v>
      </c>
      <c r="C1404" t="s">
        <v>25</v>
      </c>
      <c r="D1404" t="s">
        <v>136</v>
      </c>
      <c r="E1404">
        <v>3039</v>
      </c>
      <c r="F1404" t="s">
        <v>4942</v>
      </c>
      <c r="G1404" t="s">
        <v>4943</v>
      </c>
      <c r="H1404" t="s">
        <v>4943</v>
      </c>
      <c r="I1404" t="s">
        <v>15</v>
      </c>
      <c r="J1404" t="s">
        <v>14</v>
      </c>
      <c r="L1404">
        <v>45676</v>
      </c>
      <c r="M1404" t="s">
        <v>382</v>
      </c>
    </row>
    <row r="1405" spans="1:13" x14ac:dyDescent="0.3">
      <c r="A1405" t="s">
        <v>4944</v>
      </c>
      <c r="B1405" t="s">
        <v>37</v>
      </c>
      <c r="C1405" t="s">
        <v>24</v>
      </c>
      <c r="D1405" t="s">
        <v>97</v>
      </c>
      <c r="E1405">
        <v>3036</v>
      </c>
      <c r="F1405" t="s">
        <v>4945</v>
      </c>
      <c r="G1405" t="s">
        <v>4946</v>
      </c>
      <c r="H1405" t="s">
        <v>4946</v>
      </c>
      <c r="I1405" t="s">
        <v>100</v>
      </c>
      <c r="J1405" t="s">
        <v>101</v>
      </c>
      <c r="K1405" t="s">
        <v>21</v>
      </c>
      <c r="L1405">
        <v>45673</v>
      </c>
      <c r="M1405" t="s">
        <v>102</v>
      </c>
    </row>
    <row r="1406" spans="1:13" x14ac:dyDescent="0.3">
      <c r="A1406" t="s">
        <v>4947</v>
      </c>
      <c r="B1406" t="s">
        <v>46</v>
      </c>
      <c r="C1406" t="s">
        <v>26</v>
      </c>
      <c r="D1406" t="s">
        <v>104</v>
      </c>
      <c r="E1406">
        <v>3037</v>
      </c>
      <c r="F1406" t="s">
        <v>4948</v>
      </c>
      <c r="G1406" t="s">
        <v>4949</v>
      </c>
      <c r="H1406" t="s">
        <v>4950</v>
      </c>
      <c r="I1406" t="s">
        <v>12</v>
      </c>
      <c r="J1406" t="s">
        <v>13</v>
      </c>
      <c r="K1406" t="s">
        <v>21</v>
      </c>
      <c r="L1406">
        <v>45685</v>
      </c>
      <c r="M1406" t="s">
        <v>76</v>
      </c>
    </row>
    <row r="1407" spans="1:13" x14ac:dyDescent="0.3">
      <c r="A1407" t="s">
        <v>4951</v>
      </c>
      <c r="B1407" t="s">
        <v>46</v>
      </c>
      <c r="C1407" t="s">
        <v>26</v>
      </c>
      <c r="D1407" t="s">
        <v>136</v>
      </c>
      <c r="E1407">
        <v>3039</v>
      </c>
      <c r="F1407" t="s">
        <v>4952</v>
      </c>
      <c r="G1407" t="s">
        <v>4953</v>
      </c>
      <c r="H1407" t="s">
        <v>4953</v>
      </c>
      <c r="I1407" t="s">
        <v>15</v>
      </c>
      <c r="J1407" t="s">
        <v>14</v>
      </c>
      <c r="K1407" t="s">
        <v>21</v>
      </c>
      <c r="L1407">
        <v>45701</v>
      </c>
      <c r="M1407" t="s">
        <v>95</v>
      </c>
    </row>
    <row r="1408" spans="1:13" x14ac:dyDescent="0.3">
      <c r="A1408" t="s">
        <v>4954</v>
      </c>
      <c r="B1408" t="s">
        <v>37</v>
      </c>
      <c r="C1408" t="s">
        <v>25</v>
      </c>
      <c r="D1408" t="s">
        <v>78</v>
      </c>
      <c r="E1408">
        <v>3035</v>
      </c>
      <c r="F1408" t="s">
        <v>4955</v>
      </c>
      <c r="G1408" t="s">
        <v>4956</v>
      </c>
      <c r="H1408" t="s">
        <v>4956</v>
      </c>
      <c r="I1408" t="s">
        <v>81</v>
      </c>
      <c r="J1408" t="s">
        <v>82</v>
      </c>
      <c r="L1408">
        <v>45733</v>
      </c>
      <c r="M1408" t="s">
        <v>95</v>
      </c>
    </row>
    <row r="1409" spans="1:13" x14ac:dyDescent="0.3">
      <c r="A1409" t="s">
        <v>4957</v>
      </c>
      <c r="B1409" t="s">
        <v>46</v>
      </c>
      <c r="C1409" t="s">
        <v>22</v>
      </c>
      <c r="D1409" t="s">
        <v>78</v>
      </c>
      <c r="E1409">
        <v>3035</v>
      </c>
      <c r="F1409" t="s">
        <v>4958</v>
      </c>
      <c r="G1409" t="s">
        <v>4959</v>
      </c>
      <c r="H1409" t="s">
        <v>4960</v>
      </c>
      <c r="I1409" t="s">
        <v>81</v>
      </c>
      <c r="J1409" t="s">
        <v>82</v>
      </c>
      <c r="K1409" t="s">
        <v>21</v>
      </c>
      <c r="L1409">
        <v>45684</v>
      </c>
      <c r="M1409" t="s">
        <v>489</v>
      </c>
    </row>
    <row r="1410" spans="1:13" x14ac:dyDescent="0.3">
      <c r="A1410" t="s">
        <v>4961</v>
      </c>
      <c r="B1410" t="s">
        <v>37</v>
      </c>
      <c r="C1410" t="s">
        <v>24</v>
      </c>
      <c r="D1410" t="s">
        <v>118</v>
      </c>
      <c r="E1410">
        <v>3038</v>
      </c>
      <c r="F1410" t="s">
        <v>4962</v>
      </c>
      <c r="G1410" t="s">
        <v>4963</v>
      </c>
      <c r="H1410" t="s">
        <v>4964</v>
      </c>
      <c r="I1410" t="s">
        <v>122</v>
      </c>
      <c r="J1410" t="s">
        <v>123</v>
      </c>
      <c r="K1410" t="s">
        <v>21</v>
      </c>
      <c r="L1410">
        <v>45731</v>
      </c>
      <c r="M1410" t="s">
        <v>200</v>
      </c>
    </row>
    <row r="1411" spans="1:13" x14ac:dyDescent="0.3">
      <c r="A1411" t="s">
        <v>4965</v>
      </c>
      <c r="B1411" t="s">
        <v>46</v>
      </c>
      <c r="C1411" t="s">
        <v>25</v>
      </c>
      <c r="D1411" t="s">
        <v>38</v>
      </c>
      <c r="E1411">
        <v>3031</v>
      </c>
      <c r="F1411" t="s">
        <v>4966</v>
      </c>
      <c r="G1411" t="s">
        <v>4967</v>
      </c>
      <c r="H1411" t="s">
        <v>4968</v>
      </c>
      <c r="I1411" t="s">
        <v>42</v>
      </c>
      <c r="J1411" t="s">
        <v>43</v>
      </c>
      <c r="L1411">
        <v>45658</v>
      </c>
      <c r="M1411" t="s">
        <v>128</v>
      </c>
    </row>
    <row r="1412" spans="1:13" x14ac:dyDescent="0.3">
      <c r="A1412" t="s">
        <v>4969</v>
      </c>
      <c r="B1412" t="s">
        <v>46</v>
      </c>
      <c r="C1412" t="s">
        <v>26</v>
      </c>
      <c r="D1412" t="s">
        <v>444</v>
      </c>
      <c r="E1412">
        <v>3042</v>
      </c>
      <c r="F1412" t="s">
        <v>4970</v>
      </c>
      <c r="G1412" t="s">
        <v>4971</v>
      </c>
      <c r="H1412" t="s">
        <v>4971</v>
      </c>
      <c r="I1412" t="s">
        <v>448</v>
      </c>
      <c r="J1412" t="s">
        <v>449</v>
      </c>
      <c r="K1412" t="s">
        <v>21</v>
      </c>
      <c r="L1412">
        <v>45723</v>
      </c>
      <c r="M1412" t="s">
        <v>450</v>
      </c>
    </row>
    <row r="1413" spans="1:13" x14ac:dyDescent="0.3">
      <c r="A1413" t="s">
        <v>4972</v>
      </c>
      <c r="B1413" t="s">
        <v>46</v>
      </c>
      <c r="C1413" t="s">
        <v>26</v>
      </c>
      <c r="D1413" t="s">
        <v>207</v>
      </c>
      <c r="E1413">
        <v>3041</v>
      </c>
      <c r="F1413" t="s">
        <v>4973</v>
      </c>
      <c r="G1413" t="s">
        <v>4974</v>
      </c>
      <c r="H1413" t="s">
        <v>4974</v>
      </c>
      <c r="I1413" t="s">
        <v>211</v>
      </c>
      <c r="J1413" t="s">
        <v>14</v>
      </c>
      <c r="L1413">
        <v>45692</v>
      </c>
      <c r="M1413" t="s">
        <v>363</v>
      </c>
    </row>
    <row r="1414" spans="1:13" x14ac:dyDescent="0.3">
      <c r="A1414" t="s">
        <v>4975</v>
      </c>
      <c r="B1414" t="s">
        <v>37</v>
      </c>
      <c r="C1414" t="s">
        <v>24</v>
      </c>
      <c r="D1414" t="s">
        <v>38</v>
      </c>
      <c r="E1414">
        <v>3031</v>
      </c>
      <c r="F1414" t="s">
        <v>298</v>
      </c>
      <c r="G1414" t="s">
        <v>4976</v>
      </c>
      <c r="H1414" t="s">
        <v>4976</v>
      </c>
      <c r="I1414" t="s">
        <v>42</v>
      </c>
      <c r="J1414" t="s">
        <v>43</v>
      </c>
      <c r="L1414">
        <v>45668</v>
      </c>
      <c r="M1414" t="s">
        <v>76</v>
      </c>
    </row>
    <row r="1415" spans="1:13" x14ac:dyDescent="0.3">
      <c r="A1415" t="s">
        <v>4977</v>
      </c>
      <c r="B1415" t="s">
        <v>46</v>
      </c>
      <c r="C1415" t="s">
        <v>25</v>
      </c>
      <c r="D1415" t="s">
        <v>104</v>
      </c>
      <c r="E1415">
        <v>3037</v>
      </c>
      <c r="F1415" t="s">
        <v>4978</v>
      </c>
      <c r="G1415" t="s">
        <v>4979</v>
      </c>
      <c r="H1415" t="s">
        <v>4979</v>
      </c>
      <c r="I1415" t="s">
        <v>12</v>
      </c>
      <c r="J1415" t="s">
        <v>13</v>
      </c>
      <c r="L1415">
        <v>45727</v>
      </c>
      <c r="M1415" t="s">
        <v>189</v>
      </c>
    </row>
    <row r="1416" spans="1:13" x14ac:dyDescent="0.3">
      <c r="A1416" t="s">
        <v>4980</v>
      </c>
      <c r="B1416" t="s">
        <v>46</v>
      </c>
      <c r="C1416" t="s">
        <v>26</v>
      </c>
      <c r="D1416" t="s">
        <v>136</v>
      </c>
      <c r="E1416">
        <v>3039</v>
      </c>
      <c r="F1416" t="s">
        <v>4981</v>
      </c>
      <c r="G1416" t="s">
        <v>4982</v>
      </c>
      <c r="H1416" t="s">
        <v>4983</v>
      </c>
      <c r="I1416" t="s">
        <v>15</v>
      </c>
      <c r="J1416" t="s">
        <v>14</v>
      </c>
      <c r="K1416" t="s">
        <v>21</v>
      </c>
      <c r="L1416">
        <v>45720</v>
      </c>
      <c r="M1416" t="s">
        <v>382</v>
      </c>
    </row>
    <row r="1417" spans="1:13" x14ac:dyDescent="0.3">
      <c r="A1417" t="s">
        <v>4984</v>
      </c>
      <c r="B1417" t="s">
        <v>37</v>
      </c>
      <c r="C1417" t="s">
        <v>24</v>
      </c>
      <c r="D1417" t="s">
        <v>78</v>
      </c>
      <c r="E1417">
        <v>3035</v>
      </c>
      <c r="F1417" t="s">
        <v>4985</v>
      </c>
      <c r="G1417" t="s">
        <v>4986</v>
      </c>
      <c r="H1417" t="s">
        <v>4987</v>
      </c>
      <c r="I1417" t="s">
        <v>81</v>
      </c>
      <c r="J1417" t="s">
        <v>82</v>
      </c>
      <c r="L1417">
        <v>45662</v>
      </c>
      <c r="M1417" t="s">
        <v>95</v>
      </c>
    </row>
    <row r="1418" spans="1:13" x14ac:dyDescent="0.3">
      <c r="A1418" t="s">
        <v>4988</v>
      </c>
      <c r="B1418" t="s">
        <v>46</v>
      </c>
      <c r="C1418" t="s">
        <v>22</v>
      </c>
      <c r="D1418" t="s">
        <v>38</v>
      </c>
      <c r="E1418">
        <v>3031</v>
      </c>
      <c r="F1418" t="s">
        <v>4989</v>
      </c>
      <c r="G1418" t="s">
        <v>4990</v>
      </c>
      <c r="H1418" t="s">
        <v>4990</v>
      </c>
      <c r="I1418" t="s">
        <v>42</v>
      </c>
      <c r="J1418" t="s">
        <v>43</v>
      </c>
      <c r="L1418">
        <v>45666</v>
      </c>
      <c r="M1418" t="s">
        <v>76</v>
      </c>
    </row>
    <row r="1419" spans="1:13" x14ac:dyDescent="0.3">
      <c r="A1419" t="s">
        <v>4991</v>
      </c>
      <c r="B1419" t="s">
        <v>37</v>
      </c>
      <c r="C1419" t="s">
        <v>25</v>
      </c>
      <c r="D1419" t="s">
        <v>191</v>
      </c>
      <c r="E1419">
        <v>3040</v>
      </c>
      <c r="F1419" t="s">
        <v>4992</v>
      </c>
      <c r="G1419" t="s">
        <v>4993</v>
      </c>
      <c r="H1419" t="s">
        <v>4993</v>
      </c>
      <c r="I1419" t="s">
        <v>194</v>
      </c>
      <c r="J1419" t="s">
        <v>13</v>
      </c>
      <c r="L1419">
        <v>45660</v>
      </c>
      <c r="M1419" t="s">
        <v>224</v>
      </c>
    </row>
    <row r="1420" spans="1:13" x14ac:dyDescent="0.3">
      <c r="A1420" t="s">
        <v>4994</v>
      </c>
      <c r="B1420" t="s">
        <v>46</v>
      </c>
      <c r="C1420" t="s">
        <v>25</v>
      </c>
      <c r="D1420" t="s">
        <v>78</v>
      </c>
      <c r="E1420">
        <v>3035</v>
      </c>
      <c r="F1420" t="s">
        <v>4995</v>
      </c>
      <c r="G1420" t="s">
        <v>4996</v>
      </c>
      <c r="H1420" t="s">
        <v>4997</v>
      </c>
      <c r="I1420" t="s">
        <v>81</v>
      </c>
      <c r="J1420" t="s">
        <v>82</v>
      </c>
      <c r="L1420">
        <v>45677</v>
      </c>
      <c r="M1420" t="s">
        <v>287</v>
      </c>
    </row>
    <row r="1421" spans="1:13" x14ac:dyDescent="0.3">
      <c r="A1421" t="s">
        <v>4998</v>
      </c>
      <c r="B1421" t="s">
        <v>37</v>
      </c>
      <c r="C1421" t="s">
        <v>26</v>
      </c>
      <c r="D1421" t="s">
        <v>104</v>
      </c>
      <c r="E1421">
        <v>3037</v>
      </c>
      <c r="F1421" t="s">
        <v>4999</v>
      </c>
      <c r="G1421" t="s">
        <v>5000</v>
      </c>
      <c r="H1421" t="s">
        <v>5001</v>
      </c>
      <c r="I1421" t="s">
        <v>12</v>
      </c>
      <c r="J1421" t="s">
        <v>13</v>
      </c>
      <c r="L1421">
        <v>45728</v>
      </c>
      <c r="M1421" t="s">
        <v>189</v>
      </c>
    </row>
    <row r="1422" spans="1:13" x14ac:dyDescent="0.3">
      <c r="A1422" t="s">
        <v>5002</v>
      </c>
      <c r="B1422" t="s">
        <v>37</v>
      </c>
      <c r="C1422" t="s">
        <v>22</v>
      </c>
      <c r="D1422" t="s">
        <v>191</v>
      </c>
      <c r="E1422">
        <v>3040</v>
      </c>
      <c r="F1422" t="s">
        <v>5003</v>
      </c>
      <c r="G1422" t="s">
        <v>5004</v>
      </c>
      <c r="H1422" t="s">
        <v>5005</v>
      </c>
      <c r="I1422" t="s">
        <v>194</v>
      </c>
      <c r="J1422" t="s">
        <v>13</v>
      </c>
      <c r="K1422" t="s">
        <v>21</v>
      </c>
      <c r="L1422">
        <v>45694</v>
      </c>
      <c r="M1422" t="s">
        <v>195</v>
      </c>
    </row>
    <row r="1423" spans="1:13" x14ac:dyDescent="0.3">
      <c r="A1423" t="s">
        <v>5006</v>
      </c>
      <c r="B1423" t="s">
        <v>46</v>
      </c>
      <c r="C1423" t="s">
        <v>25</v>
      </c>
      <c r="D1423" t="s">
        <v>118</v>
      </c>
      <c r="E1423">
        <v>3038</v>
      </c>
      <c r="F1423" t="s">
        <v>2022</v>
      </c>
      <c r="G1423" t="s">
        <v>5007</v>
      </c>
      <c r="H1423" t="s">
        <v>5007</v>
      </c>
      <c r="I1423" t="s">
        <v>122</v>
      </c>
      <c r="J1423" t="s">
        <v>123</v>
      </c>
      <c r="K1423" t="s">
        <v>21</v>
      </c>
      <c r="L1423">
        <v>45668</v>
      </c>
      <c r="M1423" t="s">
        <v>200</v>
      </c>
    </row>
    <row r="1424" spans="1:13" x14ac:dyDescent="0.3">
      <c r="A1424" t="s">
        <v>5008</v>
      </c>
      <c r="B1424" t="s">
        <v>46</v>
      </c>
      <c r="C1424" t="s">
        <v>25</v>
      </c>
      <c r="D1424" t="s">
        <v>444</v>
      </c>
      <c r="E1424">
        <v>3042</v>
      </c>
      <c r="F1424" t="s">
        <v>5009</v>
      </c>
      <c r="G1424" t="s">
        <v>5010</v>
      </c>
      <c r="H1424" t="s">
        <v>5011</v>
      </c>
      <c r="I1424" t="s">
        <v>448</v>
      </c>
      <c r="J1424" t="s">
        <v>449</v>
      </c>
      <c r="L1424">
        <v>45674</v>
      </c>
      <c r="M1424" t="s">
        <v>722</v>
      </c>
    </row>
    <row r="1425" spans="1:13" x14ac:dyDescent="0.3">
      <c r="A1425" t="s">
        <v>5012</v>
      </c>
      <c r="B1425" t="s">
        <v>46</v>
      </c>
      <c r="C1425" t="s">
        <v>25</v>
      </c>
      <c r="D1425" t="s">
        <v>38</v>
      </c>
      <c r="E1425">
        <v>3031</v>
      </c>
      <c r="F1425" t="s">
        <v>5013</v>
      </c>
      <c r="G1425" t="s">
        <v>5014</v>
      </c>
      <c r="H1425" t="s">
        <v>5015</v>
      </c>
      <c r="I1425" t="s">
        <v>42</v>
      </c>
      <c r="J1425" t="s">
        <v>43</v>
      </c>
      <c r="L1425">
        <v>45694</v>
      </c>
      <c r="M1425" t="s">
        <v>44</v>
      </c>
    </row>
    <row r="1426" spans="1:13" x14ac:dyDescent="0.3">
      <c r="A1426" t="s">
        <v>5016</v>
      </c>
      <c r="B1426" t="s">
        <v>37</v>
      </c>
      <c r="C1426" t="s">
        <v>24</v>
      </c>
      <c r="D1426" t="s">
        <v>71</v>
      </c>
      <c r="E1426">
        <v>3034</v>
      </c>
      <c r="F1426" t="s">
        <v>5017</v>
      </c>
      <c r="G1426" t="s">
        <v>5018</v>
      </c>
      <c r="H1426" t="s">
        <v>5018</v>
      </c>
      <c r="I1426" t="s">
        <v>74</v>
      </c>
      <c r="J1426" t="s">
        <v>75</v>
      </c>
      <c r="K1426" t="s">
        <v>21</v>
      </c>
      <c r="L1426">
        <v>45696</v>
      </c>
      <c r="M1426" t="s">
        <v>212</v>
      </c>
    </row>
    <row r="1427" spans="1:13" x14ac:dyDescent="0.3">
      <c r="A1427" t="s">
        <v>5019</v>
      </c>
      <c r="B1427" t="s">
        <v>37</v>
      </c>
      <c r="C1427" t="s">
        <v>26</v>
      </c>
      <c r="D1427" t="s">
        <v>444</v>
      </c>
      <c r="E1427">
        <v>3042</v>
      </c>
      <c r="F1427" t="s">
        <v>5020</v>
      </c>
      <c r="G1427" t="s">
        <v>5021</v>
      </c>
      <c r="H1427" t="s">
        <v>5022</v>
      </c>
      <c r="I1427" t="s">
        <v>448</v>
      </c>
      <c r="J1427" t="s">
        <v>449</v>
      </c>
      <c r="L1427">
        <v>45681</v>
      </c>
      <c r="M1427" t="s">
        <v>722</v>
      </c>
    </row>
    <row r="1428" spans="1:13" x14ac:dyDescent="0.3">
      <c r="A1428" t="s">
        <v>5023</v>
      </c>
      <c r="B1428" t="s">
        <v>37</v>
      </c>
      <c r="C1428" t="s">
        <v>24</v>
      </c>
      <c r="D1428" t="s">
        <v>78</v>
      </c>
      <c r="E1428">
        <v>3035</v>
      </c>
      <c r="F1428" t="s">
        <v>5024</v>
      </c>
      <c r="G1428" t="s">
        <v>5025</v>
      </c>
      <c r="H1428" t="s">
        <v>5026</v>
      </c>
      <c r="I1428" t="s">
        <v>81</v>
      </c>
      <c r="J1428" t="s">
        <v>82</v>
      </c>
      <c r="L1428">
        <v>45699</v>
      </c>
      <c r="M1428" t="s">
        <v>489</v>
      </c>
    </row>
    <row r="1429" spans="1:13" x14ac:dyDescent="0.3">
      <c r="A1429" t="s">
        <v>5027</v>
      </c>
      <c r="B1429" t="s">
        <v>46</v>
      </c>
      <c r="C1429" t="s">
        <v>26</v>
      </c>
      <c r="D1429" t="s">
        <v>207</v>
      </c>
      <c r="E1429">
        <v>3041</v>
      </c>
      <c r="F1429" t="s">
        <v>5028</v>
      </c>
      <c r="G1429" t="s">
        <v>5029</v>
      </c>
      <c r="H1429" t="s">
        <v>5029</v>
      </c>
      <c r="I1429" t="s">
        <v>211</v>
      </c>
      <c r="J1429" t="s">
        <v>14</v>
      </c>
      <c r="L1429">
        <v>45729</v>
      </c>
      <c r="M1429" t="s">
        <v>577</v>
      </c>
    </row>
    <row r="1430" spans="1:13" x14ac:dyDescent="0.3">
      <c r="A1430" t="s">
        <v>5030</v>
      </c>
      <c r="B1430" t="s">
        <v>37</v>
      </c>
      <c r="C1430" t="s">
        <v>22</v>
      </c>
      <c r="D1430" t="s">
        <v>47</v>
      </c>
      <c r="E1430">
        <v>3032</v>
      </c>
      <c r="F1430" t="s">
        <v>5031</v>
      </c>
      <c r="G1430" t="s">
        <v>5032</v>
      </c>
      <c r="H1430" t="s">
        <v>5032</v>
      </c>
      <c r="I1430" t="s">
        <v>51</v>
      </c>
      <c r="J1430" t="s">
        <v>52</v>
      </c>
      <c r="L1430">
        <v>45666</v>
      </c>
      <c r="M1430" t="s">
        <v>177</v>
      </c>
    </row>
    <row r="1431" spans="1:13" x14ac:dyDescent="0.3">
      <c r="A1431" t="s">
        <v>5033</v>
      </c>
      <c r="B1431" t="s">
        <v>46</v>
      </c>
      <c r="C1431" t="s">
        <v>24</v>
      </c>
      <c r="D1431" t="s">
        <v>191</v>
      </c>
      <c r="E1431">
        <v>3040</v>
      </c>
      <c r="F1431" t="s">
        <v>1701</v>
      </c>
      <c r="G1431" t="s">
        <v>5034</v>
      </c>
      <c r="H1431" t="s">
        <v>5035</v>
      </c>
      <c r="I1431" t="s">
        <v>194</v>
      </c>
      <c r="J1431" t="s">
        <v>13</v>
      </c>
      <c r="K1431" t="s">
        <v>21</v>
      </c>
      <c r="L1431">
        <v>45727</v>
      </c>
      <c r="M1431" t="s">
        <v>160</v>
      </c>
    </row>
    <row r="1432" spans="1:13" x14ac:dyDescent="0.3">
      <c r="A1432" t="s">
        <v>5036</v>
      </c>
      <c r="B1432" t="s">
        <v>46</v>
      </c>
      <c r="C1432" t="s">
        <v>25</v>
      </c>
      <c r="D1432" t="s">
        <v>78</v>
      </c>
      <c r="E1432">
        <v>3035</v>
      </c>
      <c r="F1432" t="s">
        <v>5037</v>
      </c>
      <c r="G1432" t="s">
        <v>5038</v>
      </c>
      <c r="H1432" t="s">
        <v>5038</v>
      </c>
      <c r="I1432" t="s">
        <v>81</v>
      </c>
      <c r="J1432" t="s">
        <v>82</v>
      </c>
      <c r="K1432" t="s">
        <v>21</v>
      </c>
      <c r="L1432">
        <v>45716</v>
      </c>
      <c r="M1432" t="s">
        <v>489</v>
      </c>
    </row>
    <row r="1433" spans="1:13" x14ac:dyDescent="0.3">
      <c r="A1433" t="s">
        <v>5039</v>
      </c>
      <c r="B1433" t="s">
        <v>37</v>
      </c>
      <c r="C1433" t="s">
        <v>25</v>
      </c>
      <c r="D1433" t="s">
        <v>71</v>
      </c>
      <c r="E1433">
        <v>3034</v>
      </c>
      <c r="F1433" t="s">
        <v>5040</v>
      </c>
      <c r="G1433" t="s">
        <v>5041</v>
      </c>
      <c r="H1433" t="s">
        <v>5042</v>
      </c>
      <c r="I1433" t="s">
        <v>74</v>
      </c>
      <c r="J1433" t="s">
        <v>75</v>
      </c>
      <c r="L1433">
        <v>45688</v>
      </c>
      <c r="M1433" t="s">
        <v>165</v>
      </c>
    </row>
    <row r="1434" spans="1:13" x14ac:dyDescent="0.3">
      <c r="A1434" t="s">
        <v>5043</v>
      </c>
      <c r="B1434" t="s">
        <v>46</v>
      </c>
      <c r="C1434" t="s">
        <v>26</v>
      </c>
      <c r="D1434" t="s">
        <v>136</v>
      </c>
      <c r="E1434">
        <v>3039</v>
      </c>
      <c r="F1434" t="s">
        <v>4018</v>
      </c>
      <c r="G1434" t="s">
        <v>5044</v>
      </c>
      <c r="H1434" t="s">
        <v>5045</v>
      </c>
      <c r="I1434" t="s">
        <v>15</v>
      </c>
      <c r="J1434" t="s">
        <v>14</v>
      </c>
      <c r="K1434" t="s">
        <v>21</v>
      </c>
      <c r="L1434">
        <v>45744</v>
      </c>
      <c r="M1434" t="s">
        <v>200</v>
      </c>
    </row>
    <row r="1435" spans="1:13" x14ac:dyDescent="0.3">
      <c r="A1435" t="s">
        <v>5046</v>
      </c>
      <c r="B1435" t="s">
        <v>46</v>
      </c>
      <c r="C1435" t="s">
        <v>26</v>
      </c>
      <c r="D1435" t="s">
        <v>444</v>
      </c>
      <c r="E1435">
        <v>3042</v>
      </c>
      <c r="F1435" t="s">
        <v>5047</v>
      </c>
      <c r="G1435" t="s">
        <v>5048</v>
      </c>
      <c r="H1435" t="s">
        <v>5048</v>
      </c>
      <c r="I1435" t="s">
        <v>448</v>
      </c>
      <c r="J1435" t="s">
        <v>449</v>
      </c>
      <c r="L1435">
        <v>45712</v>
      </c>
      <c r="M1435" t="s">
        <v>722</v>
      </c>
    </row>
    <row r="1436" spans="1:13" x14ac:dyDescent="0.3">
      <c r="A1436" t="s">
        <v>5049</v>
      </c>
      <c r="B1436" t="s">
        <v>46</v>
      </c>
      <c r="C1436" t="s">
        <v>22</v>
      </c>
      <c r="D1436" t="s">
        <v>136</v>
      </c>
      <c r="E1436">
        <v>3039</v>
      </c>
      <c r="F1436" t="s">
        <v>5050</v>
      </c>
      <c r="G1436" t="s">
        <v>5051</v>
      </c>
      <c r="H1436" t="s">
        <v>5052</v>
      </c>
      <c r="I1436" t="s">
        <v>15</v>
      </c>
      <c r="J1436" t="s">
        <v>14</v>
      </c>
      <c r="K1436" t="s">
        <v>21</v>
      </c>
      <c r="L1436">
        <v>45734</v>
      </c>
      <c r="M1436" t="s">
        <v>140</v>
      </c>
    </row>
    <row r="1437" spans="1:13" x14ac:dyDescent="0.3">
      <c r="A1437" t="s">
        <v>5053</v>
      </c>
      <c r="B1437" t="s">
        <v>46</v>
      </c>
      <c r="C1437" t="s">
        <v>25</v>
      </c>
      <c r="D1437" t="s">
        <v>47</v>
      </c>
      <c r="E1437">
        <v>3032</v>
      </c>
      <c r="F1437" t="s">
        <v>5054</v>
      </c>
      <c r="G1437" t="s">
        <v>5055</v>
      </c>
      <c r="H1437" t="s">
        <v>5056</v>
      </c>
      <c r="I1437" t="s">
        <v>51</v>
      </c>
      <c r="J1437" t="s">
        <v>52</v>
      </c>
      <c r="K1437" t="s">
        <v>21</v>
      </c>
      <c r="L1437">
        <v>45718</v>
      </c>
      <c r="M1437" t="s">
        <v>881</v>
      </c>
    </row>
    <row r="1438" spans="1:13" x14ac:dyDescent="0.3">
      <c r="A1438" t="s">
        <v>5057</v>
      </c>
      <c r="B1438" t="s">
        <v>37</v>
      </c>
      <c r="C1438" t="s">
        <v>26</v>
      </c>
      <c r="D1438" t="s">
        <v>444</v>
      </c>
      <c r="E1438">
        <v>3042</v>
      </c>
      <c r="F1438" t="s">
        <v>5058</v>
      </c>
      <c r="G1438" t="s">
        <v>5059</v>
      </c>
      <c r="H1438" t="s">
        <v>5059</v>
      </c>
      <c r="I1438" t="s">
        <v>448</v>
      </c>
      <c r="J1438" t="s">
        <v>449</v>
      </c>
      <c r="K1438" t="s">
        <v>21</v>
      </c>
      <c r="L1438">
        <v>45739</v>
      </c>
      <c r="M1438" t="s">
        <v>450</v>
      </c>
    </row>
    <row r="1439" spans="1:13" x14ac:dyDescent="0.3">
      <c r="A1439" t="s">
        <v>5060</v>
      </c>
      <c r="B1439" t="s">
        <v>46</v>
      </c>
      <c r="C1439" t="s">
        <v>26</v>
      </c>
      <c r="D1439" t="s">
        <v>97</v>
      </c>
      <c r="E1439">
        <v>3036</v>
      </c>
      <c r="F1439" t="s">
        <v>5061</v>
      </c>
      <c r="G1439" t="s">
        <v>5062</v>
      </c>
      <c r="H1439" t="s">
        <v>5062</v>
      </c>
      <c r="I1439" t="s">
        <v>100</v>
      </c>
      <c r="J1439" t="s">
        <v>101</v>
      </c>
      <c r="L1439">
        <v>45708</v>
      </c>
      <c r="M1439" t="s">
        <v>165</v>
      </c>
    </row>
    <row r="1440" spans="1:13" x14ac:dyDescent="0.3">
      <c r="A1440" t="s">
        <v>5063</v>
      </c>
      <c r="B1440" t="s">
        <v>37</v>
      </c>
      <c r="C1440" t="s">
        <v>25</v>
      </c>
      <c r="D1440" t="s">
        <v>444</v>
      </c>
      <c r="E1440">
        <v>3042</v>
      </c>
      <c r="F1440" t="s">
        <v>5064</v>
      </c>
      <c r="G1440" t="s">
        <v>5065</v>
      </c>
      <c r="H1440" t="s">
        <v>5065</v>
      </c>
      <c r="I1440" t="s">
        <v>448</v>
      </c>
      <c r="J1440" t="s">
        <v>449</v>
      </c>
      <c r="L1440">
        <v>45718</v>
      </c>
      <c r="M1440" t="s">
        <v>363</v>
      </c>
    </row>
    <row r="1441" spans="1:13" x14ac:dyDescent="0.3">
      <c r="A1441" t="s">
        <v>5066</v>
      </c>
      <c r="B1441" t="s">
        <v>37</v>
      </c>
      <c r="C1441" t="s">
        <v>24</v>
      </c>
      <c r="D1441" t="s">
        <v>104</v>
      </c>
      <c r="E1441">
        <v>3037</v>
      </c>
      <c r="F1441" t="s">
        <v>5067</v>
      </c>
      <c r="G1441" t="s">
        <v>5068</v>
      </c>
      <c r="H1441" t="s">
        <v>5069</v>
      </c>
      <c r="I1441" t="s">
        <v>12</v>
      </c>
      <c r="J1441" t="s">
        <v>13</v>
      </c>
      <c r="L1441">
        <v>45693</v>
      </c>
      <c r="M1441" t="s">
        <v>76</v>
      </c>
    </row>
    <row r="1442" spans="1:13" x14ac:dyDescent="0.3">
      <c r="A1442" t="s">
        <v>5070</v>
      </c>
      <c r="B1442" t="s">
        <v>37</v>
      </c>
      <c r="C1442" t="s">
        <v>24</v>
      </c>
      <c r="D1442" t="s">
        <v>71</v>
      </c>
      <c r="E1442">
        <v>3034</v>
      </c>
      <c r="F1442" t="s">
        <v>5071</v>
      </c>
      <c r="G1442" t="s">
        <v>5072</v>
      </c>
      <c r="H1442" t="s">
        <v>5073</v>
      </c>
      <c r="I1442" t="s">
        <v>74</v>
      </c>
      <c r="J1442" t="s">
        <v>75</v>
      </c>
      <c r="K1442" t="s">
        <v>21</v>
      </c>
      <c r="L1442">
        <v>45686</v>
      </c>
      <c r="M1442" t="s">
        <v>112</v>
      </c>
    </row>
    <row r="1443" spans="1:13" x14ac:dyDescent="0.3">
      <c r="A1443" t="s">
        <v>5074</v>
      </c>
      <c r="B1443" t="s">
        <v>37</v>
      </c>
      <c r="C1443" t="s">
        <v>25</v>
      </c>
      <c r="D1443" t="s">
        <v>97</v>
      </c>
      <c r="E1443">
        <v>3036</v>
      </c>
      <c r="F1443" t="s">
        <v>5075</v>
      </c>
      <c r="G1443" t="s">
        <v>5076</v>
      </c>
      <c r="H1443" t="s">
        <v>5077</v>
      </c>
      <c r="I1443" t="s">
        <v>100</v>
      </c>
      <c r="J1443" t="s">
        <v>101</v>
      </c>
      <c r="K1443" t="s">
        <v>21</v>
      </c>
      <c r="L1443">
        <v>45691</v>
      </c>
      <c r="M1443" t="s">
        <v>292</v>
      </c>
    </row>
    <row r="1444" spans="1:13" x14ac:dyDescent="0.3">
      <c r="A1444" t="s">
        <v>5078</v>
      </c>
      <c r="B1444" t="s">
        <v>46</v>
      </c>
      <c r="C1444" t="s">
        <v>22</v>
      </c>
      <c r="D1444" t="s">
        <v>47</v>
      </c>
      <c r="E1444">
        <v>3032</v>
      </c>
      <c r="F1444" t="s">
        <v>5079</v>
      </c>
      <c r="G1444" t="s">
        <v>5080</v>
      </c>
      <c r="H1444" t="s">
        <v>5081</v>
      </c>
      <c r="I1444" t="s">
        <v>51</v>
      </c>
      <c r="J1444" t="s">
        <v>52</v>
      </c>
      <c r="L1444">
        <v>45734</v>
      </c>
      <c r="M1444" t="s">
        <v>476</v>
      </c>
    </row>
    <row r="1445" spans="1:13" x14ac:dyDescent="0.3">
      <c r="A1445" t="s">
        <v>5082</v>
      </c>
      <c r="B1445" t="s">
        <v>37</v>
      </c>
      <c r="C1445" t="s">
        <v>22</v>
      </c>
      <c r="D1445" t="s">
        <v>71</v>
      </c>
      <c r="E1445">
        <v>3034</v>
      </c>
      <c r="F1445" t="s">
        <v>5083</v>
      </c>
      <c r="G1445" t="s">
        <v>5084</v>
      </c>
      <c r="H1445" t="s">
        <v>5085</v>
      </c>
      <c r="I1445" t="s">
        <v>74</v>
      </c>
      <c r="J1445" t="s">
        <v>75</v>
      </c>
      <c r="L1445">
        <v>45738</v>
      </c>
      <c r="M1445" t="s">
        <v>212</v>
      </c>
    </row>
    <row r="1446" spans="1:13" x14ac:dyDescent="0.3">
      <c r="A1446" t="s">
        <v>5086</v>
      </c>
      <c r="B1446" t="s">
        <v>46</v>
      </c>
      <c r="C1446" t="s">
        <v>22</v>
      </c>
      <c r="D1446" t="s">
        <v>191</v>
      </c>
      <c r="E1446">
        <v>3040</v>
      </c>
      <c r="F1446" t="s">
        <v>5087</v>
      </c>
      <c r="G1446" t="s">
        <v>5088</v>
      </c>
      <c r="H1446" t="s">
        <v>5089</v>
      </c>
      <c r="I1446" t="s">
        <v>194</v>
      </c>
      <c r="J1446" t="s">
        <v>13</v>
      </c>
      <c r="L1446">
        <v>45746</v>
      </c>
      <c r="M1446" t="s">
        <v>300</v>
      </c>
    </row>
    <row r="1447" spans="1:13" x14ac:dyDescent="0.3">
      <c r="A1447" t="s">
        <v>5090</v>
      </c>
      <c r="B1447" t="s">
        <v>37</v>
      </c>
      <c r="C1447" t="s">
        <v>22</v>
      </c>
      <c r="D1447" t="s">
        <v>136</v>
      </c>
      <c r="E1447">
        <v>3039</v>
      </c>
      <c r="F1447" t="s">
        <v>5091</v>
      </c>
      <c r="G1447" t="s">
        <v>5092</v>
      </c>
      <c r="H1447" t="s">
        <v>5092</v>
      </c>
      <c r="I1447" t="s">
        <v>15</v>
      </c>
      <c r="J1447" t="s">
        <v>14</v>
      </c>
      <c r="L1447">
        <v>45736</v>
      </c>
      <c r="M1447" t="s">
        <v>577</v>
      </c>
    </row>
    <row r="1448" spans="1:13" x14ac:dyDescent="0.3">
      <c r="A1448" t="s">
        <v>5093</v>
      </c>
      <c r="B1448" t="s">
        <v>37</v>
      </c>
      <c r="C1448" t="s">
        <v>22</v>
      </c>
      <c r="D1448" t="s">
        <v>118</v>
      </c>
      <c r="E1448">
        <v>3038</v>
      </c>
      <c r="F1448" t="s">
        <v>5094</v>
      </c>
      <c r="G1448" t="s">
        <v>5095</v>
      </c>
      <c r="H1448" t="s">
        <v>5095</v>
      </c>
      <c r="I1448" t="s">
        <v>122</v>
      </c>
      <c r="J1448" t="s">
        <v>123</v>
      </c>
      <c r="L1448">
        <v>45681</v>
      </c>
      <c r="M1448" t="s">
        <v>581</v>
      </c>
    </row>
    <row r="1449" spans="1:13" x14ac:dyDescent="0.3">
      <c r="A1449" t="s">
        <v>5096</v>
      </c>
      <c r="B1449" t="s">
        <v>37</v>
      </c>
      <c r="C1449" t="s">
        <v>24</v>
      </c>
      <c r="D1449" t="s">
        <v>55</v>
      </c>
      <c r="E1449">
        <v>3033</v>
      </c>
      <c r="F1449" t="s">
        <v>5097</v>
      </c>
      <c r="G1449" t="s">
        <v>5098</v>
      </c>
      <c r="H1449" t="s">
        <v>5099</v>
      </c>
      <c r="I1449" t="s">
        <v>58</v>
      </c>
      <c r="J1449" t="s">
        <v>59</v>
      </c>
      <c r="K1449" t="s">
        <v>21</v>
      </c>
      <c r="L1449">
        <v>45740</v>
      </c>
      <c r="M1449" t="s">
        <v>69</v>
      </c>
    </row>
    <row r="1450" spans="1:13" x14ac:dyDescent="0.3">
      <c r="A1450" t="s">
        <v>5100</v>
      </c>
      <c r="B1450" t="s">
        <v>37</v>
      </c>
      <c r="C1450" t="s">
        <v>25</v>
      </c>
      <c r="D1450" t="s">
        <v>207</v>
      </c>
      <c r="E1450">
        <v>3041</v>
      </c>
      <c r="F1450" t="s">
        <v>5101</v>
      </c>
      <c r="G1450" t="s">
        <v>5102</v>
      </c>
      <c r="H1450" t="s">
        <v>5103</v>
      </c>
      <c r="I1450" t="s">
        <v>211</v>
      </c>
      <c r="J1450" t="s">
        <v>14</v>
      </c>
      <c r="L1450">
        <v>45733</v>
      </c>
      <c r="M1450" t="s">
        <v>394</v>
      </c>
    </row>
    <row r="1451" spans="1:13" x14ac:dyDescent="0.3">
      <c r="A1451" t="s">
        <v>5104</v>
      </c>
      <c r="B1451" t="s">
        <v>37</v>
      </c>
      <c r="C1451" t="s">
        <v>24</v>
      </c>
      <c r="D1451" t="s">
        <v>207</v>
      </c>
      <c r="E1451">
        <v>3041</v>
      </c>
      <c r="F1451" t="s">
        <v>5105</v>
      </c>
      <c r="G1451" t="s">
        <v>5106</v>
      </c>
      <c r="H1451" t="s">
        <v>5107</v>
      </c>
      <c r="I1451" t="s">
        <v>211</v>
      </c>
      <c r="J1451" t="s">
        <v>14</v>
      </c>
      <c r="L1451">
        <v>45668</v>
      </c>
      <c r="M1451" t="s">
        <v>128</v>
      </c>
    </row>
    <row r="1452" spans="1:13" x14ac:dyDescent="0.3">
      <c r="A1452" t="s">
        <v>5108</v>
      </c>
      <c r="B1452" t="s">
        <v>46</v>
      </c>
      <c r="C1452" t="s">
        <v>25</v>
      </c>
      <c r="D1452" t="s">
        <v>71</v>
      </c>
      <c r="E1452">
        <v>3034</v>
      </c>
      <c r="F1452" t="s">
        <v>5109</v>
      </c>
      <c r="G1452" t="s">
        <v>5110</v>
      </c>
      <c r="H1452" t="s">
        <v>5110</v>
      </c>
      <c r="I1452" t="s">
        <v>74</v>
      </c>
      <c r="J1452" t="s">
        <v>75</v>
      </c>
      <c r="K1452" t="s">
        <v>21</v>
      </c>
      <c r="L1452">
        <v>45737</v>
      </c>
      <c r="M1452" t="s">
        <v>165</v>
      </c>
    </row>
    <row r="1453" spans="1:13" x14ac:dyDescent="0.3">
      <c r="A1453" t="s">
        <v>5111</v>
      </c>
      <c r="B1453" t="s">
        <v>37</v>
      </c>
      <c r="C1453" t="s">
        <v>25</v>
      </c>
      <c r="D1453" t="s">
        <v>71</v>
      </c>
      <c r="E1453">
        <v>3034</v>
      </c>
      <c r="F1453" t="s">
        <v>5112</v>
      </c>
      <c r="G1453" t="s">
        <v>5113</v>
      </c>
      <c r="H1453" t="s">
        <v>5114</v>
      </c>
      <c r="I1453" t="s">
        <v>74</v>
      </c>
      <c r="J1453" t="s">
        <v>75</v>
      </c>
      <c r="K1453" t="s">
        <v>21</v>
      </c>
      <c r="L1453">
        <v>45688</v>
      </c>
      <c r="M1453" t="s">
        <v>76</v>
      </c>
    </row>
    <row r="1454" spans="1:13" x14ac:dyDescent="0.3">
      <c r="A1454" t="s">
        <v>5115</v>
      </c>
      <c r="B1454" t="s">
        <v>46</v>
      </c>
      <c r="C1454" t="s">
        <v>25</v>
      </c>
      <c r="D1454" t="s">
        <v>118</v>
      </c>
      <c r="E1454">
        <v>3038</v>
      </c>
      <c r="F1454" t="s">
        <v>5116</v>
      </c>
      <c r="G1454" t="s">
        <v>5117</v>
      </c>
      <c r="H1454" t="s">
        <v>5118</v>
      </c>
      <c r="I1454" t="s">
        <v>122</v>
      </c>
      <c r="J1454" t="s">
        <v>123</v>
      </c>
      <c r="K1454" t="s">
        <v>21</v>
      </c>
      <c r="L1454">
        <v>45691</v>
      </c>
      <c r="M1454" t="s">
        <v>359</v>
      </c>
    </row>
    <row r="1455" spans="1:13" x14ac:dyDescent="0.3">
      <c r="A1455" t="s">
        <v>5119</v>
      </c>
      <c r="B1455" t="s">
        <v>46</v>
      </c>
      <c r="C1455" t="s">
        <v>26</v>
      </c>
      <c r="D1455" t="s">
        <v>136</v>
      </c>
      <c r="E1455">
        <v>3039</v>
      </c>
      <c r="F1455" t="s">
        <v>5120</v>
      </c>
      <c r="G1455" t="s">
        <v>5121</v>
      </c>
      <c r="H1455" t="s">
        <v>5122</v>
      </c>
      <c r="I1455" t="s">
        <v>15</v>
      </c>
      <c r="J1455" t="s">
        <v>14</v>
      </c>
      <c r="K1455" t="s">
        <v>21</v>
      </c>
      <c r="L1455">
        <v>45665</v>
      </c>
      <c r="M1455" t="s">
        <v>389</v>
      </c>
    </row>
    <row r="1456" spans="1:13" x14ac:dyDescent="0.3">
      <c r="A1456" t="s">
        <v>5123</v>
      </c>
      <c r="B1456" t="s">
        <v>46</v>
      </c>
      <c r="C1456" t="s">
        <v>22</v>
      </c>
      <c r="D1456" t="s">
        <v>118</v>
      </c>
      <c r="E1456">
        <v>3038</v>
      </c>
      <c r="F1456" t="s">
        <v>5124</v>
      </c>
      <c r="G1456" t="s">
        <v>5125</v>
      </c>
      <c r="H1456" t="s">
        <v>5125</v>
      </c>
      <c r="I1456" t="s">
        <v>122</v>
      </c>
      <c r="J1456" t="s">
        <v>123</v>
      </c>
      <c r="L1456">
        <v>45670</v>
      </c>
      <c r="M1456" t="s">
        <v>581</v>
      </c>
    </row>
    <row r="1457" spans="1:13" x14ac:dyDescent="0.3">
      <c r="A1457" t="s">
        <v>5126</v>
      </c>
      <c r="B1457" t="s">
        <v>46</v>
      </c>
      <c r="C1457" t="s">
        <v>25</v>
      </c>
      <c r="D1457" t="s">
        <v>104</v>
      </c>
      <c r="E1457">
        <v>3037</v>
      </c>
      <c r="F1457" t="s">
        <v>5127</v>
      </c>
      <c r="G1457" t="s">
        <v>5128</v>
      </c>
      <c r="H1457" t="s">
        <v>5128</v>
      </c>
      <c r="I1457" t="s">
        <v>12</v>
      </c>
      <c r="J1457" t="s">
        <v>13</v>
      </c>
      <c r="L1457">
        <v>45700</v>
      </c>
      <c r="M1457" t="s">
        <v>224</v>
      </c>
    </row>
    <row r="1458" spans="1:13" x14ac:dyDescent="0.3">
      <c r="A1458" t="s">
        <v>5129</v>
      </c>
      <c r="B1458" t="s">
        <v>46</v>
      </c>
      <c r="C1458" t="s">
        <v>22</v>
      </c>
      <c r="D1458" t="s">
        <v>444</v>
      </c>
      <c r="E1458">
        <v>3042</v>
      </c>
      <c r="F1458" t="s">
        <v>5130</v>
      </c>
      <c r="G1458" t="s">
        <v>5131</v>
      </c>
      <c r="H1458" t="s">
        <v>5132</v>
      </c>
      <c r="I1458" t="s">
        <v>448</v>
      </c>
      <c r="J1458" t="s">
        <v>449</v>
      </c>
      <c r="L1458">
        <v>45693</v>
      </c>
      <c r="M1458" t="s">
        <v>107</v>
      </c>
    </row>
    <row r="1459" spans="1:13" x14ac:dyDescent="0.3">
      <c r="A1459" t="s">
        <v>5133</v>
      </c>
      <c r="B1459" t="s">
        <v>37</v>
      </c>
      <c r="C1459" t="s">
        <v>22</v>
      </c>
      <c r="D1459" t="s">
        <v>55</v>
      </c>
      <c r="E1459">
        <v>3033</v>
      </c>
      <c r="F1459" t="s">
        <v>5134</v>
      </c>
      <c r="G1459" t="s">
        <v>5135</v>
      </c>
      <c r="H1459" t="s">
        <v>5135</v>
      </c>
      <c r="I1459" t="s">
        <v>58</v>
      </c>
      <c r="J1459" t="s">
        <v>59</v>
      </c>
      <c r="L1459">
        <v>45667</v>
      </c>
      <c r="M1459" t="s">
        <v>90</v>
      </c>
    </row>
    <row r="1460" spans="1:13" x14ac:dyDescent="0.3">
      <c r="A1460" t="s">
        <v>5136</v>
      </c>
      <c r="B1460" t="s">
        <v>37</v>
      </c>
      <c r="C1460" t="s">
        <v>25</v>
      </c>
      <c r="D1460" t="s">
        <v>207</v>
      </c>
      <c r="E1460">
        <v>3041</v>
      </c>
      <c r="F1460" t="s">
        <v>5137</v>
      </c>
      <c r="G1460" t="s">
        <v>5138</v>
      </c>
      <c r="H1460" t="s">
        <v>5139</v>
      </c>
      <c r="I1460" t="s">
        <v>211</v>
      </c>
      <c r="J1460" t="s">
        <v>14</v>
      </c>
      <c r="L1460">
        <v>45705</v>
      </c>
      <c r="M1460" t="s">
        <v>363</v>
      </c>
    </row>
    <row r="1461" spans="1:13" x14ac:dyDescent="0.3">
      <c r="A1461" t="s">
        <v>5140</v>
      </c>
      <c r="B1461" t="s">
        <v>46</v>
      </c>
      <c r="C1461" t="s">
        <v>22</v>
      </c>
      <c r="D1461" t="s">
        <v>444</v>
      </c>
      <c r="E1461">
        <v>3042</v>
      </c>
      <c r="F1461" t="s">
        <v>5141</v>
      </c>
      <c r="G1461" t="s">
        <v>5142</v>
      </c>
      <c r="H1461" t="s">
        <v>5143</v>
      </c>
      <c r="I1461" t="s">
        <v>448</v>
      </c>
      <c r="J1461" t="s">
        <v>449</v>
      </c>
      <c r="L1461">
        <v>45687</v>
      </c>
      <c r="M1461" t="s">
        <v>107</v>
      </c>
    </row>
    <row r="1462" spans="1:13" x14ac:dyDescent="0.3">
      <c r="A1462" t="s">
        <v>5144</v>
      </c>
      <c r="B1462" t="s">
        <v>46</v>
      </c>
      <c r="C1462" t="s">
        <v>22</v>
      </c>
      <c r="D1462" t="s">
        <v>191</v>
      </c>
      <c r="E1462">
        <v>3040</v>
      </c>
      <c r="F1462" t="s">
        <v>5145</v>
      </c>
      <c r="G1462" t="s">
        <v>5146</v>
      </c>
      <c r="H1462" t="s">
        <v>5146</v>
      </c>
      <c r="I1462" t="s">
        <v>194</v>
      </c>
      <c r="J1462" t="s">
        <v>13</v>
      </c>
      <c r="K1462" t="s">
        <v>21</v>
      </c>
      <c r="L1462">
        <v>45678</v>
      </c>
      <c r="M1462" t="s">
        <v>717</v>
      </c>
    </row>
    <row r="1463" spans="1:13" x14ac:dyDescent="0.3">
      <c r="A1463" t="s">
        <v>5147</v>
      </c>
      <c r="B1463" t="s">
        <v>37</v>
      </c>
      <c r="C1463" t="s">
        <v>25</v>
      </c>
      <c r="D1463" t="s">
        <v>78</v>
      </c>
      <c r="E1463">
        <v>3035</v>
      </c>
      <c r="F1463" t="s">
        <v>31</v>
      </c>
      <c r="G1463" t="s">
        <v>5148</v>
      </c>
      <c r="H1463" t="s">
        <v>5149</v>
      </c>
      <c r="I1463" t="s">
        <v>81</v>
      </c>
      <c r="J1463" t="s">
        <v>82</v>
      </c>
      <c r="K1463" t="s">
        <v>21</v>
      </c>
      <c r="L1463">
        <v>45716</v>
      </c>
      <c r="M1463" t="s">
        <v>287</v>
      </c>
    </row>
    <row r="1464" spans="1:13" x14ac:dyDescent="0.3">
      <c r="A1464" t="s">
        <v>5150</v>
      </c>
      <c r="B1464" t="s">
        <v>37</v>
      </c>
      <c r="C1464" t="s">
        <v>26</v>
      </c>
      <c r="D1464" t="s">
        <v>118</v>
      </c>
      <c r="E1464">
        <v>3038</v>
      </c>
      <c r="F1464" t="s">
        <v>2804</v>
      </c>
      <c r="G1464" t="s">
        <v>5151</v>
      </c>
      <c r="H1464" t="s">
        <v>5151</v>
      </c>
      <c r="I1464" t="s">
        <v>122</v>
      </c>
      <c r="J1464" t="s">
        <v>123</v>
      </c>
      <c r="L1464">
        <v>45682</v>
      </c>
      <c r="M1464" t="s">
        <v>389</v>
      </c>
    </row>
    <row r="1465" spans="1:13" x14ac:dyDescent="0.3">
      <c r="A1465" t="s">
        <v>5152</v>
      </c>
      <c r="B1465" t="s">
        <v>37</v>
      </c>
      <c r="C1465" t="s">
        <v>25</v>
      </c>
      <c r="D1465" t="s">
        <v>136</v>
      </c>
      <c r="E1465">
        <v>3039</v>
      </c>
      <c r="F1465" t="s">
        <v>5153</v>
      </c>
      <c r="G1465" t="s">
        <v>5154</v>
      </c>
      <c r="H1465" t="s">
        <v>5155</v>
      </c>
      <c r="I1465" t="s">
        <v>15</v>
      </c>
      <c r="J1465" t="s">
        <v>14</v>
      </c>
      <c r="L1465">
        <v>45672</v>
      </c>
      <c r="M1465" t="s">
        <v>160</v>
      </c>
    </row>
    <row r="1466" spans="1:13" x14ac:dyDescent="0.3">
      <c r="A1466" t="s">
        <v>5156</v>
      </c>
      <c r="B1466" t="s">
        <v>37</v>
      </c>
      <c r="C1466" t="s">
        <v>25</v>
      </c>
      <c r="D1466" t="s">
        <v>444</v>
      </c>
      <c r="E1466">
        <v>3042</v>
      </c>
      <c r="F1466" t="s">
        <v>5157</v>
      </c>
      <c r="G1466" t="s">
        <v>5158</v>
      </c>
      <c r="H1466" t="s">
        <v>5158</v>
      </c>
      <c r="I1466" t="s">
        <v>448</v>
      </c>
      <c r="J1466" t="s">
        <v>449</v>
      </c>
      <c r="L1466">
        <v>45732</v>
      </c>
      <c r="M1466" t="s">
        <v>722</v>
      </c>
    </row>
    <row r="1467" spans="1:13" x14ac:dyDescent="0.3">
      <c r="A1467" t="s">
        <v>5159</v>
      </c>
      <c r="B1467" t="s">
        <v>37</v>
      </c>
      <c r="C1467" t="s">
        <v>22</v>
      </c>
      <c r="D1467" t="s">
        <v>78</v>
      </c>
      <c r="E1467">
        <v>3035</v>
      </c>
      <c r="F1467" t="s">
        <v>5160</v>
      </c>
      <c r="G1467" t="s">
        <v>5161</v>
      </c>
      <c r="H1467" t="s">
        <v>5162</v>
      </c>
      <c r="I1467" t="s">
        <v>81</v>
      </c>
      <c r="J1467" t="s">
        <v>82</v>
      </c>
      <c r="L1467">
        <v>45712</v>
      </c>
      <c r="M1467" t="s">
        <v>95</v>
      </c>
    </row>
    <row r="1468" spans="1:13" x14ac:dyDescent="0.3">
      <c r="A1468" t="s">
        <v>5163</v>
      </c>
      <c r="B1468" t="s">
        <v>46</v>
      </c>
      <c r="C1468" t="s">
        <v>24</v>
      </c>
      <c r="D1468" t="s">
        <v>191</v>
      </c>
      <c r="E1468">
        <v>3040</v>
      </c>
      <c r="F1468" t="s">
        <v>5164</v>
      </c>
      <c r="G1468" t="s">
        <v>5165</v>
      </c>
      <c r="H1468" t="s">
        <v>5166</v>
      </c>
      <c r="I1468" t="s">
        <v>194</v>
      </c>
      <c r="J1468" t="s">
        <v>13</v>
      </c>
      <c r="L1468">
        <v>45720</v>
      </c>
      <c r="M1468" t="s">
        <v>195</v>
      </c>
    </row>
    <row r="1469" spans="1:13" x14ac:dyDescent="0.3">
      <c r="A1469" t="s">
        <v>5167</v>
      </c>
      <c r="B1469" t="s">
        <v>37</v>
      </c>
      <c r="C1469" t="s">
        <v>26</v>
      </c>
      <c r="D1469" t="s">
        <v>78</v>
      </c>
      <c r="E1469">
        <v>3035</v>
      </c>
      <c r="F1469" t="s">
        <v>5168</v>
      </c>
      <c r="G1469" t="s">
        <v>5169</v>
      </c>
      <c r="H1469" t="s">
        <v>5170</v>
      </c>
      <c r="I1469" t="s">
        <v>81</v>
      </c>
      <c r="J1469" t="s">
        <v>82</v>
      </c>
      <c r="K1469" t="s">
        <v>21</v>
      </c>
      <c r="L1469">
        <v>45721</v>
      </c>
      <c r="M1469" t="s">
        <v>489</v>
      </c>
    </row>
    <row r="1470" spans="1:13" x14ac:dyDescent="0.3">
      <c r="A1470" t="s">
        <v>5171</v>
      </c>
      <c r="B1470" t="s">
        <v>37</v>
      </c>
      <c r="C1470" t="s">
        <v>24</v>
      </c>
      <c r="D1470" t="s">
        <v>118</v>
      </c>
      <c r="E1470">
        <v>3038</v>
      </c>
      <c r="F1470" t="s">
        <v>5172</v>
      </c>
      <c r="G1470" t="s">
        <v>5173</v>
      </c>
      <c r="H1470" t="s">
        <v>5173</v>
      </c>
      <c r="I1470" t="s">
        <v>122</v>
      </c>
      <c r="J1470" t="s">
        <v>123</v>
      </c>
      <c r="K1470" t="s">
        <v>21</v>
      </c>
      <c r="L1470">
        <v>45671</v>
      </c>
      <c r="M1470" t="s">
        <v>200</v>
      </c>
    </row>
    <row r="1471" spans="1:13" x14ac:dyDescent="0.3">
      <c r="A1471" t="s">
        <v>5174</v>
      </c>
      <c r="B1471" t="s">
        <v>46</v>
      </c>
      <c r="C1471" t="s">
        <v>25</v>
      </c>
      <c r="D1471" t="s">
        <v>97</v>
      </c>
      <c r="E1471">
        <v>3036</v>
      </c>
      <c r="F1471" t="s">
        <v>5175</v>
      </c>
      <c r="G1471" t="s">
        <v>5176</v>
      </c>
      <c r="H1471" t="s">
        <v>5176</v>
      </c>
      <c r="I1471" t="s">
        <v>100</v>
      </c>
      <c r="J1471" t="s">
        <v>101</v>
      </c>
      <c r="L1471">
        <v>45667</v>
      </c>
      <c r="M1471" t="s">
        <v>65</v>
      </c>
    </row>
    <row r="1472" spans="1:13" x14ac:dyDescent="0.3">
      <c r="A1472" t="s">
        <v>5177</v>
      </c>
      <c r="B1472" t="s">
        <v>37</v>
      </c>
      <c r="C1472" t="s">
        <v>25</v>
      </c>
      <c r="D1472" t="s">
        <v>207</v>
      </c>
      <c r="E1472">
        <v>3041</v>
      </c>
      <c r="F1472" t="s">
        <v>5178</v>
      </c>
      <c r="G1472" t="s">
        <v>5179</v>
      </c>
      <c r="H1472" t="s">
        <v>5179</v>
      </c>
      <c r="I1472" t="s">
        <v>211</v>
      </c>
      <c r="J1472" t="s">
        <v>14</v>
      </c>
      <c r="L1472">
        <v>45723</v>
      </c>
      <c r="M1472" t="s">
        <v>394</v>
      </c>
    </row>
    <row r="1473" spans="1:13" x14ac:dyDescent="0.3">
      <c r="A1473" t="s">
        <v>5180</v>
      </c>
      <c r="B1473" t="s">
        <v>37</v>
      </c>
      <c r="C1473" t="s">
        <v>26</v>
      </c>
      <c r="D1473" t="s">
        <v>97</v>
      </c>
      <c r="E1473">
        <v>3036</v>
      </c>
      <c r="F1473" t="s">
        <v>5181</v>
      </c>
      <c r="G1473" t="s">
        <v>5182</v>
      </c>
      <c r="H1473" t="s">
        <v>5182</v>
      </c>
      <c r="I1473" t="s">
        <v>100</v>
      </c>
      <c r="J1473" t="s">
        <v>101</v>
      </c>
      <c r="L1473">
        <v>45710</v>
      </c>
      <c r="M1473" t="s">
        <v>65</v>
      </c>
    </row>
    <row r="1474" spans="1:13" x14ac:dyDescent="0.3">
      <c r="A1474" t="s">
        <v>5183</v>
      </c>
      <c r="B1474" t="s">
        <v>37</v>
      </c>
      <c r="C1474" t="s">
        <v>26</v>
      </c>
      <c r="D1474" t="s">
        <v>71</v>
      </c>
      <c r="E1474">
        <v>3034</v>
      </c>
      <c r="F1474" t="s">
        <v>5184</v>
      </c>
      <c r="G1474" t="s">
        <v>5185</v>
      </c>
      <c r="H1474" t="s">
        <v>5186</v>
      </c>
      <c r="I1474" t="s">
        <v>74</v>
      </c>
      <c r="J1474" t="s">
        <v>75</v>
      </c>
      <c r="L1474">
        <v>45658</v>
      </c>
      <c r="M1474" t="s">
        <v>76</v>
      </c>
    </row>
    <row r="1475" spans="1:13" x14ac:dyDescent="0.3">
      <c r="A1475" t="s">
        <v>5187</v>
      </c>
      <c r="B1475" t="s">
        <v>46</v>
      </c>
      <c r="C1475" t="s">
        <v>26</v>
      </c>
      <c r="D1475" t="s">
        <v>118</v>
      </c>
      <c r="E1475">
        <v>3038</v>
      </c>
      <c r="F1475" t="s">
        <v>5188</v>
      </c>
      <c r="G1475" t="s">
        <v>5189</v>
      </c>
      <c r="H1475" t="s">
        <v>5189</v>
      </c>
      <c r="I1475" t="s">
        <v>122</v>
      </c>
      <c r="J1475" t="s">
        <v>123</v>
      </c>
      <c r="K1475" t="s">
        <v>21</v>
      </c>
      <c r="L1475">
        <v>45665</v>
      </c>
      <c r="M1475" t="s">
        <v>389</v>
      </c>
    </row>
    <row r="1476" spans="1:13" x14ac:dyDescent="0.3">
      <c r="A1476" t="s">
        <v>5190</v>
      </c>
      <c r="B1476" t="s">
        <v>46</v>
      </c>
      <c r="C1476" t="s">
        <v>22</v>
      </c>
      <c r="D1476" t="s">
        <v>78</v>
      </c>
      <c r="E1476">
        <v>3035</v>
      </c>
      <c r="F1476" t="s">
        <v>5191</v>
      </c>
      <c r="G1476" t="s">
        <v>5192</v>
      </c>
      <c r="H1476" t="s">
        <v>5193</v>
      </c>
      <c r="I1476" t="s">
        <v>81</v>
      </c>
      <c r="J1476" t="s">
        <v>82</v>
      </c>
      <c r="L1476">
        <v>45665</v>
      </c>
      <c r="M1476" t="s">
        <v>489</v>
      </c>
    </row>
    <row r="1477" spans="1:13" x14ac:dyDescent="0.3">
      <c r="A1477" t="s">
        <v>5194</v>
      </c>
      <c r="B1477" t="s">
        <v>37</v>
      </c>
      <c r="C1477" t="s">
        <v>26</v>
      </c>
      <c r="D1477" t="s">
        <v>38</v>
      </c>
      <c r="E1477">
        <v>3031</v>
      </c>
      <c r="F1477" t="s">
        <v>5195</v>
      </c>
      <c r="G1477" t="s">
        <v>5196</v>
      </c>
      <c r="H1477" t="s">
        <v>5197</v>
      </c>
      <c r="I1477" t="s">
        <v>42</v>
      </c>
      <c r="J1477" t="s">
        <v>43</v>
      </c>
      <c r="L1477">
        <v>45720</v>
      </c>
      <c r="M1477" t="s">
        <v>420</v>
      </c>
    </row>
    <row r="1478" spans="1:13" x14ac:dyDescent="0.3">
      <c r="A1478" t="s">
        <v>5198</v>
      </c>
      <c r="B1478" t="s">
        <v>46</v>
      </c>
      <c r="C1478" t="s">
        <v>26</v>
      </c>
      <c r="D1478" t="s">
        <v>207</v>
      </c>
      <c r="E1478">
        <v>3041</v>
      </c>
      <c r="F1478" t="s">
        <v>5199</v>
      </c>
      <c r="G1478" t="s">
        <v>5200</v>
      </c>
      <c r="H1478" t="s">
        <v>5201</v>
      </c>
      <c r="I1478" t="s">
        <v>211</v>
      </c>
      <c r="J1478" t="s">
        <v>14</v>
      </c>
      <c r="L1478">
        <v>45700</v>
      </c>
      <c r="M1478" t="s">
        <v>363</v>
      </c>
    </row>
    <row r="1479" spans="1:13" x14ac:dyDescent="0.3">
      <c r="A1479" t="s">
        <v>5202</v>
      </c>
      <c r="B1479" t="s">
        <v>37</v>
      </c>
      <c r="C1479" t="s">
        <v>24</v>
      </c>
      <c r="D1479" t="s">
        <v>38</v>
      </c>
      <c r="E1479">
        <v>3031</v>
      </c>
      <c r="F1479" t="s">
        <v>5203</v>
      </c>
      <c r="G1479" t="s">
        <v>5204</v>
      </c>
      <c r="H1479" t="s">
        <v>5204</v>
      </c>
      <c r="I1479" t="s">
        <v>42</v>
      </c>
      <c r="J1479" t="s">
        <v>43</v>
      </c>
      <c r="L1479">
        <v>45715</v>
      </c>
      <c r="M1479" t="s">
        <v>102</v>
      </c>
    </row>
    <row r="1480" spans="1:13" x14ac:dyDescent="0.3">
      <c r="A1480" t="s">
        <v>5205</v>
      </c>
      <c r="B1480" t="s">
        <v>46</v>
      </c>
      <c r="C1480" t="s">
        <v>24</v>
      </c>
      <c r="D1480" t="s">
        <v>191</v>
      </c>
      <c r="E1480">
        <v>3040</v>
      </c>
      <c r="F1480" t="s">
        <v>5206</v>
      </c>
      <c r="G1480" t="s">
        <v>5207</v>
      </c>
      <c r="H1480" t="s">
        <v>5208</v>
      </c>
      <c r="I1480" t="s">
        <v>194</v>
      </c>
      <c r="J1480" t="s">
        <v>13</v>
      </c>
      <c r="L1480">
        <v>45712</v>
      </c>
      <c r="M1480" t="s">
        <v>224</v>
      </c>
    </row>
    <row r="1481" spans="1:13" x14ac:dyDescent="0.3">
      <c r="A1481" t="s">
        <v>5209</v>
      </c>
      <c r="B1481" t="s">
        <v>37</v>
      </c>
      <c r="C1481" t="s">
        <v>24</v>
      </c>
      <c r="D1481" t="s">
        <v>47</v>
      </c>
      <c r="E1481">
        <v>3032</v>
      </c>
      <c r="F1481" t="s">
        <v>5210</v>
      </c>
      <c r="G1481" t="s">
        <v>5211</v>
      </c>
      <c r="H1481" t="s">
        <v>5211</v>
      </c>
      <c r="I1481" t="s">
        <v>51</v>
      </c>
      <c r="J1481" t="s">
        <v>52</v>
      </c>
      <c r="L1481">
        <v>45666</v>
      </c>
      <c r="M1481" t="s">
        <v>53</v>
      </c>
    </row>
    <row r="1482" spans="1:13" x14ac:dyDescent="0.3">
      <c r="A1482" t="s">
        <v>5212</v>
      </c>
      <c r="B1482" t="s">
        <v>37</v>
      </c>
      <c r="C1482" t="s">
        <v>26</v>
      </c>
      <c r="D1482" t="s">
        <v>78</v>
      </c>
      <c r="E1482">
        <v>3035</v>
      </c>
      <c r="F1482" t="s">
        <v>5213</v>
      </c>
      <c r="G1482" t="s">
        <v>5214</v>
      </c>
      <c r="H1482" t="s">
        <v>5214</v>
      </c>
      <c r="I1482" t="s">
        <v>81</v>
      </c>
      <c r="J1482" t="s">
        <v>82</v>
      </c>
      <c r="L1482">
        <v>45677</v>
      </c>
      <c r="M1482" t="s">
        <v>95</v>
      </c>
    </row>
    <row r="1483" spans="1:13" x14ac:dyDescent="0.3">
      <c r="A1483" t="s">
        <v>5215</v>
      </c>
      <c r="B1483" t="s">
        <v>37</v>
      </c>
      <c r="C1483" t="s">
        <v>26</v>
      </c>
      <c r="D1483" t="s">
        <v>191</v>
      </c>
      <c r="E1483">
        <v>3040</v>
      </c>
      <c r="F1483" t="s">
        <v>5216</v>
      </c>
      <c r="G1483" t="s">
        <v>5217</v>
      </c>
      <c r="H1483" t="s">
        <v>5218</v>
      </c>
      <c r="I1483" t="s">
        <v>194</v>
      </c>
      <c r="J1483" t="s">
        <v>13</v>
      </c>
      <c r="L1483">
        <v>45670</v>
      </c>
      <c r="M1483" t="s">
        <v>224</v>
      </c>
    </row>
    <row r="1484" spans="1:13" x14ac:dyDescent="0.3">
      <c r="A1484" t="s">
        <v>5219</v>
      </c>
      <c r="B1484" t="s">
        <v>37</v>
      </c>
      <c r="C1484" t="s">
        <v>22</v>
      </c>
      <c r="D1484" t="s">
        <v>104</v>
      </c>
      <c r="E1484">
        <v>3037</v>
      </c>
      <c r="F1484" t="s">
        <v>5220</v>
      </c>
      <c r="G1484" t="s">
        <v>5221</v>
      </c>
      <c r="H1484" t="s">
        <v>5222</v>
      </c>
      <c r="I1484" t="s">
        <v>12</v>
      </c>
      <c r="J1484" t="s">
        <v>13</v>
      </c>
      <c r="L1484">
        <v>45687</v>
      </c>
      <c r="M1484" t="s">
        <v>287</v>
      </c>
    </row>
    <row r="1485" spans="1:13" x14ac:dyDescent="0.3">
      <c r="A1485" t="s">
        <v>5223</v>
      </c>
      <c r="B1485" t="s">
        <v>37</v>
      </c>
      <c r="C1485" t="s">
        <v>22</v>
      </c>
      <c r="D1485" t="s">
        <v>78</v>
      </c>
      <c r="E1485">
        <v>3035</v>
      </c>
      <c r="F1485" t="s">
        <v>5224</v>
      </c>
      <c r="G1485" t="s">
        <v>5225</v>
      </c>
      <c r="H1485" t="s">
        <v>5225</v>
      </c>
      <c r="I1485" t="s">
        <v>81</v>
      </c>
      <c r="J1485" t="s">
        <v>82</v>
      </c>
      <c r="L1485">
        <v>45684</v>
      </c>
      <c r="M1485" t="s">
        <v>489</v>
      </c>
    </row>
    <row r="1486" spans="1:13" x14ac:dyDescent="0.3">
      <c r="A1486" t="s">
        <v>5226</v>
      </c>
      <c r="B1486" t="s">
        <v>46</v>
      </c>
      <c r="C1486" t="s">
        <v>26</v>
      </c>
      <c r="D1486" t="s">
        <v>104</v>
      </c>
      <c r="E1486">
        <v>3037</v>
      </c>
      <c r="F1486" t="s">
        <v>5227</v>
      </c>
      <c r="G1486" t="s">
        <v>5228</v>
      </c>
      <c r="H1486" t="s">
        <v>5228</v>
      </c>
      <c r="I1486" t="s">
        <v>12</v>
      </c>
      <c r="J1486" t="s">
        <v>13</v>
      </c>
      <c r="K1486" t="s">
        <v>21</v>
      </c>
      <c r="L1486">
        <v>45671</v>
      </c>
      <c r="M1486" t="s">
        <v>107</v>
      </c>
    </row>
    <row r="1487" spans="1:13" x14ac:dyDescent="0.3">
      <c r="A1487" t="s">
        <v>5229</v>
      </c>
      <c r="B1487" t="s">
        <v>37</v>
      </c>
      <c r="C1487" t="s">
        <v>24</v>
      </c>
      <c r="D1487" t="s">
        <v>207</v>
      </c>
      <c r="E1487">
        <v>3041</v>
      </c>
      <c r="F1487" t="s">
        <v>5230</v>
      </c>
      <c r="G1487" t="s">
        <v>5231</v>
      </c>
      <c r="H1487" t="s">
        <v>5232</v>
      </c>
      <c r="I1487" t="s">
        <v>211</v>
      </c>
      <c r="J1487" t="s">
        <v>14</v>
      </c>
      <c r="K1487" t="s">
        <v>21</v>
      </c>
      <c r="L1487">
        <v>45667</v>
      </c>
      <c r="M1487" t="s">
        <v>394</v>
      </c>
    </row>
    <row r="1488" spans="1:13" x14ac:dyDescent="0.3">
      <c r="A1488" t="s">
        <v>5233</v>
      </c>
      <c r="B1488" t="s">
        <v>46</v>
      </c>
      <c r="C1488" t="s">
        <v>26</v>
      </c>
      <c r="D1488" t="s">
        <v>97</v>
      </c>
      <c r="E1488">
        <v>3036</v>
      </c>
      <c r="F1488" t="s">
        <v>5234</v>
      </c>
      <c r="G1488" t="s">
        <v>5235</v>
      </c>
      <c r="H1488" t="s">
        <v>5236</v>
      </c>
      <c r="I1488" t="s">
        <v>100</v>
      </c>
      <c r="J1488" t="s">
        <v>101</v>
      </c>
      <c r="K1488" t="s">
        <v>21</v>
      </c>
      <c r="L1488">
        <v>45680</v>
      </c>
      <c r="M1488" t="s">
        <v>292</v>
      </c>
    </row>
    <row r="1489" spans="1:13" x14ac:dyDescent="0.3">
      <c r="A1489" t="s">
        <v>5237</v>
      </c>
      <c r="B1489" t="s">
        <v>46</v>
      </c>
      <c r="C1489" t="s">
        <v>25</v>
      </c>
      <c r="D1489" t="s">
        <v>78</v>
      </c>
      <c r="E1489">
        <v>3035</v>
      </c>
      <c r="F1489" t="s">
        <v>790</v>
      </c>
      <c r="G1489" t="s">
        <v>5238</v>
      </c>
      <c r="H1489" t="s">
        <v>5239</v>
      </c>
      <c r="I1489" t="s">
        <v>81</v>
      </c>
      <c r="J1489" t="s">
        <v>82</v>
      </c>
      <c r="L1489">
        <v>45680</v>
      </c>
      <c r="M1489" t="s">
        <v>489</v>
      </c>
    </row>
    <row r="1490" spans="1:13" x14ac:dyDescent="0.3">
      <c r="A1490" t="s">
        <v>5240</v>
      </c>
      <c r="B1490" t="s">
        <v>37</v>
      </c>
      <c r="C1490" t="s">
        <v>26</v>
      </c>
      <c r="D1490" t="s">
        <v>104</v>
      </c>
      <c r="E1490">
        <v>3037</v>
      </c>
      <c r="F1490" t="s">
        <v>5241</v>
      </c>
      <c r="G1490" t="s">
        <v>5242</v>
      </c>
      <c r="H1490" t="s">
        <v>5242</v>
      </c>
      <c r="I1490" t="s">
        <v>12</v>
      </c>
      <c r="J1490" t="s">
        <v>13</v>
      </c>
      <c r="K1490" t="s">
        <v>21</v>
      </c>
      <c r="L1490">
        <v>45697</v>
      </c>
      <c r="M1490" t="s">
        <v>287</v>
      </c>
    </row>
    <row r="1491" spans="1:13" x14ac:dyDescent="0.3">
      <c r="A1491" t="s">
        <v>5243</v>
      </c>
      <c r="B1491" t="s">
        <v>46</v>
      </c>
      <c r="C1491" t="s">
        <v>22</v>
      </c>
      <c r="D1491" t="s">
        <v>104</v>
      </c>
      <c r="E1491">
        <v>3037</v>
      </c>
      <c r="F1491" t="s">
        <v>5244</v>
      </c>
      <c r="G1491" t="s">
        <v>5245</v>
      </c>
      <c r="H1491" t="s">
        <v>5246</v>
      </c>
      <c r="I1491" t="s">
        <v>12</v>
      </c>
      <c r="J1491" t="s">
        <v>13</v>
      </c>
      <c r="K1491" t="s">
        <v>21</v>
      </c>
      <c r="L1491">
        <v>45675</v>
      </c>
      <c r="M1491" t="s">
        <v>287</v>
      </c>
    </row>
    <row r="1492" spans="1:13" x14ac:dyDescent="0.3">
      <c r="A1492" t="s">
        <v>5247</v>
      </c>
      <c r="B1492" t="s">
        <v>46</v>
      </c>
      <c r="C1492" t="s">
        <v>22</v>
      </c>
      <c r="D1492" t="s">
        <v>118</v>
      </c>
      <c r="E1492">
        <v>3038</v>
      </c>
      <c r="F1492" t="s">
        <v>5248</v>
      </c>
      <c r="G1492" t="s">
        <v>5249</v>
      </c>
      <c r="H1492" t="s">
        <v>5249</v>
      </c>
      <c r="I1492" t="s">
        <v>122</v>
      </c>
      <c r="J1492" t="s">
        <v>123</v>
      </c>
      <c r="K1492" t="s">
        <v>21</v>
      </c>
      <c r="L1492">
        <v>45668</v>
      </c>
      <c r="M1492" t="s">
        <v>124</v>
      </c>
    </row>
    <row r="1493" spans="1:13" x14ac:dyDescent="0.3">
      <c r="A1493" t="s">
        <v>5250</v>
      </c>
      <c r="B1493" t="s">
        <v>37</v>
      </c>
      <c r="C1493" t="s">
        <v>22</v>
      </c>
      <c r="D1493" t="s">
        <v>47</v>
      </c>
      <c r="E1493">
        <v>3032</v>
      </c>
      <c r="F1493" t="s">
        <v>5251</v>
      </c>
      <c r="G1493" t="s">
        <v>5252</v>
      </c>
      <c r="H1493" t="s">
        <v>5252</v>
      </c>
      <c r="I1493" t="s">
        <v>51</v>
      </c>
      <c r="J1493" t="s">
        <v>52</v>
      </c>
      <c r="K1493" t="s">
        <v>21</v>
      </c>
      <c r="L1493">
        <v>45689</v>
      </c>
      <c r="M1493" t="s">
        <v>144</v>
      </c>
    </row>
    <row r="1494" spans="1:13" x14ac:dyDescent="0.3">
      <c r="A1494" t="s">
        <v>5253</v>
      </c>
      <c r="B1494" t="s">
        <v>37</v>
      </c>
      <c r="C1494" t="s">
        <v>26</v>
      </c>
      <c r="D1494" t="s">
        <v>71</v>
      </c>
      <c r="E1494">
        <v>3034</v>
      </c>
      <c r="F1494" t="s">
        <v>5254</v>
      </c>
      <c r="G1494" t="s">
        <v>5255</v>
      </c>
      <c r="H1494" t="s">
        <v>5255</v>
      </c>
      <c r="I1494" t="s">
        <v>74</v>
      </c>
      <c r="J1494" t="s">
        <v>75</v>
      </c>
      <c r="K1494" t="s">
        <v>21</v>
      </c>
      <c r="L1494">
        <v>45673</v>
      </c>
      <c r="M1494" t="s">
        <v>205</v>
      </c>
    </row>
    <row r="1495" spans="1:13" x14ac:dyDescent="0.3">
      <c r="A1495" t="s">
        <v>5256</v>
      </c>
      <c r="B1495" t="s">
        <v>46</v>
      </c>
      <c r="C1495" t="s">
        <v>25</v>
      </c>
      <c r="D1495" t="s">
        <v>444</v>
      </c>
      <c r="E1495">
        <v>3042</v>
      </c>
      <c r="F1495" t="s">
        <v>5257</v>
      </c>
      <c r="G1495" t="s">
        <v>5258</v>
      </c>
      <c r="H1495" t="s">
        <v>5258</v>
      </c>
      <c r="I1495" t="s">
        <v>448</v>
      </c>
      <c r="J1495" t="s">
        <v>449</v>
      </c>
      <c r="K1495" t="s">
        <v>21</v>
      </c>
      <c r="L1495">
        <v>45686</v>
      </c>
      <c r="M1495" t="s">
        <v>450</v>
      </c>
    </row>
    <row r="1496" spans="1:13" x14ac:dyDescent="0.3">
      <c r="A1496" t="s">
        <v>5259</v>
      </c>
      <c r="B1496" t="s">
        <v>37</v>
      </c>
      <c r="C1496" t="s">
        <v>26</v>
      </c>
      <c r="D1496" t="s">
        <v>136</v>
      </c>
      <c r="E1496">
        <v>3039</v>
      </c>
      <c r="F1496" t="s">
        <v>5260</v>
      </c>
      <c r="G1496" t="s">
        <v>5261</v>
      </c>
      <c r="H1496" t="s">
        <v>5262</v>
      </c>
      <c r="I1496" t="s">
        <v>15</v>
      </c>
      <c r="J1496" t="s">
        <v>14</v>
      </c>
      <c r="K1496" t="s">
        <v>21</v>
      </c>
      <c r="L1496">
        <v>45666</v>
      </c>
      <c r="M1496" t="s">
        <v>200</v>
      </c>
    </row>
    <row r="1497" spans="1:13" x14ac:dyDescent="0.3">
      <c r="A1497" t="s">
        <v>5263</v>
      </c>
      <c r="B1497" t="s">
        <v>37</v>
      </c>
      <c r="C1497" t="s">
        <v>24</v>
      </c>
      <c r="D1497" t="s">
        <v>55</v>
      </c>
      <c r="E1497">
        <v>3033</v>
      </c>
      <c r="F1497" t="s">
        <v>5264</v>
      </c>
      <c r="G1497" t="s">
        <v>5265</v>
      </c>
      <c r="H1497" t="s">
        <v>5265</v>
      </c>
      <c r="I1497" t="s">
        <v>58</v>
      </c>
      <c r="J1497" t="s">
        <v>59</v>
      </c>
      <c r="L1497">
        <v>45684</v>
      </c>
      <c r="M1497" t="s">
        <v>60</v>
      </c>
    </row>
    <row r="1498" spans="1:13" x14ac:dyDescent="0.3">
      <c r="A1498" t="s">
        <v>5266</v>
      </c>
      <c r="B1498" t="s">
        <v>46</v>
      </c>
      <c r="C1498" t="s">
        <v>26</v>
      </c>
      <c r="D1498" t="s">
        <v>55</v>
      </c>
      <c r="E1498">
        <v>3033</v>
      </c>
      <c r="F1498" t="s">
        <v>5267</v>
      </c>
      <c r="G1498" t="s">
        <v>5268</v>
      </c>
      <c r="H1498" t="s">
        <v>5268</v>
      </c>
      <c r="I1498" t="s">
        <v>58</v>
      </c>
      <c r="J1498" t="s">
        <v>59</v>
      </c>
      <c r="K1498" t="s">
        <v>21</v>
      </c>
      <c r="L1498">
        <v>45741</v>
      </c>
      <c r="M1498" t="s">
        <v>60</v>
      </c>
    </row>
    <row r="1499" spans="1:13" x14ac:dyDescent="0.3">
      <c r="A1499" t="s">
        <v>5269</v>
      </c>
      <c r="B1499" t="s">
        <v>37</v>
      </c>
      <c r="C1499" t="s">
        <v>24</v>
      </c>
      <c r="D1499" t="s">
        <v>444</v>
      </c>
      <c r="E1499">
        <v>3042</v>
      </c>
      <c r="F1499" t="s">
        <v>5270</v>
      </c>
      <c r="G1499" t="s">
        <v>5271</v>
      </c>
      <c r="H1499" t="s">
        <v>5271</v>
      </c>
      <c r="I1499" t="s">
        <v>448</v>
      </c>
      <c r="J1499" t="s">
        <v>449</v>
      </c>
      <c r="L1499">
        <v>45734</v>
      </c>
      <c r="M1499" t="s">
        <v>224</v>
      </c>
    </row>
    <row r="1500" spans="1:13" x14ac:dyDescent="0.3">
      <c r="A1500" t="s">
        <v>5272</v>
      </c>
      <c r="B1500" t="s">
        <v>37</v>
      </c>
      <c r="C1500" t="s">
        <v>25</v>
      </c>
      <c r="D1500" t="s">
        <v>444</v>
      </c>
      <c r="E1500">
        <v>3042</v>
      </c>
      <c r="F1500" t="s">
        <v>5273</v>
      </c>
      <c r="G1500" t="s">
        <v>5274</v>
      </c>
      <c r="H1500" t="s">
        <v>5274</v>
      </c>
      <c r="I1500" t="s">
        <v>448</v>
      </c>
      <c r="J1500" t="s">
        <v>449</v>
      </c>
      <c r="K1500" t="s">
        <v>21</v>
      </c>
      <c r="L1500">
        <v>45743</v>
      </c>
      <c r="M1500" t="s">
        <v>107</v>
      </c>
    </row>
    <row r="1501" spans="1:13" x14ac:dyDescent="0.3">
      <c r="A1501" t="s">
        <v>5275</v>
      </c>
      <c r="B1501" t="s">
        <v>46</v>
      </c>
      <c r="C1501" t="s">
        <v>26</v>
      </c>
      <c r="D1501" t="s">
        <v>444</v>
      </c>
      <c r="E1501">
        <v>3042</v>
      </c>
      <c r="F1501" t="s">
        <v>5276</v>
      </c>
      <c r="G1501" t="s">
        <v>5277</v>
      </c>
      <c r="H1501" t="s">
        <v>5277</v>
      </c>
      <c r="I1501" t="s">
        <v>448</v>
      </c>
      <c r="J1501" t="s">
        <v>449</v>
      </c>
      <c r="K1501" t="s">
        <v>21</v>
      </c>
      <c r="L1501">
        <v>45674</v>
      </c>
      <c r="M1501" t="s">
        <v>363</v>
      </c>
    </row>
    <row r="1502" spans="1:13" x14ac:dyDescent="0.3">
      <c r="A1502" t="s">
        <v>5278</v>
      </c>
      <c r="B1502" t="s">
        <v>37</v>
      </c>
      <c r="C1502" t="s">
        <v>25</v>
      </c>
      <c r="D1502" t="s">
        <v>97</v>
      </c>
      <c r="E1502">
        <v>3036</v>
      </c>
      <c r="F1502" t="s">
        <v>5279</v>
      </c>
      <c r="G1502" t="s">
        <v>5280</v>
      </c>
      <c r="H1502" t="s">
        <v>5280</v>
      </c>
      <c r="I1502" t="s">
        <v>100</v>
      </c>
      <c r="J1502" t="s">
        <v>101</v>
      </c>
      <c r="K1502" t="s">
        <v>21</v>
      </c>
      <c r="L1502">
        <v>45677</v>
      </c>
      <c r="M1502" t="s">
        <v>102</v>
      </c>
    </row>
    <row r="1503" spans="1:13" x14ac:dyDescent="0.3">
      <c r="A1503" t="s">
        <v>5281</v>
      </c>
      <c r="B1503" t="s">
        <v>46</v>
      </c>
      <c r="C1503" t="s">
        <v>24</v>
      </c>
      <c r="D1503" t="s">
        <v>71</v>
      </c>
      <c r="E1503">
        <v>3034</v>
      </c>
      <c r="F1503" t="s">
        <v>5282</v>
      </c>
      <c r="G1503" t="s">
        <v>5283</v>
      </c>
      <c r="H1503" t="s">
        <v>5284</v>
      </c>
      <c r="I1503" t="s">
        <v>74</v>
      </c>
      <c r="J1503" t="s">
        <v>75</v>
      </c>
      <c r="K1503" t="s">
        <v>21</v>
      </c>
      <c r="L1503">
        <v>45742</v>
      </c>
      <c r="M1503" t="s">
        <v>76</v>
      </c>
    </row>
    <row r="1504" spans="1:13" x14ac:dyDescent="0.3">
      <c r="A1504" t="s">
        <v>5285</v>
      </c>
      <c r="B1504" t="s">
        <v>46</v>
      </c>
      <c r="C1504" t="s">
        <v>22</v>
      </c>
      <c r="D1504" t="s">
        <v>71</v>
      </c>
      <c r="E1504">
        <v>3034</v>
      </c>
      <c r="F1504" t="s">
        <v>5286</v>
      </c>
      <c r="G1504" t="s">
        <v>5287</v>
      </c>
      <c r="H1504" t="s">
        <v>5287</v>
      </c>
      <c r="I1504" t="s">
        <v>74</v>
      </c>
      <c r="J1504" t="s">
        <v>75</v>
      </c>
      <c r="L1504">
        <v>45728</v>
      </c>
      <c r="M1504" t="s">
        <v>205</v>
      </c>
    </row>
    <row r="1505" spans="1:13" x14ac:dyDescent="0.3">
      <c r="A1505" t="s">
        <v>5288</v>
      </c>
      <c r="B1505" t="s">
        <v>46</v>
      </c>
      <c r="C1505" t="s">
        <v>22</v>
      </c>
      <c r="D1505" t="s">
        <v>104</v>
      </c>
      <c r="E1505">
        <v>3037</v>
      </c>
      <c r="F1505" t="s">
        <v>5289</v>
      </c>
      <c r="G1505" t="s">
        <v>5290</v>
      </c>
      <c r="H1505" t="s">
        <v>5291</v>
      </c>
      <c r="I1505" t="s">
        <v>12</v>
      </c>
      <c r="J1505" t="s">
        <v>13</v>
      </c>
      <c r="L1505">
        <v>45667</v>
      </c>
      <c r="M1505" t="s">
        <v>224</v>
      </c>
    </row>
    <row r="1506" spans="1:13" x14ac:dyDescent="0.3">
      <c r="A1506" t="s">
        <v>5292</v>
      </c>
      <c r="B1506" t="s">
        <v>46</v>
      </c>
      <c r="C1506" t="s">
        <v>24</v>
      </c>
      <c r="D1506" t="s">
        <v>136</v>
      </c>
      <c r="E1506">
        <v>3039</v>
      </c>
      <c r="F1506" t="s">
        <v>105</v>
      </c>
      <c r="G1506" t="s">
        <v>5293</v>
      </c>
      <c r="H1506" t="s">
        <v>5293</v>
      </c>
      <c r="I1506" t="s">
        <v>15</v>
      </c>
      <c r="J1506" t="s">
        <v>14</v>
      </c>
      <c r="L1506">
        <v>45659</v>
      </c>
      <c r="M1506" t="s">
        <v>95</v>
      </c>
    </row>
    <row r="1507" spans="1:13" x14ac:dyDescent="0.3">
      <c r="A1507" t="s">
        <v>5294</v>
      </c>
      <c r="B1507" t="s">
        <v>37</v>
      </c>
      <c r="C1507" t="s">
        <v>22</v>
      </c>
      <c r="D1507" t="s">
        <v>191</v>
      </c>
      <c r="E1507">
        <v>3040</v>
      </c>
      <c r="F1507" t="s">
        <v>5295</v>
      </c>
      <c r="G1507" t="s">
        <v>5296</v>
      </c>
      <c r="H1507" t="s">
        <v>5296</v>
      </c>
      <c r="I1507" t="s">
        <v>194</v>
      </c>
      <c r="J1507" t="s">
        <v>13</v>
      </c>
      <c r="K1507" t="s">
        <v>21</v>
      </c>
      <c r="L1507">
        <v>45738</v>
      </c>
      <c r="M1507" t="s">
        <v>321</v>
      </c>
    </row>
    <row r="1508" spans="1:13" x14ac:dyDescent="0.3">
      <c r="A1508" t="s">
        <v>5297</v>
      </c>
      <c r="B1508" t="s">
        <v>46</v>
      </c>
      <c r="C1508" t="s">
        <v>24</v>
      </c>
      <c r="D1508" t="s">
        <v>207</v>
      </c>
      <c r="E1508">
        <v>3041</v>
      </c>
      <c r="F1508" t="s">
        <v>5298</v>
      </c>
      <c r="G1508" t="s">
        <v>5299</v>
      </c>
      <c r="H1508" t="s">
        <v>5299</v>
      </c>
      <c r="I1508" t="s">
        <v>211</v>
      </c>
      <c r="J1508" t="s">
        <v>14</v>
      </c>
      <c r="L1508">
        <v>45666</v>
      </c>
      <c r="M1508" t="s">
        <v>577</v>
      </c>
    </row>
    <row r="1509" spans="1:13" x14ac:dyDescent="0.3">
      <c r="A1509" t="s">
        <v>5300</v>
      </c>
      <c r="B1509" t="s">
        <v>37</v>
      </c>
      <c r="C1509" t="s">
        <v>26</v>
      </c>
      <c r="D1509" t="s">
        <v>38</v>
      </c>
      <c r="E1509">
        <v>3031</v>
      </c>
      <c r="F1509" t="s">
        <v>5301</v>
      </c>
      <c r="G1509" t="s">
        <v>5302</v>
      </c>
      <c r="H1509" t="s">
        <v>5302</v>
      </c>
      <c r="I1509" t="s">
        <v>42</v>
      </c>
      <c r="J1509" t="s">
        <v>43</v>
      </c>
      <c r="K1509" t="s">
        <v>21</v>
      </c>
      <c r="L1509">
        <v>45679</v>
      </c>
      <c r="M1509" t="s">
        <v>76</v>
      </c>
    </row>
    <row r="1510" spans="1:13" x14ac:dyDescent="0.3">
      <c r="A1510" t="s">
        <v>5303</v>
      </c>
      <c r="B1510" t="s">
        <v>37</v>
      </c>
      <c r="C1510" t="s">
        <v>24</v>
      </c>
      <c r="D1510" t="s">
        <v>118</v>
      </c>
      <c r="E1510">
        <v>3038</v>
      </c>
      <c r="F1510" t="s">
        <v>5304</v>
      </c>
      <c r="G1510" t="s">
        <v>5305</v>
      </c>
      <c r="H1510" t="s">
        <v>5306</v>
      </c>
      <c r="I1510" t="s">
        <v>122</v>
      </c>
      <c r="J1510" t="s">
        <v>123</v>
      </c>
      <c r="L1510">
        <v>45718</v>
      </c>
      <c r="M1510" t="s">
        <v>389</v>
      </c>
    </row>
    <row r="1511" spans="1:13" x14ac:dyDescent="0.3">
      <c r="A1511" t="s">
        <v>5307</v>
      </c>
      <c r="B1511" t="s">
        <v>37</v>
      </c>
      <c r="C1511" t="s">
        <v>26</v>
      </c>
      <c r="D1511" t="s">
        <v>207</v>
      </c>
      <c r="E1511">
        <v>3041</v>
      </c>
      <c r="F1511" t="s">
        <v>5308</v>
      </c>
      <c r="G1511" t="s">
        <v>5309</v>
      </c>
      <c r="H1511" t="s">
        <v>5310</v>
      </c>
      <c r="I1511" t="s">
        <v>211</v>
      </c>
      <c r="J1511" t="s">
        <v>14</v>
      </c>
      <c r="L1511">
        <v>45725</v>
      </c>
      <c r="M1511" t="s">
        <v>363</v>
      </c>
    </row>
    <row r="1512" spans="1:13" x14ac:dyDescent="0.3">
      <c r="A1512" t="s">
        <v>5311</v>
      </c>
      <c r="B1512" t="s">
        <v>46</v>
      </c>
      <c r="C1512" t="s">
        <v>22</v>
      </c>
      <c r="D1512" t="s">
        <v>97</v>
      </c>
      <c r="E1512">
        <v>3036</v>
      </c>
      <c r="F1512" t="s">
        <v>5312</v>
      </c>
      <c r="G1512" t="s">
        <v>5313</v>
      </c>
      <c r="H1512" t="s">
        <v>5313</v>
      </c>
      <c r="I1512" t="s">
        <v>100</v>
      </c>
      <c r="J1512" t="s">
        <v>101</v>
      </c>
      <c r="K1512" t="s">
        <v>21</v>
      </c>
      <c r="L1512">
        <v>45680</v>
      </c>
      <c r="M1512" t="s">
        <v>165</v>
      </c>
    </row>
    <row r="1513" spans="1:13" x14ac:dyDescent="0.3">
      <c r="A1513" t="s">
        <v>5314</v>
      </c>
      <c r="B1513" t="s">
        <v>37</v>
      </c>
      <c r="C1513" t="s">
        <v>22</v>
      </c>
      <c r="D1513" t="s">
        <v>38</v>
      </c>
      <c r="E1513">
        <v>3031</v>
      </c>
      <c r="F1513" t="s">
        <v>5315</v>
      </c>
      <c r="G1513" t="s">
        <v>5316</v>
      </c>
      <c r="H1513" t="s">
        <v>5316</v>
      </c>
      <c r="I1513" t="s">
        <v>42</v>
      </c>
      <c r="J1513" t="s">
        <v>43</v>
      </c>
      <c r="L1513">
        <v>45741</v>
      </c>
      <c r="M1513" t="s">
        <v>420</v>
      </c>
    </row>
    <row r="1514" spans="1:13" x14ac:dyDescent="0.3">
      <c r="A1514" t="s">
        <v>5317</v>
      </c>
      <c r="B1514" t="s">
        <v>46</v>
      </c>
      <c r="C1514" t="s">
        <v>24</v>
      </c>
      <c r="D1514" t="s">
        <v>207</v>
      </c>
      <c r="E1514">
        <v>3041</v>
      </c>
      <c r="F1514" t="s">
        <v>5318</v>
      </c>
      <c r="G1514" t="s">
        <v>5319</v>
      </c>
      <c r="H1514" t="s">
        <v>5319</v>
      </c>
      <c r="I1514" t="s">
        <v>211</v>
      </c>
      <c r="J1514" t="s">
        <v>14</v>
      </c>
      <c r="L1514">
        <v>45707</v>
      </c>
      <c r="M1514" t="s">
        <v>394</v>
      </c>
    </row>
    <row r="1515" spans="1:13" x14ac:dyDescent="0.3">
      <c r="A1515" t="s">
        <v>5320</v>
      </c>
      <c r="B1515" t="s">
        <v>46</v>
      </c>
      <c r="C1515" t="s">
        <v>26</v>
      </c>
      <c r="D1515" t="s">
        <v>104</v>
      </c>
      <c r="E1515">
        <v>3037</v>
      </c>
      <c r="F1515" t="s">
        <v>5321</v>
      </c>
      <c r="G1515" t="s">
        <v>5322</v>
      </c>
      <c r="H1515" t="s">
        <v>5322</v>
      </c>
      <c r="I1515" t="s">
        <v>12</v>
      </c>
      <c r="J1515" t="s">
        <v>13</v>
      </c>
      <c r="L1515">
        <v>45687</v>
      </c>
      <c r="M1515" t="s">
        <v>76</v>
      </c>
    </row>
    <row r="1516" spans="1:13" x14ac:dyDescent="0.3">
      <c r="A1516" t="s">
        <v>5323</v>
      </c>
      <c r="B1516" t="s">
        <v>37</v>
      </c>
      <c r="C1516" t="s">
        <v>26</v>
      </c>
      <c r="D1516" t="s">
        <v>97</v>
      </c>
      <c r="E1516">
        <v>3036</v>
      </c>
      <c r="F1516" t="s">
        <v>5324</v>
      </c>
      <c r="G1516" t="s">
        <v>5325</v>
      </c>
      <c r="H1516" t="s">
        <v>5326</v>
      </c>
      <c r="I1516" t="s">
        <v>100</v>
      </c>
      <c r="J1516" t="s">
        <v>101</v>
      </c>
      <c r="L1516">
        <v>45694</v>
      </c>
      <c r="M1516" t="s">
        <v>165</v>
      </c>
    </row>
    <row r="1517" spans="1:13" x14ac:dyDescent="0.3">
      <c r="A1517" t="s">
        <v>5327</v>
      </c>
      <c r="B1517" t="s">
        <v>46</v>
      </c>
      <c r="C1517" t="s">
        <v>22</v>
      </c>
      <c r="D1517" t="s">
        <v>71</v>
      </c>
      <c r="E1517">
        <v>3034</v>
      </c>
      <c r="F1517" t="s">
        <v>5328</v>
      </c>
      <c r="G1517" t="s">
        <v>5329</v>
      </c>
      <c r="H1517" t="s">
        <v>5330</v>
      </c>
      <c r="I1517" t="s">
        <v>74</v>
      </c>
      <c r="J1517" t="s">
        <v>75</v>
      </c>
      <c r="L1517">
        <v>45658</v>
      </c>
      <c r="M1517" t="s">
        <v>112</v>
      </c>
    </row>
    <row r="1518" spans="1:13" x14ac:dyDescent="0.3">
      <c r="A1518" t="s">
        <v>5331</v>
      </c>
      <c r="B1518" t="s">
        <v>37</v>
      </c>
      <c r="C1518" t="s">
        <v>22</v>
      </c>
      <c r="D1518" t="s">
        <v>78</v>
      </c>
      <c r="E1518">
        <v>3035</v>
      </c>
      <c r="F1518" t="s">
        <v>5332</v>
      </c>
      <c r="G1518" t="s">
        <v>5333</v>
      </c>
      <c r="H1518" t="s">
        <v>5333</v>
      </c>
      <c r="I1518" t="s">
        <v>81</v>
      </c>
      <c r="J1518" t="s">
        <v>82</v>
      </c>
      <c r="K1518" t="s">
        <v>21</v>
      </c>
      <c r="L1518">
        <v>45685</v>
      </c>
      <c r="M1518" t="s">
        <v>205</v>
      </c>
    </row>
    <row r="1519" spans="1:13" x14ac:dyDescent="0.3">
      <c r="A1519" t="s">
        <v>5334</v>
      </c>
      <c r="B1519" t="s">
        <v>37</v>
      </c>
      <c r="C1519" t="s">
        <v>26</v>
      </c>
      <c r="D1519" t="s">
        <v>104</v>
      </c>
      <c r="E1519">
        <v>3037</v>
      </c>
      <c r="F1519" t="s">
        <v>5335</v>
      </c>
      <c r="G1519" t="s">
        <v>5336</v>
      </c>
      <c r="H1519" t="s">
        <v>5337</v>
      </c>
      <c r="I1519" t="s">
        <v>12</v>
      </c>
      <c r="J1519" t="s">
        <v>13</v>
      </c>
      <c r="K1519" t="s">
        <v>21</v>
      </c>
      <c r="L1519">
        <v>45727</v>
      </c>
      <c r="M1519" t="s">
        <v>287</v>
      </c>
    </row>
    <row r="1520" spans="1:13" x14ac:dyDescent="0.3">
      <c r="A1520" t="s">
        <v>5338</v>
      </c>
      <c r="B1520" t="s">
        <v>46</v>
      </c>
      <c r="C1520" t="s">
        <v>24</v>
      </c>
      <c r="D1520" t="s">
        <v>207</v>
      </c>
      <c r="E1520">
        <v>3041</v>
      </c>
      <c r="F1520" t="s">
        <v>5339</v>
      </c>
      <c r="G1520" t="s">
        <v>5340</v>
      </c>
      <c r="H1520" t="s">
        <v>5341</v>
      </c>
      <c r="I1520" t="s">
        <v>211</v>
      </c>
      <c r="J1520" t="s">
        <v>14</v>
      </c>
      <c r="K1520" t="s">
        <v>21</v>
      </c>
      <c r="L1520">
        <v>45664</v>
      </c>
      <c r="M1520" t="s">
        <v>363</v>
      </c>
    </row>
    <row r="1521" spans="1:13" x14ac:dyDescent="0.3">
      <c r="A1521" t="s">
        <v>5342</v>
      </c>
      <c r="B1521" t="s">
        <v>37</v>
      </c>
      <c r="C1521" t="s">
        <v>26</v>
      </c>
      <c r="D1521" t="s">
        <v>104</v>
      </c>
      <c r="E1521">
        <v>3037</v>
      </c>
      <c r="F1521" t="s">
        <v>5343</v>
      </c>
      <c r="G1521" t="s">
        <v>5344</v>
      </c>
      <c r="H1521" t="s">
        <v>5345</v>
      </c>
      <c r="I1521" t="s">
        <v>12</v>
      </c>
      <c r="J1521" t="s">
        <v>13</v>
      </c>
      <c r="L1521">
        <v>45743</v>
      </c>
      <c r="M1521" t="s">
        <v>189</v>
      </c>
    </row>
    <row r="1522" spans="1:13" x14ac:dyDescent="0.3">
      <c r="A1522" t="s">
        <v>5346</v>
      </c>
      <c r="B1522" t="s">
        <v>46</v>
      </c>
      <c r="C1522" t="s">
        <v>26</v>
      </c>
      <c r="D1522" t="s">
        <v>47</v>
      </c>
      <c r="E1522">
        <v>3032</v>
      </c>
      <c r="F1522" t="s">
        <v>5347</v>
      </c>
      <c r="G1522" t="s">
        <v>5348</v>
      </c>
      <c r="H1522" t="s">
        <v>5348</v>
      </c>
      <c r="I1522" t="s">
        <v>51</v>
      </c>
      <c r="J1522" t="s">
        <v>52</v>
      </c>
      <c r="K1522" t="s">
        <v>21</v>
      </c>
      <c r="L1522">
        <v>45698</v>
      </c>
      <c r="M1522" t="s">
        <v>53</v>
      </c>
    </row>
    <row r="1523" spans="1:13" x14ac:dyDescent="0.3">
      <c r="A1523" t="s">
        <v>5349</v>
      </c>
      <c r="B1523" t="s">
        <v>46</v>
      </c>
      <c r="C1523" t="s">
        <v>25</v>
      </c>
      <c r="D1523" t="s">
        <v>78</v>
      </c>
      <c r="E1523">
        <v>3035</v>
      </c>
      <c r="F1523" t="s">
        <v>5350</v>
      </c>
      <c r="G1523" t="s">
        <v>5351</v>
      </c>
      <c r="H1523" t="s">
        <v>5352</v>
      </c>
      <c r="I1523" t="s">
        <v>81</v>
      </c>
      <c r="J1523" t="s">
        <v>82</v>
      </c>
      <c r="L1523">
        <v>45708</v>
      </c>
      <c r="M1523" t="s">
        <v>95</v>
      </c>
    </row>
    <row r="1524" spans="1:13" x14ac:dyDescent="0.3">
      <c r="A1524" t="s">
        <v>5353</v>
      </c>
      <c r="B1524" t="s">
        <v>37</v>
      </c>
      <c r="C1524" t="s">
        <v>24</v>
      </c>
      <c r="D1524" t="s">
        <v>444</v>
      </c>
      <c r="E1524">
        <v>3042</v>
      </c>
      <c r="F1524" t="s">
        <v>5354</v>
      </c>
      <c r="G1524" t="s">
        <v>5355</v>
      </c>
      <c r="H1524" t="s">
        <v>5356</v>
      </c>
      <c r="I1524" t="s">
        <v>448</v>
      </c>
      <c r="J1524" t="s">
        <v>449</v>
      </c>
      <c r="L1524">
        <v>45712</v>
      </c>
      <c r="M1524" t="s">
        <v>722</v>
      </c>
    </row>
    <row r="1525" spans="1:13" x14ac:dyDescent="0.3">
      <c r="A1525" t="s">
        <v>5357</v>
      </c>
      <c r="B1525" t="s">
        <v>46</v>
      </c>
      <c r="C1525" t="s">
        <v>22</v>
      </c>
      <c r="D1525" t="s">
        <v>444</v>
      </c>
      <c r="E1525">
        <v>3042</v>
      </c>
      <c r="F1525" t="s">
        <v>5358</v>
      </c>
      <c r="G1525" t="s">
        <v>5359</v>
      </c>
      <c r="H1525" t="s">
        <v>5360</v>
      </c>
      <c r="I1525" t="s">
        <v>448</v>
      </c>
      <c r="J1525" t="s">
        <v>449</v>
      </c>
      <c r="L1525">
        <v>45707</v>
      </c>
      <c r="M1525" t="s">
        <v>722</v>
      </c>
    </row>
    <row r="1526" spans="1:13" x14ac:dyDescent="0.3">
      <c r="A1526" t="s">
        <v>5361</v>
      </c>
      <c r="B1526" t="s">
        <v>46</v>
      </c>
      <c r="C1526" t="s">
        <v>25</v>
      </c>
      <c r="D1526" t="s">
        <v>47</v>
      </c>
      <c r="E1526">
        <v>3032</v>
      </c>
      <c r="F1526" t="s">
        <v>5362</v>
      </c>
      <c r="G1526" t="s">
        <v>5363</v>
      </c>
      <c r="H1526" t="s">
        <v>5364</v>
      </c>
      <c r="I1526" t="s">
        <v>51</v>
      </c>
      <c r="J1526" t="s">
        <v>52</v>
      </c>
      <c r="L1526">
        <v>45727</v>
      </c>
      <c r="M1526" t="s">
        <v>177</v>
      </c>
    </row>
    <row r="1527" spans="1:13" x14ac:dyDescent="0.3">
      <c r="A1527" t="s">
        <v>5365</v>
      </c>
      <c r="B1527" t="s">
        <v>37</v>
      </c>
      <c r="C1527" t="s">
        <v>26</v>
      </c>
      <c r="D1527" t="s">
        <v>38</v>
      </c>
      <c r="E1527">
        <v>3031</v>
      </c>
      <c r="F1527" t="s">
        <v>5366</v>
      </c>
      <c r="G1527" t="s">
        <v>5367</v>
      </c>
      <c r="H1527" t="s">
        <v>5367</v>
      </c>
      <c r="I1527" t="s">
        <v>42</v>
      </c>
      <c r="J1527" t="s">
        <v>43</v>
      </c>
      <c r="L1527">
        <v>45712</v>
      </c>
      <c r="M1527" t="s">
        <v>128</v>
      </c>
    </row>
    <row r="1528" spans="1:13" x14ac:dyDescent="0.3">
      <c r="A1528" t="s">
        <v>5368</v>
      </c>
      <c r="B1528" t="s">
        <v>46</v>
      </c>
      <c r="C1528" t="s">
        <v>25</v>
      </c>
      <c r="D1528" t="s">
        <v>104</v>
      </c>
      <c r="E1528">
        <v>3037</v>
      </c>
      <c r="F1528" t="s">
        <v>5369</v>
      </c>
      <c r="G1528" t="s">
        <v>5370</v>
      </c>
      <c r="H1528" t="s">
        <v>5371</v>
      </c>
      <c r="I1528" t="s">
        <v>12</v>
      </c>
      <c r="J1528" t="s">
        <v>13</v>
      </c>
      <c r="L1528">
        <v>45743</v>
      </c>
      <c r="M1528" t="s">
        <v>107</v>
      </c>
    </row>
    <row r="1529" spans="1:13" x14ac:dyDescent="0.3">
      <c r="A1529" t="s">
        <v>5372</v>
      </c>
      <c r="B1529" t="s">
        <v>37</v>
      </c>
      <c r="C1529" t="s">
        <v>24</v>
      </c>
      <c r="D1529" t="s">
        <v>78</v>
      </c>
      <c r="E1529">
        <v>3035</v>
      </c>
      <c r="F1529" t="s">
        <v>5373</v>
      </c>
      <c r="G1529" t="s">
        <v>5374</v>
      </c>
      <c r="H1529" t="s">
        <v>5374</v>
      </c>
      <c r="I1529" t="s">
        <v>81</v>
      </c>
      <c r="J1529" t="s">
        <v>82</v>
      </c>
      <c r="L1529">
        <v>45689</v>
      </c>
      <c r="M1529" t="s">
        <v>205</v>
      </c>
    </row>
    <row r="1530" spans="1:13" x14ac:dyDescent="0.3">
      <c r="A1530" t="s">
        <v>5375</v>
      </c>
      <c r="B1530" t="s">
        <v>46</v>
      </c>
      <c r="C1530" t="s">
        <v>24</v>
      </c>
      <c r="D1530" t="s">
        <v>207</v>
      </c>
      <c r="E1530">
        <v>3041</v>
      </c>
      <c r="F1530" t="s">
        <v>5376</v>
      </c>
      <c r="G1530" t="s">
        <v>5377</v>
      </c>
      <c r="H1530" t="s">
        <v>5377</v>
      </c>
      <c r="I1530" t="s">
        <v>211</v>
      </c>
      <c r="J1530" t="s">
        <v>14</v>
      </c>
      <c r="K1530" t="s">
        <v>21</v>
      </c>
      <c r="L1530">
        <v>45705</v>
      </c>
      <c r="M1530" t="s">
        <v>577</v>
      </c>
    </row>
    <row r="1531" spans="1:13" x14ac:dyDescent="0.3">
      <c r="A1531" t="s">
        <v>5378</v>
      </c>
      <c r="B1531" t="s">
        <v>37</v>
      </c>
      <c r="C1531" t="s">
        <v>22</v>
      </c>
      <c r="D1531" t="s">
        <v>47</v>
      </c>
      <c r="E1531">
        <v>3032</v>
      </c>
      <c r="F1531" t="s">
        <v>5379</v>
      </c>
      <c r="G1531" t="s">
        <v>5380</v>
      </c>
      <c r="H1531" t="s">
        <v>5381</v>
      </c>
      <c r="I1531" t="s">
        <v>51</v>
      </c>
      <c r="J1531" t="s">
        <v>52</v>
      </c>
      <c r="L1531">
        <v>45714</v>
      </c>
      <c r="M1531" t="s">
        <v>881</v>
      </c>
    </row>
    <row r="1532" spans="1:13" x14ac:dyDescent="0.3">
      <c r="A1532" t="s">
        <v>5382</v>
      </c>
      <c r="B1532" t="s">
        <v>46</v>
      </c>
      <c r="C1532" t="s">
        <v>24</v>
      </c>
      <c r="D1532" t="s">
        <v>78</v>
      </c>
      <c r="E1532">
        <v>3035</v>
      </c>
      <c r="F1532" t="s">
        <v>5383</v>
      </c>
      <c r="G1532" t="s">
        <v>5384</v>
      </c>
      <c r="H1532" t="s">
        <v>5385</v>
      </c>
      <c r="I1532" t="s">
        <v>81</v>
      </c>
      <c r="J1532" t="s">
        <v>82</v>
      </c>
      <c r="L1532">
        <v>45673</v>
      </c>
      <c r="M1532" t="s">
        <v>69</v>
      </c>
    </row>
    <row r="1533" spans="1:13" x14ac:dyDescent="0.3">
      <c r="A1533" t="s">
        <v>5386</v>
      </c>
      <c r="B1533" t="s">
        <v>46</v>
      </c>
      <c r="C1533" t="s">
        <v>24</v>
      </c>
      <c r="D1533" t="s">
        <v>104</v>
      </c>
      <c r="E1533">
        <v>3037</v>
      </c>
      <c r="F1533" t="s">
        <v>5387</v>
      </c>
      <c r="G1533" t="s">
        <v>5388</v>
      </c>
      <c r="H1533" t="s">
        <v>5389</v>
      </c>
      <c r="I1533" t="s">
        <v>12</v>
      </c>
      <c r="J1533" t="s">
        <v>13</v>
      </c>
      <c r="K1533" t="s">
        <v>21</v>
      </c>
      <c r="L1533">
        <v>45671</v>
      </c>
      <c r="M1533" t="s">
        <v>224</v>
      </c>
    </row>
    <row r="1534" spans="1:13" x14ac:dyDescent="0.3">
      <c r="A1534" t="s">
        <v>5390</v>
      </c>
      <c r="B1534" t="s">
        <v>46</v>
      </c>
      <c r="C1534" t="s">
        <v>24</v>
      </c>
      <c r="D1534" t="s">
        <v>71</v>
      </c>
      <c r="E1534">
        <v>3034</v>
      </c>
      <c r="F1534" t="s">
        <v>5391</v>
      </c>
      <c r="G1534" t="s">
        <v>5392</v>
      </c>
      <c r="H1534" t="s">
        <v>5392</v>
      </c>
      <c r="I1534" t="s">
        <v>74</v>
      </c>
      <c r="J1534" t="s">
        <v>75</v>
      </c>
      <c r="L1534">
        <v>45728</v>
      </c>
      <c r="M1534" t="s">
        <v>205</v>
      </c>
    </row>
    <row r="1535" spans="1:13" x14ac:dyDescent="0.3">
      <c r="A1535" t="s">
        <v>5393</v>
      </c>
      <c r="B1535" t="s">
        <v>46</v>
      </c>
      <c r="C1535" t="s">
        <v>25</v>
      </c>
      <c r="D1535" t="s">
        <v>444</v>
      </c>
      <c r="E1535">
        <v>3042</v>
      </c>
      <c r="F1535" t="s">
        <v>5394</v>
      </c>
      <c r="G1535" t="s">
        <v>5395</v>
      </c>
      <c r="H1535" t="s">
        <v>5395</v>
      </c>
      <c r="I1535" t="s">
        <v>448</v>
      </c>
      <c r="J1535" t="s">
        <v>449</v>
      </c>
      <c r="L1535">
        <v>45691</v>
      </c>
      <c r="M1535" t="s">
        <v>722</v>
      </c>
    </row>
    <row r="1536" spans="1:13" x14ac:dyDescent="0.3">
      <c r="A1536" t="s">
        <v>5396</v>
      </c>
      <c r="B1536" t="s">
        <v>46</v>
      </c>
      <c r="C1536" t="s">
        <v>24</v>
      </c>
      <c r="D1536" t="s">
        <v>47</v>
      </c>
      <c r="E1536">
        <v>3032</v>
      </c>
      <c r="F1536" t="s">
        <v>5397</v>
      </c>
      <c r="G1536" t="s">
        <v>5398</v>
      </c>
      <c r="H1536" t="s">
        <v>5399</v>
      </c>
      <c r="I1536" t="s">
        <v>51</v>
      </c>
      <c r="J1536" t="s">
        <v>52</v>
      </c>
      <c r="L1536">
        <v>45677</v>
      </c>
      <c r="M1536" t="s">
        <v>144</v>
      </c>
    </row>
    <row r="1537" spans="1:13" x14ac:dyDescent="0.3">
      <c r="A1537" t="s">
        <v>5400</v>
      </c>
      <c r="B1537" t="s">
        <v>37</v>
      </c>
      <c r="C1537" t="s">
        <v>25</v>
      </c>
      <c r="D1537" t="s">
        <v>104</v>
      </c>
      <c r="E1537">
        <v>3037</v>
      </c>
      <c r="F1537" t="s">
        <v>5401</v>
      </c>
      <c r="G1537" t="s">
        <v>5402</v>
      </c>
      <c r="H1537" t="s">
        <v>5403</v>
      </c>
      <c r="I1537" t="s">
        <v>12</v>
      </c>
      <c r="J1537" t="s">
        <v>13</v>
      </c>
      <c r="L1537">
        <v>45664</v>
      </c>
      <c r="M1537" t="s">
        <v>287</v>
      </c>
    </row>
    <row r="1538" spans="1:13" x14ac:dyDescent="0.3">
      <c r="A1538" t="s">
        <v>5404</v>
      </c>
      <c r="B1538" t="s">
        <v>37</v>
      </c>
      <c r="C1538" t="s">
        <v>22</v>
      </c>
      <c r="D1538" t="s">
        <v>207</v>
      </c>
      <c r="E1538">
        <v>3041</v>
      </c>
      <c r="F1538" t="s">
        <v>5405</v>
      </c>
      <c r="G1538" t="s">
        <v>5406</v>
      </c>
      <c r="H1538" t="s">
        <v>5407</v>
      </c>
      <c r="I1538" t="s">
        <v>211</v>
      </c>
      <c r="J1538" t="s">
        <v>14</v>
      </c>
      <c r="K1538" t="s">
        <v>21</v>
      </c>
      <c r="L1538">
        <v>45666</v>
      </c>
      <c r="M1538" t="s">
        <v>577</v>
      </c>
    </row>
    <row r="1539" spans="1:13" x14ac:dyDescent="0.3">
      <c r="A1539" t="s">
        <v>5408</v>
      </c>
      <c r="B1539" t="s">
        <v>37</v>
      </c>
      <c r="C1539" t="s">
        <v>22</v>
      </c>
      <c r="D1539" t="s">
        <v>118</v>
      </c>
      <c r="E1539">
        <v>3038</v>
      </c>
      <c r="F1539" t="s">
        <v>5409</v>
      </c>
      <c r="G1539" t="s">
        <v>5410</v>
      </c>
      <c r="H1539" t="s">
        <v>5410</v>
      </c>
      <c r="I1539" t="s">
        <v>122</v>
      </c>
      <c r="J1539" t="s">
        <v>123</v>
      </c>
      <c r="L1539">
        <v>45703</v>
      </c>
      <c r="M1539" t="s">
        <v>124</v>
      </c>
    </row>
    <row r="1540" spans="1:13" x14ac:dyDescent="0.3">
      <c r="A1540" t="s">
        <v>5411</v>
      </c>
      <c r="B1540" t="s">
        <v>46</v>
      </c>
      <c r="C1540" t="s">
        <v>22</v>
      </c>
      <c r="D1540" t="s">
        <v>191</v>
      </c>
      <c r="E1540">
        <v>3040</v>
      </c>
      <c r="F1540" t="s">
        <v>5412</v>
      </c>
      <c r="G1540" t="s">
        <v>5413</v>
      </c>
      <c r="H1540" t="s">
        <v>5414</v>
      </c>
      <c r="I1540" t="s">
        <v>194</v>
      </c>
      <c r="J1540" t="s">
        <v>13</v>
      </c>
      <c r="K1540" t="s">
        <v>21</v>
      </c>
      <c r="L1540">
        <v>45673</v>
      </c>
      <c r="M1540" t="s">
        <v>321</v>
      </c>
    </row>
    <row r="1541" spans="1:13" x14ac:dyDescent="0.3">
      <c r="A1541" t="s">
        <v>5415</v>
      </c>
      <c r="B1541" t="s">
        <v>37</v>
      </c>
      <c r="C1541" t="s">
        <v>24</v>
      </c>
      <c r="D1541" t="s">
        <v>78</v>
      </c>
      <c r="E1541">
        <v>3035</v>
      </c>
      <c r="F1541" t="s">
        <v>5416</v>
      </c>
      <c r="G1541" t="s">
        <v>5417</v>
      </c>
      <c r="H1541" t="s">
        <v>5418</v>
      </c>
      <c r="I1541" t="s">
        <v>81</v>
      </c>
      <c r="J1541" t="s">
        <v>82</v>
      </c>
      <c r="K1541" t="s">
        <v>21</v>
      </c>
      <c r="L1541">
        <v>45695</v>
      </c>
      <c r="M1541" t="s">
        <v>69</v>
      </c>
    </row>
    <row r="1542" spans="1:13" x14ac:dyDescent="0.3">
      <c r="A1542" t="s">
        <v>5419</v>
      </c>
      <c r="B1542" t="s">
        <v>37</v>
      </c>
      <c r="C1542" t="s">
        <v>25</v>
      </c>
      <c r="D1542" t="s">
        <v>47</v>
      </c>
      <c r="E1542">
        <v>3032</v>
      </c>
      <c r="F1542" t="s">
        <v>5420</v>
      </c>
      <c r="G1542" t="s">
        <v>5421</v>
      </c>
      <c r="H1542" t="s">
        <v>5422</v>
      </c>
      <c r="I1542" t="s">
        <v>51</v>
      </c>
      <c r="J1542" t="s">
        <v>52</v>
      </c>
      <c r="L1542">
        <v>45722</v>
      </c>
      <c r="M1542" t="s">
        <v>542</v>
      </c>
    </row>
    <row r="1543" spans="1:13" x14ac:dyDescent="0.3">
      <c r="A1543" t="s">
        <v>5423</v>
      </c>
      <c r="B1543" t="s">
        <v>37</v>
      </c>
      <c r="C1543" t="s">
        <v>24</v>
      </c>
      <c r="D1543" t="s">
        <v>207</v>
      </c>
      <c r="E1543">
        <v>3041</v>
      </c>
      <c r="F1543" t="s">
        <v>5424</v>
      </c>
      <c r="G1543" t="s">
        <v>5425</v>
      </c>
      <c r="H1543" t="s">
        <v>5426</v>
      </c>
      <c r="I1543" t="s">
        <v>211</v>
      </c>
      <c r="J1543" t="s">
        <v>14</v>
      </c>
      <c r="K1543" t="s">
        <v>21</v>
      </c>
      <c r="L1543">
        <v>45690</v>
      </c>
      <c r="M1543" t="s">
        <v>577</v>
      </c>
    </row>
    <row r="1544" spans="1:13" x14ac:dyDescent="0.3">
      <c r="A1544" t="s">
        <v>5427</v>
      </c>
      <c r="B1544" t="s">
        <v>37</v>
      </c>
      <c r="C1544" t="s">
        <v>26</v>
      </c>
      <c r="D1544" t="s">
        <v>47</v>
      </c>
      <c r="E1544">
        <v>3032</v>
      </c>
      <c r="F1544" t="s">
        <v>5428</v>
      </c>
      <c r="G1544" t="s">
        <v>5429</v>
      </c>
      <c r="H1544" t="s">
        <v>5429</v>
      </c>
      <c r="I1544" t="s">
        <v>51</v>
      </c>
      <c r="J1544" t="s">
        <v>52</v>
      </c>
      <c r="L1544">
        <v>45667</v>
      </c>
      <c r="M1544" t="s">
        <v>53</v>
      </c>
    </row>
    <row r="1545" spans="1:13" x14ac:dyDescent="0.3">
      <c r="A1545" t="s">
        <v>5430</v>
      </c>
      <c r="B1545" t="s">
        <v>46</v>
      </c>
      <c r="C1545" t="s">
        <v>25</v>
      </c>
      <c r="D1545" t="s">
        <v>444</v>
      </c>
      <c r="E1545">
        <v>3042</v>
      </c>
      <c r="F1545" t="s">
        <v>5431</v>
      </c>
      <c r="G1545" t="s">
        <v>5432</v>
      </c>
      <c r="H1545" t="s">
        <v>5432</v>
      </c>
      <c r="I1545" t="s">
        <v>448</v>
      </c>
      <c r="J1545" t="s">
        <v>449</v>
      </c>
      <c r="L1545">
        <v>45715</v>
      </c>
      <c r="M1545" t="s">
        <v>450</v>
      </c>
    </row>
    <row r="1546" spans="1:13" x14ac:dyDescent="0.3">
      <c r="A1546" t="s">
        <v>5433</v>
      </c>
      <c r="B1546" t="s">
        <v>37</v>
      </c>
      <c r="C1546" t="s">
        <v>26</v>
      </c>
      <c r="D1546" t="s">
        <v>78</v>
      </c>
      <c r="E1546">
        <v>3035</v>
      </c>
      <c r="F1546" t="s">
        <v>5434</v>
      </c>
      <c r="G1546" t="s">
        <v>5435</v>
      </c>
      <c r="H1546" t="s">
        <v>5435</v>
      </c>
      <c r="I1546" t="s">
        <v>81</v>
      </c>
      <c r="J1546" t="s">
        <v>82</v>
      </c>
      <c r="K1546" t="s">
        <v>21</v>
      </c>
      <c r="L1546">
        <v>45736</v>
      </c>
      <c r="M1546" t="s">
        <v>489</v>
      </c>
    </row>
    <row r="1547" spans="1:13" x14ac:dyDescent="0.3">
      <c r="A1547" t="s">
        <v>5436</v>
      </c>
      <c r="B1547" t="s">
        <v>37</v>
      </c>
      <c r="C1547" t="s">
        <v>26</v>
      </c>
      <c r="D1547" t="s">
        <v>47</v>
      </c>
      <c r="E1547">
        <v>3032</v>
      </c>
      <c r="F1547" t="s">
        <v>5437</v>
      </c>
      <c r="G1547" t="s">
        <v>5438</v>
      </c>
      <c r="H1547" t="s">
        <v>5438</v>
      </c>
      <c r="I1547" t="s">
        <v>51</v>
      </c>
      <c r="J1547" t="s">
        <v>52</v>
      </c>
      <c r="K1547" t="s">
        <v>21</v>
      </c>
      <c r="L1547">
        <v>45684</v>
      </c>
      <c r="M1547" t="s">
        <v>144</v>
      </c>
    </row>
    <row r="1548" spans="1:13" x14ac:dyDescent="0.3">
      <c r="A1548" t="s">
        <v>5439</v>
      </c>
      <c r="B1548" t="s">
        <v>46</v>
      </c>
      <c r="C1548" t="s">
        <v>22</v>
      </c>
      <c r="D1548" t="s">
        <v>191</v>
      </c>
      <c r="E1548">
        <v>3040</v>
      </c>
      <c r="F1548" t="s">
        <v>5440</v>
      </c>
      <c r="G1548" t="s">
        <v>5441</v>
      </c>
      <c r="H1548" t="s">
        <v>5442</v>
      </c>
      <c r="I1548" t="s">
        <v>194</v>
      </c>
      <c r="J1548" t="s">
        <v>13</v>
      </c>
      <c r="K1548" t="s">
        <v>21</v>
      </c>
      <c r="L1548">
        <v>45665</v>
      </c>
      <c r="M1548" t="s">
        <v>160</v>
      </c>
    </row>
    <row r="1549" spans="1:13" x14ac:dyDescent="0.3">
      <c r="A1549" t="s">
        <v>5443</v>
      </c>
      <c r="B1549" t="s">
        <v>37</v>
      </c>
      <c r="C1549" t="s">
        <v>25</v>
      </c>
      <c r="D1549" t="s">
        <v>97</v>
      </c>
      <c r="E1549">
        <v>3036</v>
      </c>
      <c r="F1549" t="s">
        <v>5444</v>
      </c>
      <c r="G1549" t="s">
        <v>5445</v>
      </c>
      <c r="H1549" t="s">
        <v>5445</v>
      </c>
      <c r="I1549" t="s">
        <v>100</v>
      </c>
      <c r="J1549" t="s">
        <v>101</v>
      </c>
      <c r="L1549">
        <v>45712</v>
      </c>
      <c r="M1549" t="s">
        <v>165</v>
      </c>
    </row>
    <row r="1550" spans="1:13" x14ac:dyDescent="0.3">
      <c r="A1550" t="s">
        <v>5446</v>
      </c>
      <c r="B1550" t="s">
        <v>46</v>
      </c>
      <c r="C1550" t="s">
        <v>24</v>
      </c>
      <c r="D1550" t="s">
        <v>78</v>
      </c>
      <c r="E1550">
        <v>3035</v>
      </c>
      <c r="F1550" t="s">
        <v>618</v>
      </c>
      <c r="G1550" t="s">
        <v>5447</v>
      </c>
      <c r="H1550" t="s">
        <v>5448</v>
      </c>
      <c r="I1550" t="s">
        <v>81</v>
      </c>
      <c r="J1550" t="s">
        <v>82</v>
      </c>
      <c r="K1550" t="s">
        <v>21</v>
      </c>
      <c r="L1550">
        <v>45698</v>
      </c>
      <c r="M1550" t="s">
        <v>205</v>
      </c>
    </row>
    <row r="1551" spans="1:13" x14ac:dyDescent="0.3">
      <c r="A1551" t="s">
        <v>5449</v>
      </c>
      <c r="B1551" t="s">
        <v>46</v>
      </c>
      <c r="C1551" t="s">
        <v>24</v>
      </c>
      <c r="D1551" t="s">
        <v>118</v>
      </c>
      <c r="E1551">
        <v>3038</v>
      </c>
      <c r="F1551" t="s">
        <v>5450</v>
      </c>
      <c r="G1551" t="s">
        <v>5451</v>
      </c>
      <c r="H1551" t="s">
        <v>5452</v>
      </c>
      <c r="I1551" t="s">
        <v>122</v>
      </c>
      <c r="J1551" t="s">
        <v>123</v>
      </c>
      <c r="K1551" t="s">
        <v>21</v>
      </c>
      <c r="L1551">
        <v>45679</v>
      </c>
      <c r="M1551" t="s">
        <v>389</v>
      </c>
    </row>
    <row r="1552" spans="1:13" x14ac:dyDescent="0.3">
      <c r="A1552" t="s">
        <v>5453</v>
      </c>
      <c r="B1552" t="s">
        <v>37</v>
      </c>
      <c r="C1552" t="s">
        <v>25</v>
      </c>
      <c r="D1552" t="s">
        <v>207</v>
      </c>
      <c r="E1552">
        <v>3041</v>
      </c>
      <c r="F1552" t="s">
        <v>5454</v>
      </c>
      <c r="G1552" t="s">
        <v>5455</v>
      </c>
      <c r="H1552" t="s">
        <v>5455</v>
      </c>
      <c r="I1552" t="s">
        <v>211</v>
      </c>
      <c r="J1552" t="s">
        <v>14</v>
      </c>
      <c r="K1552" t="s">
        <v>21</v>
      </c>
      <c r="L1552">
        <v>45693</v>
      </c>
      <c r="M1552" t="s">
        <v>363</v>
      </c>
    </row>
    <row r="1553" spans="1:13" x14ac:dyDescent="0.3">
      <c r="A1553" t="s">
        <v>5456</v>
      </c>
      <c r="B1553" t="s">
        <v>46</v>
      </c>
      <c r="C1553" t="s">
        <v>24</v>
      </c>
      <c r="D1553" t="s">
        <v>207</v>
      </c>
      <c r="E1553">
        <v>3041</v>
      </c>
      <c r="F1553" t="s">
        <v>5457</v>
      </c>
      <c r="G1553" t="s">
        <v>5458</v>
      </c>
      <c r="H1553" t="s">
        <v>5459</v>
      </c>
      <c r="I1553" t="s">
        <v>211</v>
      </c>
      <c r="J1553" t="s">
        <v>14</v>
      </c>
      <c r="L1553">
        <v>45739</v>
      </c>
      <c r="M1553" t="s">
        <v>128</v>
      </c>
    </row>
    <row r="1554" spans="1:13" x14ac:dyDescent="0.3">
      <c r="A1554" t="s">
        <v>5460</v>
      </c>
      <c r="B1554" t="s">
        <v>46</v>
      </c>
      <c r="C1554" t="s">
        <v>26</v>
      </c>
      <c r="D1554" t="s">
        <v>191</v>
      </c>
      <c r="E1554">
        <v>3040</v>
      </c>
      <c r="F1554" t="s">
        <v>5461</v>
      </c>
      <c r="G1554" t="s">
        <v>5462</v>
      </c>
      <c r="H1554" t="s">
        <v>5462</v>
      </c>
      <c r="I1554" t="s">
        <v>194</v>
      </c>
      <c r="J1554" t="s">
        <v>13</v>
      </c>
      <c r="L1554">
        <v>45662</v>
      </c>
      <c r="M1554" t="s">
        <v>321</v>
      </c>
    </row>
    <row r="1555" spans="1:13" x14ac:dyDescent="0.3">
      <c r="A1555" t="s">
        <v>5463</v>
      </c>
      <c r="B1555" t="s">
        <v>37</v>
      </c>
      <c r="C1555" t="s">
        <v>26</v>
      </c>
      <c r="D1555" t="s">
        <v>78</v>
      </c>
      <c r="E1555">
        <v>3035</v>
      </c>
      <c r="F1555" t="s">
        <v>5464</v>
      </c>
      <c r="G1555" t="s">
        <v>5465</v>
      </c>
      <c r="H1555" t="s">
        <v>5465</v>
      </c>
      <c r="I1555" t="s">
        <v>81</v>
      </c>
      <c r="J1555" t="s">
        <v>82</v>
      </c>
      <c r="L1555">
        <v>45696</v>
      </c>
      <c r="M1555" t="s">
        <v>489</v>
      </c>
    </row>
    <row r="1556" spans="1:13" x14ac:dyDescent="0.3">
      <c r="A1556" t="s">
        <v>5466</v>
      </c>
      <c r="B1556" t="s">
        <v>46</v>
      </c>
      <c r="C1556" t="s">
        <v>25</v>
      </c>
      <c r="D1556" t="s">
        <v>118</v>
      </c>
      <c r="E1556">
        <v>3038</v>
      </c>
      <c r="F1556" t="s">
        <v>5467</v>
      </c>
      <c r="G1556" t="s">
        <v>5468</v>
      </c>
      <c r="H1556" t="s">
        <v>5469</v>
      </c>
      <c r="I1556" t="s">
        <v>122</v>
      </c>
      <c r="J1556" t="s">
        <v>123</v>
      </c>
      <c r="L1556">
        <v>45736</v>
      </c>
      <c r="M1556" t="s">
        <v>581</v>
      </c>
    </row>
    <row r="1557" spans="1:13" x14ac:dyDescent="0.3">
      <c r="A1557" t="s">
        <v>5470</v>
      </c>
      <c r="B1557" t="s">
        <v>37</v>
      </c>
      <c r="C1557" t="s">
        <v>22</v>
      </c>
      <c r="D1557" t="s">
        <v>444</v>
      </c>
      <c r="E1557">
        <v>3042</v>
      </c>
      <c r="F1557" t="s">
        <v>5471</v>
      </c>
      <c r="G1557" t="s">
        <v>5472</v>
      </c>
      <c r="H1557" t="s">
        <v>5472</v>
      </c>
      <c r="I1557" t="s">
        <v>448</v>
      </c>
      <c r="J1557" t="s">
        <v>449</v>
      </c>
      <c r="K1557" t="s">
        <v>21</v>
      </c>
      <c r="L1557">
        <v>45702</v>
      </c>
      <c r="M1557" t="s">
        <v>224</v>
      </c>
    </row>
    <row r="1558" spans="1:13" x14ac:dyDescent="0.3">
      <c r="A1558" t="s">
        <v>5473</v>
      </c>
      <c r="B1558" t="s">
        <v>46</v>
      </c>
      <c r="C1558" t="s">
        <v>22</v>
      </c>
      <c r="D1558" t="s">
        <v>55</v>
      </c>
      <c r="E1558">
        <v>3033</v>
      </c>
      <c r="F1558" t="s">
        <v>5474</v>
      </c>
      <c r="G1558" t="s">
        <v>5475</v>
      </c>
      <c r="H1558" t="s">
        <v>5475</v>
      </c>
      <c r="I1558" t="s">
        <v>58</v>
      </c>
      <c r="J1558" t="s">
        <v>59</v>
      </c>
      <c r="K1558" t="s">
        <v>21</v>
      </c>
      <c r="L1558">
        <v>45690</v>
      </c>
      <c r="M1558" t="s">
        <v>90</v>
      </c>
    </row>
    <row r="1559" spans="1:13" x14ac:dyDescent="0.3">
      <c r="A1559" t="s">
        <v>5476</v>
      </c>
      <c r="B1559" t="s">
        <v>46</v>
      </c>
      <c r="C1559" t="s">
        <v>26</v>
      </c>
      <c r="D1559" t="s">
        <v>78</v>
      </c>
      <c r="E1559">
        <v>3035</v>
      </c>
      <c r="F1559" t="s">
        <v>5477</v>
      </c>
      <c r="G1559" t="s">
        <v>5478</v>
      </c>
      <c r="H1559" t="s">
        <v>5478</v>
      </c>
      <c r="I1559" t="s">
        <v>81</v>
      </c>
      <c r="J1559" t="s">
        <v>82</v>
      </c>
      <c r="L1559">
        <v>45726</v>
      </c>
      <c r="M1559" t="s">
        <v>95</v>
      </c>
    </row>
    <row r="1560" spans="1:13" x14ac:dyDescent="0.3">
      <c r="A1560" t="s">
        <v>5479</v>
      </c>
      <c r="B1560" t="s">
        <v>46</v>
      </c>
      <c r="C1560" t="s">
        <v>22</v>
      </c>
      <c r="D1560" t="s">
        <v>104</v>
      </c>
      <c r="E1560">
        <v>3037</v>
      </c>
      <c r="F1560" t="s">
        <v>5480</v>
      </c>
      <c r="G1560" t="s">
        <v>5481</v>
      </c>
      <c r="H1560" t="s">
        <v>5482</v>
      </c>
      <c r="I1560" t="s">
        <v>12</v>
      </c>
      <c r="J1560" t="s">
        <v>13</v>
      </c>
      <c r="K1560" t="s">
        <v>21</v>
      </c>
      <c r="L1560">
        <v>45726</v>
      </c>
      <c r="M1560" t="s">
        <v>287</v>
      </c>
    </row>
    <row r="1561" spans="1:13" x14ac:dyDescent="0.3">
      <c r="A1561" t="s">
        <v>5483</v>
      </c>
      <c r="B1561" t="s">
        <v>46</v>
      </c>
      <c r="C1561" t="s">
        <v>22</v>
      </c>
      <c r="D1561" t="s">
        <v>38</v>
      </c>
      <c r="E1561">
        <v>3031</v>
      </c>
      <c r="F1561" t="s">
        <v>5484</v>
      </c>
      <c r="G1561" t="s">
        <v>5485</v>
      </c>
      <c r="H1561" t="s">
        <v>5486</v>
      </c>
      <c r="I1561" t="s">
        <v>42</v>
      </c>
      <c r="J1561" t="s">
        <v>43</v>
      </c>
      <c r="L1561">
        <v>45716</v>
      </c>
      <c r="M1561" t="s">
        <v>65</v>
      </c>
    </row>
    <row r="1562" spans="1:13" x14ac:dyDescent="0.3">
      <c r="A1562" t="s">
        <v>5487</v>
      </c>
      <c r="B1562" t="s">
        <v>46</v>
      </c>
      <c r="C1562" t="s">
        <v>26</v>
      </c>
      <c r="D1562" t="s">
        <v>104</v>
      </c>
      <c r="E1562">
        <v>3037</v>
      </c>
      <c r="F1562" t="s">
        <v>5488</v>
      </c>
      <c r="G1562" t="s">
        <v>5489</v>
      </c>
      <c r="H1562" t="s">
        <v>5489</v>
      </c>
      <c r="I1562" t="s">
        <v>12</v>
      </c>
      <c r="J1562" t="s">
        <v>13</v>
      </c>
      <c r="K1562" t="s">
        <v>21</v>
      </c>
      <c r="L1562">
        <v>45708</v>
      </c>
      <c r="M1562" t="s">
        <v>287</v>
      </c>
    </row>
    <row r="1563" spans="1:13" x14ac:dyDescent="0.3">
      <c r="A1563" t="s">
        <v>5490</v>
      </c>
      <c r="B1563" t="s">
        <v>37</v>
      </c>
      <c r="C1563" t="s">
        <v>22</v>
      </c>
      <c r="D1563" t="s">
        <v>38</v>
      </c>
      <c r="E1563">
        <v>3031</v>
      </c>
      <c r="F1563" t="s">
        <v>5491</v>
      </c>
      <c r="G1563" t="s">
        <v>5492</v>
      </c>
      <c r="H1563" t="s">
        <v>5493</v>
      </c>
      <c r="I1563" t="s">
        <v>42</v>
      </c>
      <c r="J1563" t="s">
        <v>43</v>
      </c>
      <c r="K1563" t="s">
        <v>21</v>
      </c>
      <c r="L1563">
        <v>45690</v>
      </c>
      <c r="M1563" t="s">
        <v>420</v>
      </c>
    </row>
    <row r="1564" spans="1:13" x14ac:dyDescent="0.3">
      <c r="A1564" t="s">
        <v>5494</v>
      </c>
      <c r="B1564" t="s">
        <v>37</v>
      </c>
      <c r="C1564" t="s">
        <v>26</v>
      </c>
      <c r="D1564" t="s">
        <v>104</v>
      </c>
      <c r="E1564">
        <v>3037</v>
      </c>
      <c r="F1564" t="s">
        <v>5495</v>
      </c>
      <c r="G1564" t="s">
        <v>5496</v>
      </c>
      <c r="H1564" t="s">
        <v>5496</v>
      </c>
      <c r="I1564" t="s">
        <v>12</v>
      </c>
      <c r="J1564" t="s">
        <v>13</v>
      </c>
      <c r="L1564">
        <v>45661</v>
      </c>
      <c r="M1564" t="s">
        <v>107</v>
      </c>
    </row>
    <row r="1565" spans="1:13" x14ac:dyDescent="0.3">
      <c r="A1565" t="s">
        <v>5497</v>
      </c>
      <c r="B1565" t="s">
        <v>37</v>
      </c>
      <c r="C1565" t="s">
        <v>25</v>
      </c>
      <c r="D1565" t="s">
        <v>55</v>
      </c>
      <c r="E1565">
        <v>3033</v>
      </c>
      <c r="F1565" t="s">
        <v>5498</v>
      </c>
      <c r="G1565" t="s">
        <v>5499</v>
      </c>
      <c r="H1565" t="s">
        <v>5500</v>
      </c>
      <c r="I1565" t="s">
        <v>58</v>
      </c>
      <c r="J1565" t="s">
        <v>59</v>
      </c>
      <c r="K1565" t="s">
        <v>21</v>
      </c>
      <c r="L1565">
        <v>45688</v>
      </c>
      <c r="M1565" t="s">
        <v>90</v>
      </c>
    </row>
    <row r="1566" spans="1:13" x14ac:dyDescent="0.3">
      <c r="A1566" t="s">
        <v>5501</v>
      </c>
      <c r="B1566" t="s">
        <v>46</v>
      </c>
      <c r="C1566" t="s">
        <v>22</v>
      </c>
      <c r="D1566" t="s">
        <v>55</v>
      </c>
      <c r="E1566">
        <v>3033</v>
      </c>
      <c r="F1566" t="s">
        <v>5502</v>
      </c>
      <c r="G1566" t="s">
        <v>5503</v>
      </c>
      <c r="H1566" t="s">
        <v>5503</v>
      </c>
      <c r="I1566" t="s">
        <v>58</v>
      </c>
      <c r="J1566" t="s">
        <v>59</v>
      </c>
      <c r="K1566" t="s">
        <v>21</v>
      </c>
      <c r="L1566">
        <v>45720</v>
      </c>
      <c r="M1566" t="s">
        <v>69</v>
      </c>
    </row>
    <row r="1567" spans="1:13" x14ac:dyDescent="0.3">
      <c r="A1567" t="s">
        <v>5504</v>
      </c>
      <c r="B1567" t="s">
        <v>46</v>
      </c>
      <c r="C1567" t="s">
        <v>26</v>
      </c>
      <c r="D1567" t="s">
        <v>191</v>
      </c>
      <c r="E1567">
        <v>3040</v>
      </c>
      <c r="F1567" t="s">
        <v>5505</v>
      </c>
      <c r="G1567" t="s">
        <v>5506</v>
      </c>
      <c r="H1567" t="s">
        <v>5506</v>
      </c>
      <c r="I1567" t="s">
        <v>194</v>
      </c>
      <c r="J1567" t="s">
        <v>13</v>
      </c>
      <c r="K1567" t="s">
        <v>21</v>
      </c>
      <c r="L1567">
        <v>45724</v>
      </c>
      <c r="M1567" t="s">
        <v>195</v>
      </c>
    </row>
    <row r="1568" spans="1:13" x14ac:dyDescent="0.3">
      <c r="A1568" t="s">
        <v>5507</v>
      </c>
      <c r="B1568" t="s">
        <v>46</v>
      </c>
      <c r="C1568" t="s">
        <v>24</v>
      </c>
      <c r="D1568" t="s">
        <v>444</v>
      </c>
      <c r="E1568">
        <v>3042</v>
      </c>
      <c r="F1568" t="s">
        <v>5508</v>
      </c>
      <c r="G1568" t="s">
        <v>5509</v>
      </c>
      <c r="H1568" t="s">
        <v>5509</v>
      </c>
      <c r="I1568" t="s">
        <v>448</v>
      </c>
      <c r="J1568" t="s">
        <v>449</v>
      </c>
      <c r="L1568">
        <v>45705</v>
      </c>
      <c r="M1568" t="s">
        <v>481</v>
      </c>
    </row>
    <row r="1569" spans="1:13" x14ac:dyDescent="0.3">
      <c r="A1569" t="s">
        <v>5510</v>
      </c>
      <c r="B1569" t="s">
        <v>46</v>
      </c>
      <c r="C1569" t="s">
        <v>24</v>
      </c>
      <c r="D1569" t="s">
        <v>444</v>
      </c>
      <c r="E1569">
        <v>3042</v>
      </c>
      <c r="F1569" t="s">
        <v>5511</v>
      </c>
      <c r="G1569" t="s">
        <v>5512</v>
      </c>
      <c r="H1569" t="s">
        <v>5512</v>
      </c>
      <c r="I1569" t="s">
        <v>448</v>
      </c>
      <c r="J1569" t="s">
        <v>449</v>
      </c>
      <c r="L1569">
        <v>45729</v>
      </c>
      <c r="M1569" t="s">
        <v>107</v>
      </c>
    </row>
    <row r="1570" spans="1:13" x14ac:dyDescent="0.3">
      <c r="A1570" t="s">
        <v>5513</v>
      </c>
      <c r="B1570" t="s">
        <v>37</v>
      </c>
      <c r="C1570" t="s">
        <v>22</v>
      </c>
      <c r="D1570" t="s">
        <v>78</v>
      </c>
      <c r="E1570">
        <v>3035</v>
      </c>
      <c r="F1570" t="s">
        <v>5514</v>
      </c>
      <c r="G1570" t="s">
        <v>5515</v>
      </c>
      <c r="H1570" t="s">
        <v>5515</v>
      </c>
      <c r="I1570" t="s">
        <v>81</v>
      </c>
      <c r="J1570" t="s">
        <v>82</v>
      </c>
      <c r="L1570">
        <v>45740</v>
      </c>
      <c r="M1570" t="s">
        <v>287</v>
      </c>
    </row>
    <row r="1571" spans="1:13" x14ac:dyDescent="0.3">
      <c r="A1571" t="s">
        <v>5516</v>
      </c>
      <c r="B1571" t="s">
        <v>37</v>
      </c>
      <c r="C1571" t="s">
        <v>22</v>
      </c>
      <c r="D1571" t="s">
        <v>118</v>
      </c>
      <c r="E1571">
        <v>3038</v>
      </c>
      <c r="F1571" t="s">
        <v>5517</v>
      </c>
      <c r="G1571" t="s">
        <v>5518</v>
      </c>
      <c r="H1571" t="s">
        <v>5519</v>
      </c>
      <c r="I1571" t="s">
        <v>122</v>
      </c>
      <c r="J1571" t="s">
        <v>123</v>
      </c>
      <c r="L1571">
        <v>45697</v>
      </c>
      <c r="M1571" t="s">
        <v>581</v>
      </c>
    </row>
    <row r="1572" spans="1:13" x14ac:dyDescent="0.3">
      <c r="A1572" t="s">
        <v>5520</v>
      </c>
      <c r="B1572" t="s">
        <v>46</v>
      </c>
      <c r="C1572" t="s">
        <v>25</v>
      </c>
      <c r="D1572" t="s">
        <v>207</v>
      </c>
      <c r="E1572">
        <v>3041</v>
      </c>
      <c r="F1572" t="s">
        <v>5521</v>
      </c>
      <c r="G1572" t="s">
        <v>5522</v>
      </c>
      <c r="H1572" t="s">
        <v>5523</v>
      </c>
      <c r="I1572" t="s">
        <v>211</v>
      </c>
      <c r="J1572" t="s">
        <v>14</v>
      </c>
      <c r="L1572">
        <v>45666</v>
      </c>
      <c r="M1572" t="s">
        <v>212</v>
      </c>
    </row>
    <row r="1573" spans="1:13" x14ac:dyDescent="0.3">
      <c r="A1573" t="s">
        <v>5524</v>
      </c>
      <c r="B1573" t="s">
        <v>46</v>
      </c>
      <c r="C1573" t="s">
        <v>22</v>
      </c>
      <c r="D1573" t="s">
        <v>104</v>
      </c>
      <c r="E1573">
        <v>3037</v>
      </c>
      <c r="F1573" t="s">
        <v>2583</v>
      </c>
      <c r="G1573" t="s">
        <v>5525</v>
      </c>
      <c r="H1573" t="s">
        <v>5526</v>
      </c>
      <c r="I1573" t="s">
        <v>12</v>
      </c>
      <c r="J1573" t="s">
        <v>13</v>
      </c>
      <c r="L1573">
        <v>45709</v>
      </c>
      <c r="M1573" t="s">
        <v>76</v>
      </c>
    </row>
    <row r="1574" spans="1:13" x14ac:dyDescent="0.3">
      <c r="A1574" t="s">
        <v>5527</v>
      </c>
      <c r="B1574" t="s">
        <v>46</v>
      </c>
      <c r="C1574" t="s">
        <v>26</v>
      </c>
      <c r="D1574" t="s">
        <v>47</v>
      </c>
      <c r="E1574">
        <v>3032</v>
      </c>
      <c r="F1574" t="s">
        <v>5528</v>
      </c>
      <c r="G1574" t="s">
        <v>5529</v>
      </c>
      <c r="H1574" t="s">
        <v>5529</v>
      </c>
      <c r="I1574" t="s">
        <v>51</v>
      </c>
      <c r="J1574" t="s">
        <v>52</v>
      </c>
      <c r="K1574" t="s">
        <v>21</v>
      </c>
      <c r="L1574">
        <v>45710</v>
      </c>
      <c r="M1574" t="s">
        <v>90</v>
      </c>
    </row>
    <row r="1575" spans="1:13" x14ac:dyDescent="0.3">
      <c r="A1575" t="s">
        <v>5530</v>
      </c>
      <c r="B1575" t="s">
        <v>46</v>
      </c>
      <c r="C1575" t="s">
        <v>24</v>
      </c>
      <c r="D1575" t="s">
        <v>136</v>
      </c>
      <c r="E1575">
        <v>3039</v>
      </c>
      <c r="F1575" t="s">
        <v>5531</v>
      </c>
      <c r="G1575" t="s">
        <v>5532</v>
      </c>
      <c r="H1575" t="s">
        <v>5533</v>
      </c>
      <c r="I1575" t="s">
        <v>15</v>
      </c>
      <c r="J1575" t="s">
        <v>14</v>
      </c>
      <c r="K1575" t="s">
        <v>21</v>
      </c>
      <c r="L1575">
        <v>45738</v>
      </c>
      <c r="M1575" t="s">
        <v>95</v>
      </c>
    </row>
    <row r="1576" spans="1:13" x14ac:dyDescent="0.3">
      <c r="A1576" t="s">
        <v>5534</v>
      </c>
      <c r="B1576" t="s">
        <v>46</v>
      </c>
      <c r="C1576" t="s">
        <v>24</v>
      </c>
      <c r="D1576" t="s">
        <v>207</v>
      </c>
      <c r="E1576">
        <v>3041</v>
      </c>
      <c r="F1576" t="s">
        <v>5535</v>
      </c>
      <c r="G1576" t="s">
        <v>5536</v>
      </c>
      <c r="H1576" t="s">
        <v>5536</v>
      </c>
      <c r="I1576" t="s">
        <v>211</v>
      </c>
      <c r="J1576" t="s">
        <v>14</v>
      </c>
      <c r="L1576">
        <v>45723</v>
      </c>
      <c r="M1576" t="s">
        <v>212</v>
      </c>
    </row>
    <row r="1577" spans="1:13" x14ac:dyDescent="0.3">
      <c r="A1577" t="s">
        <v>5537</v>
      </c>
      <c r="B1577" t="s">
        <v>46</v>
      </c>
      <c r="C1577" t="s">
        <v>26</v>
      </c>
      <c r="D1577" t="s">
        <v>47</v>
      </c>
      <c r="E1577">
        <v>3032</v>
      </c>
      <c r="F1577" t="s">
        <v>5538</v>
      </c>
      <c r="G1577" t="s">
        <v>5539</v>
      </c>
      <c r="H1577" t="s">
        <v>5540</v>
      </c>
      <c r="I1577" t="s">
        <v>51</v>
      </c>
      <c r="J1577" t="s">
        <v>52</v>
      </c>
      <c r="K1577" t="s">
        <v>21</v>
      </c>
      <c r="L1577">
        <v>45683</v>
      </c>
      <c r="M1577" t="s">
        <v>476</v>
      </c>
    </row>
    <row r="1578" spans="1:13" x14ac:dyDescent="0.3">
      <c r="A1578" t="s">
        <v>5541</v>
      </c>
      <c r="B1578" t="s">
        <v>37</v>
      </c>
      <c r="C1578" t="s">
        <v>25</v>
      </c>
      <c r="D1578" t="s">
        <v>207</v>
      </c>
      <c r="E1578">
        <v>3041</v>
      </c>
      <c r="F1578" t="s">
        <v>5542</v>
      </c>
      <c r="G1578" t="s">
        <v>5543</v>
      </c>
      <c r="H1578" t="s">
        <v>5543</v>
      </c>
      <c r="I1578" t="s">
        <v>211</v>
      </c>
      <c r="J1578" t="s">
        <v>14</v>
      </c>
      <c r="L1578">
        <v>45699</v>
      </c>
      <c r="M1578" t="s">
        <v>300</v>
      </c>
    </row>
    <row r="1579" spans="1:13" x14ac:dyDescent="0.3">
      <c r="A1579" t="s">
        <v>5544</v>
      </c>
      <c r="B1579" t="s">
        <v>46</v>
      </c>
      <c r="C1579" t="s">
        <v>22</v>
      </c>
      <c r="D1579" t="s">
        <v>191</v>
      </c>
      <c r="E1579">
        <v>3040</v>
      </c>
      <c r="F1579" t="s">
        <v>5545</v>
      </c>
      <c r="G1579" t="s">
        <v>5546</v>
      </c>
      <c r="H1579" t="s">
        <v>5546</v>
      </c>
      <c r="I1579" t="s">
        <v>194</v>
      </c>
      <c r="J1579" t="s">
        <v>13</v>
      </c>
      <c r="K1579" t="s">
        <v>21</v>
      </c>
      <c r="L1579">
        <v>45692</v>
      </c>
      <c r="M1579" t="s">
        <v>195</v>
      </c>
    </row>
    <row r="1580" spans="1:13" x14ac:dyDescent="0.3">
      <c r="A1580" t="s">
        <v>5547</v>
      </c>
      <c r="B1580" t="s">
        <v>46</v>
      </c>
      <c r="C1580" t="s">
        <v>25</v>
      </c>
      <c r="D1580" t="s">
        <v>104</v>
      </c>
      <c r="E1580">
        <v>3037</v>
      </c>
      <c r="F1580" t="s">
        <v>5548</v>
      </c>
      <c r="G1580" t="s">
        <v>5549</v>
      </c>
      <c r="H1580" t="s">
        <v>5550</v>
      </c>
      <c r="I1580" t="s">
        <v>12</v>
      </c>
      <c r="J1580" t="s">
        <v>13</v>
      </c>
      <c r="K1580" t="s">
        <v>21</v>
      </c>
      <c r="L1580">
        <v>45739</v>
      </c>
      <c r="M1580" t="s">
        <v>107</v>
      </c>
    </row>
    <row r="1581" spans="1:13" x14ac:dyDescent="0.3">
      <c r="A1581" t="s">
        <v>5551</v>
      </c>
      <c r="B1581" t="s">
        <v>46</v>
      </c>
      <c r="C1581" t="s">
        <v>22</v>
      </c>
      <c r="D1581" t="s">
        <v>78</v>
      </c>
      <c r="E1581">
        <v>3035</v>
      </c>
      <c r="F1581" t="s">
        <v>5552</v>
      </c>
      <c r="G1581" t="s">
        <v>5553</v>
      </c>
      <c r="H1581" t="s">
        <v>5553</v>
      </c>
      <c r="I1581" t="s">
        <v>81</v>
      </c>
      <c r="J1581" t="s">
        <v>82</v>
      </c>
      <c r="K1581" t="s">
        <v>21</v>
      </c>
      <c r="L1581">
        <v>45672</v>
      </c>
      <c r="M1581" t="s">
        <v>489</v>
      </c>
    </row>
    <row r="1582" spans="1:13" x14ac:dyDescent="0.3">
      <c r="A1582" t="s">
        <v>5554</v>
      </c>
      <c r="B1582" t="s">
        <v>46</v>
      </c>
      <c r="C1582" t="s">
        <v>26</v>
      </c>
      <c r="D1582" t="s">
        <v>97</v>
      </c>
      <c r="E1582">
        <v>3036</v>
      </c>
      <c r="F1582" t="s">
        <v>3557</v>
      </c>
      <c r="G1582" t="s">
        <v>5555</v>
      </c>
      <c r="H1582" t="s">
        <v>5556</v>
      </c>
      <c r="I1582" t="s">
        <v>100</v>
      </c>
      <c r="J1582" t="s">
        <v>101</v>
      </c>
      <c r="L1582">
        <v>45738</v>
      </c>
      <c r="M1582" t="s">
        <v>292</v>
      </c>
    </row>
    <row r="1583" spans="1:13" x14ac:dyDescent="0.3">
      <c r="A1583" t="s">
        <v>5557</v>
      </c>
      <c r="B1583" t="s">
        <v>37</v>
      </c>
      <c r="C1583" t="s">
        <v>26</v>
      </c>
      <c r="D1583" t="s">
        <v>104</v>
      </c>
      <c r="E1583">
        <v>3037</v>
      </c>
      <c r="F1583" t="s">
        <v>5558</v>
      </c>
      <c r="G1583" t="s">
        <v>5559</v>
      </c>
      <c r="H1583" t="s">
        <v>5559</v>
      </c>
      <c r="I1583" t="s">
        <v>12</v>
      </c>
      <c r="J1583" t="s">
        <v>13</v>
      </c>
      <c r="L1583">
        <v>45709</v>
      </c>
      <c r="M1583" t="s">
        <v>287</v>
      </c>
    </row>
    <row r="1584" spans="1:13" x14ac:dyDescent="0.3">
      <c r="A1584" t="s">
        <v>5560</v>
      </c>
      <c r="B1584" t="s">
        <v>37</v>
      </c>
      <c r="C1584" t="s">
        <v>24</v>
      </c>
      <c r="D1584" t="s">
        <v>55</v>
      </c>
      <c r="E1584">
        <v>3033</v>
      </c>
      <c r="F1584" t="s">
        <v>5561</v>
      </c>
      <c r="G1584" t="s">
        <v>5562</v>
      </c>
      <c r="H1584" t="s">
        <v>5562</v>
      </c>
      <c r="I1584" t="s">
        <v>58</v>
      </c>
      <c r="J1584" t="s">
        <v>59</v>
      </c>
      <c r="K1584" t="s">
        <v>21</v>
      </c>
      <c r="L1584">
        <v>45699</v>
      </c>
      <c r="M1584" t="s">
        <v>90</v>
      </c>
    </row>
    <row r="1585" spans="1:13" x14ac:dyDescent="0.3">
      <c r="A1585" t="s">
        <v>5563</v>
      </c>
      <c r="B1585" t="s">
        <v>37</v>
      </c>
      <c r="C1585" t="s">
        <v>25</v>
      </c>
      <c r="D1585" t="s">
        <v>104</v>
      </c>
      <c r="E1585">
        <v>3037</v>
      </c>
      <c r="F1585" t="s">
        <v>5564</v>
      </c>
      <c r="G1585" t="s">
        <v>5565</v>
      </c>
      <c r="H1585" t="s">
        <v>5565</v>
      </c>
      <c r="I1585" t="s">
        <v>12</v>
      </c>
      <c r="J1585" t="s">
        <v>13</v>
      </c>
      <c r="L1585">
        <v>45737</v>
      </c>
      <c r="M1585" t="s">
        <v>107</v>
      </c>
    </row>
    <row r="1586" spans="1:13" x14ac:dyDescent="0.3">
      <c r="A1586" t="s">
        <v>5566</v>
      </c>
      <c r="B1586" t="s">
        <v>46</v>
      </c>
      <c r="C1586" t="s">
        <v>22</v>
      </c>
      <c r="D1586" t="s">
        <v>97</v>
      </c>
      <c r="E1586">
        <v>3036</v>
      </c>
      <c r="F1586" t="s">
        <v>5567</v>
      </c>
      <c r="G1586" t="s">
        <v>5568</v>
      </c>
      <c r="H1586" t="s">
        <v>5569</v>
      </c>
      <c r="I1586" t="s">
        <v>100</v>
      </c>
      <c r="J1586" t="s">
        <v>101</v>
      </c>
      <c r="K1586" t="s">
        <v>21</v>
      </c>
      <c r="L1586">
        <v>45682</v>
      </c>
      <c r="M1586" t="s">
        <v>292</v>
      </c>
    </row>
    <row r="1587" spans="1:13" x14ac:dyDescent="0.3">
      <c r="A1587" t="s">
        <v>5570</v>
      </c>
      <c r="B1587" t="s">
        <v>37</v>
      </c>
      <c r="C1587" t="s">
        <v>22</v>
      </c>
      <c r="D1587" t="s">
        <v>136</v>
      </c>
      <c r="E1587">
        <v>3039</v>
      </c>
      <c r="F1587" t="s">
        <v>5571</v>
      </c>
      <c r="G1587" t="s">
        <v>5572</v>
      </c>
      <c r="H1587" t="s">
        <v>5573</v>
      </c>
      <c r="I1587" t="s">
        <v>15</v>
      </c>
      <c r="J1587" t="s">
        <v>14</v>
      </c>
      <c r="L1587">
        <v>45730</v>
      </c>
      <c r="M1587" t="s">
        <v>160</v>
      </c>
    </row>
    <row r="1588" spans="1:13" x14ac:dyDescent="0.3">
      <c r="A1588" t="s">
        <v>5574</v>
      </c>
      <c r="B1588" t="s">
        <v>37</v>
      </c>
      <c r="C1588" t="s">
        <v>25</v>
      </c>
      <c r="D1588" t="s">
        <v>191</v>
      </c>
      <c r="E1588">
        <v>3040</v>
      </c>
      <c r="F1588" t="s">
        <v>5575</v>
      </c>
      <c r="G1588" t="s">
        <v>5576</v>
      </c>
      <c r="H1588" t="s">
        <v>5577</v>
      </c>
      <c r="I1588" t="s">
        <v>194</v>
      </c>
      <c r="J1588" t="s">
        <v>13</v>
      </c>
      <c r="L1588">
        <v>45684</v>
      </c>
      <c r="M1588" t="s">
        <v>321</v>
      </c>
    </row>
    <row r="1589" spans="1:13" x14ac:dyDescent="0.3">
      <c r="A1589" t="s">
        <v>5578</v>
      </c>
      <c r="B1589" t="s">
        <v>37</v>
      </c>
      <c r="C1589" t="s">
        <v>22</v>
      </c>
      <c r="D1589" t="s">
        <v>118</v>
      </c>
      <c r="E1589">
        <v>3038</v>
      </c>
      <c r="F1589" t="s">
        <v>5579</v>
      </c>
      <c r="G1589" t="s">
        <v>5580</v>
      </c>
      <c r="H1589" t="s">
        <v>5581</v>
      </c>
      <c r="I1589" t="s">
        <v>122</v>
      </c>
      <c r="J1589" t="s">
        <v>123</v>
      </c>
      <c r="K1589" t="s">
        <v>21</v>
      </c>
      <c r="L1589">
        <v>45725</v>
      </c>
      <c r="M1589" t="s">
        <v>359</v>
      </c>
    </row>
    <row r="1590" spans="1:13" x14ac:dyDescent="0.3">
      <c r="A1590" t="s">
        <v>5582</v>
      </c>
      <c r="B1590" t="s">
        <v>46</v>
      </c>
      <c r="C1590" t="s">
        <v>24</v>
      </c>
      <c r="D1590" t="s">
        <v>207</v>
      </c>
      <c r="E1590">
        <v>3041</v>
      </c>
      <c r="F1590" t="s">
        <v>960</v>
      </c>
      <c r="G1590" t="s">
        <v>5583</v>
      </c>
      <c r="H1590" t="s">
        <v>5584</v>
      </c>
      <c r="I1590" t="s">
        <v>211</v>
      </c>
      <c r="J1590" t="s">
        <v>14</v>
      </c>
      <c r="K1590" t="s">
        <v>21</v>
      </c>
      <c r="L1590">
        <v>45667</v>
      </c>
      <c r="M1590" t="s">
        <v>394</v>
      </c>
    </row>
    <row r="1591" spans="1:13" x14ac:dyDescent="0.3">
      <c r="A1591" t="s">
        <v>5585</v>
      </c>
      <c r="B1591" t="s">
        <v>46</v>
      </c>
      <c r="C1591" t="s">
        <v>25</v>
      </c>
      <c r="D1591" t="s">
        <v>207</v>
      </c>
      <c r="E1591">
        <v>3041</v>
      </c>
      <c r="F1591" t="s">
        <v>5586</v>
      </c>
      <c r="G1591" t="s">
        <v>5587</v>
      </c>
      <c r="H1591" t="s">
        <v>5587</v>
      </c>
      <c r="I1591" t="s">
        <v>211</v>
      </c>
      <c r="J1591" t="s">
        <v>14</v>
      </c>
      <c r="L1591">
        <v>45683</v>
      </c>
      <c r="M1591" t="s">
        <v>128</v>
      </c>
    </row>
    <row r="1592" spans="1:13" x14ac:dyDescent="0.3">
      <c r="A1592" t="s">
        <v>5588</v>
      </c>
      <c r="B1592" t="s">
        <v>37</v>
      </c>
      <c r="C1592" t="s">
        <v>25</v>
      </c>
      <c r="D1592" t="s">
        <v>97</v>
      </c>
      <c r="E1592">
        <v>3036</v>
      </c>
      <c r="F1592" t="s">
        <v>5589</v>
      </c>
      <c r="G1592" t="s">
        <v>5590</v>
      </c>
      <c r="H1592" t="s">
        <v>5590</v>
      </c>
      <c r="I1592" t="s">
        <v>100</v>
      </c>
      <c r="J1592" t="s">
        <v>101</v>
      </c>
      <c r="L1592">
        <v>45713</v>
      </c>
      <c r="M1592" t="s">
        <v>128</v>
      </c>
    </row>
    <row r="1593" spans="1:13" x14ac:dyDescent="0.3">
      <c r="A1593" t="s">
        <v>5591</v>
      </c>
      <c r="B1593" t="s">
        <v>37</v>
      </c>
      <c r="C1593" t="s">
        <v>25</v>
      </c>
      <c r="D1593" t="s">
        <v>207</v>
      </c>
      <c r="E1593">
        <v>3041</v>
      </c>
      <c r="F1593" t="s">
        <v>5592</v>
      </c>
      <c r="G1593" t="s">
        <v>5593</v>
      </c>
      <c r="H1593" t="s">
        <v>5594</v>
      </c>
      <c r="I1593" t="s">
        <v>211</v>
      </c>
      <c r="J1593" t="s">
        <v>14</v>
      </c>
      <c r="L1593">
        <v>45728</v>
      </c>
      <c r="M1593" t="s">
        <v>363</v>
      </c>
    </row>
    <row r="1594" spans="1:13" x14ac:dyDescent="0.3">
      <c r="A1594" t="s">
        <v>5595</v>
      </c>
      <c r="B1594" t="s">
        <v>37</v>
      </c>
      <c r="C1594" t="s">
        <v>25</v>
      </c>
      <c r="D1594" t="s">
        <v>118</v>
      </c>
      <c r="E1594">
        <v>3038</v>
      </c>
      <c r="F1594" t="s">
        <v>5596</v>
      </c>
      <c r="G1594" t="s">
        <v>5597</v>
      </c>
      <c r="H1594" t="s">
        <v>5598</v>
      </c>
      <c r="I1594" t="s">
        <v>122</v>
      </c>
      <c r="J1594" t="s">
        <v>123</v>
      </c>
      <c r="L1594">
        <v>45664</v>
      </c>
      <c r="M1594" t="s">
        <v>124</v>
      </c>
    </row>
    <row r="1595" spans="1:13" x14ac:dyDescent="0.3">
      <c r="A1595" t="s">
        <v>5599</v>
      </c>
      <c r="B1595" t="s">
        <v>46</v>
      </c>
      <c r="C1595" t="s">
        <v>26</v>
      </c>
      <c r="D1595" t="s">
        <v>444</v>
      </c>
      <c r="E1595">
        <v>3042</v>
      </c>
      <c r="F1595" t="s">
        <v>5600</v>
      </c>
      <c r="G1595" t="s">
        <v>5601</v>
      </c>
      <c r="H1595" t="s">
        <v>5601</v>
      </c>
      <c r="I1595" t="s">
        <v>448</v>
      </c>
      <c r="J1595" t="s">
        <v>449</v>
      </c>
      <c r="L1595">
        <v>45667</v>
      </c>
      <c r="M1595" t="s">
        <v>450</v>
      </c>
    </row>
    <row r="1596" spans="1:13" x14ac:dyDescent="0.3">
      <c r="A1596" t="s">
        <v>5602</v>
      </c>
      <c r="B1596" t="s">
        <v>37</v>
      </c>
      <c r="C1596" t="s">
        <v>22</v>
      </c>
      <c r="D1596" t="s">
        <v>207</v>
      </c>
      <c r="E1596">
        <v>3041</v>
      </c>
      <c r="F1596" t="s">
        <v>5603</v>
      </c>
      <c r="G1596" t="s">
        <v>5604</v>
      </c>
      <c r="H1596" t="s">
        <v>5604</v>
      </c>
      <c r="I1596" t="s">
        <v>211</v>
      </c>
      <c r="J1596" t="s">
        <v>14</v>
      </c>
      <c r="L1596">
        <v>45736</v>
      </c>
      <c r="M1596" t="s">
        <v>300</v>
      </c>
    </row>
    <row r="1597" spans="1:13" x14ac:dyDescent="0.3">
      <c r="A1597" t="s">
        <v>5605</v>
      </c>
      <c r="B1597" t="s">
        <v>46</v>
      </c>
      <c r="C1597" t="s">
        <v>26</v>
      </c>
      <c r="D1597" t="s">
        <v>207</v>
      </c>
      <c r="E1597">
        <v>3041</v>
      </c>
      <c r="F1597" t="s">
        <v>5606</v>
      </c>
      <c r="G1597" t="s">
        <v>5607</v>
      </c>
      <c r="H1597" t="s">
        <v>5607</v>
      </c>
      <c r="I1597" t="s">
        <v>211</v>
      </c>
      <c r="J1597" t="s">
        <v>14</v>
      </c>
      <c r="L1597">
        <v>45734</v>
      </c>
      <c r="M1597" t="s">
        <v>394</v>
      </c>
    </row>
    <row r="1598" spans="1:13" x14ac:dyDescent="0.3">
      <c r="A1598" t="s">
        <v>5608</v>
      </c>
      <c r="B1598" t="s">
        <v>46</v>
      </c>
      <c r="C1598" t="s">
        <v>25</v>
      </c>
      <c r="D1598" t="s">
        <v>47</v>
      </c>
      <c r="E1598">
        <v>3032</v>
      </c>
      <c r="F1598" t="s">
        <v>5175</v>
      </c>
      <c r="G1598" t="s">
        <v>5609</v>
      </c>
      <c r="H1598" t="s">
        <v>5610</v>
      </c>
      <c r="I1598" t="s">
        <v>51</v>
      </c>
      <c r="J1598" t="s">
        <v>52</v>
      </c>
      <c r="L1598">
        <v>45737</v>
      </c>
      <c r="M1598" t="s">
        <v>881</v>
      </c>
    </row>
    <row r="1599" spans="1:13" x14ac:dyDescent="0.3">
      <c r="A1599" t="s">
        <v>5611</v>
      </c>
      <c r="B1599" t="s">
        <v>37</v>
      </c>
      <c r="C1599" t="s">
        <v>24</v>
      </c>
      <c r="D1599" t="s">
        <v>444</v>
      </c>
      <c r="E1599">
        <v>3042</v>
      </c>
      <c r="F1599" t="s">
        <v>5612</v>
      </c>
      <c r="G1599" t="s">
        <v>5613</v>
      </c>
      <c r="H1599" t="s">
        <v>5614</v>
      </c>
      <c r="I1599" t="s">
        <v>448</v>
      </c>
      <c r="J1599" t="s">
        <v>449</v>
      </c>
      <c r="L1599">
        <v>45679</v>
      </c>
      <c r="M1599" t="s">
        <v>450</v>
      </c>
    </row>
    <row r="1600" spans="1:13" x14ac:dyDescent="0.3">
      <c r="A1600" t="s">
        <v>5615</v>
      </c>
      <c r="B1600" t="s">
        <v>37</v>
      </c>
      <c r="C1600" t="s">
        <v>22</v>
      </c>
      <c r="D1600" t="s">
        <v>97</v>
      </c>
      <c r="E1600">
        <v>3036</v>
      </c>
      <c r="F1600" t="s">
        <v>5616</v>
      </c>
      <c r="G1600" t="s">
        <v>5617</v>
      </c>
      <c r="H1600" t="s">
        <v>5618</v>
      </c>
      <c r="I1600" t="s">
        <v>100</v>
      </c>
      <c r="J1600" t="s">
        <v>101</v>
      </c>
      <c r="K1600" t="s">
        <v>21</v>
      </c>
      <c r="L1600">
        <v>45734</v>
      </c>
      <c r="M1600" t="s">
        <v>65</v>
      </c>
    </row>
    <row r="1601" spans="1:13" x14ac:dyDescent="0.3">
      <c r="A1601" t="s">
        <v>5619</v>
      </c>
      <c r="B1601" t="s">
        <v>37</v>
      </c>
      <c r="C1601" t="s">
        <v>24</v>
      </c>
      <c r="D1601" t="s">
        <v>207</v>
      </c>
      <c r="E1601">
        <v>3041</v>
      </c>
      <c r="F1601" t="s">
        <v>5620</v>
      </c>
      <c r="G1601" t="s">
        <v>5621</v>
      </c>
      <c r="H1601" t="s">
        <v>5622</v>
      </c>
      <c r="I1601" t="s">
        <v>211</v>
      </c>
      <c r="J1601" t="s">
        <v>14</v>
      </c>
      <c r="L1601">
        <v>45680</v>
      </c>
      <c r="M1601" t="s">
        <v>363</v>
      </c>
    </row>
    <row r="1602" spans="1:13" x14ac:dyDescent="0.3">
      <c r="A1602" t="s">
        <v>5623</v>
      </c>
      <c r="B1602" t="s">
        <v>46</v>
      </c>
      <c r="C1602" t="s">
        <v>22</v>
      </c>
      <c r="D1602" t="s">
        <v>55</v>
      </c>
      <c r="E1602">
        <v>3033</v>
      </c>
      <c r="F1602" t="s">
        <v>30</v>
      </c>
      <c r="G1602" t="s">
        <v>5624</v>
      </c>
      <c r="H1602" t="s">
        <v>5624</v>
      </c>
      <c r="I1602" t="s">
        <v>58</v>
      </c>
      <c r="J1602" t="s">
        <v>59</v>
      </c>
      <c r="L1602">
        <v>45743</v>
      </c>
      <c r="M1602" t="s">
        <v>90</v>
      </c>
    </row>
    <row r="1603" spans="1:13" x14ac:dyDescent="0.3">
      <c r="A1603" t="s">
        <v>5625</v>
      </c>
      <c r="B1603" t="s">
        <v>46</v>
      </c>
      <c r="C1603" t="s">
        <v>26</v>
      </c>
      <c r="D1603" t="s">
        <v>47</v>
      </c>
      <c r="E1603">
        <v>3032</v>
      </c>
      <c r="F1603" t="s">
        <v>330</v>
      </c>
      <c r="G1603" t="s">
        <v>5626</v>
      </c>
      <c r="H1603" t="s">
        <v>5627</v>
      </c>
      <c r="I1603" t="s">
        <v>51</v>
      </c>
      <c r="J1603" t="s">
        <v>52</v>
      </c>
      <c r="L1603">
        <v>45668</v>
      </c>
      <c r="M1603" t="s">
        <v>90</v>
      </c>
    </row>
    <row r="1604" spans="1:13" x14ac:dyDescent="0.3">
      <c r="A1604" t="s">
        <v>5628</v>
      </c>
      <c r="B1604" t="s">
        <v>46</v>
      </c>
      <c r="C1604" t="s">
        <v>22</v>
      </c>
      <c r="D1604" t="s">
        <v>191</v>
      </c>
      <c r="E1604">
        <v>3040</v>
      </c>
      <c r="F1604" t="s">
        <v>5629</v>
      </c>
      <c r="G1604" t="s">
        <v>5630</v>
      </c>
      <c r="H1604" t="s">
        <v>5630</v>
      </c>
      <c r="I1604" t="s">
        <v>194</v>
      </c>
      <c r="J1604" t="s">
        <v>13</v>
      </c>
      <c r="K1604" t="s">
        <v>21</v>
      </c>
      <c r="L1604">
        <v>45731</v>
      </c>
      <c r="M1604" t="s">
        <v>321</v>
      </c>
    </row>
    <row r="1605" spans="1:13" x14ac:dyDescent="0.3">
      <c r="A1605" t="s">
        <v>5631</v>
      </c>
      <c r="B1605" t="s">
        <v>46</v>
      </c>
      <c r="C1605" t="s">
        <v>22</v>
      </c>
      <c r="D1605" t="s">
        <v>104</v>
      </c>
      <c r="E1605">
        <v>3037</v>
      </c>
      <c r="F1605" t="s">
        <v>5632</v>
      </c>
      <c r="G1605" t="s">
        <v>5633</v>
      </c>
      <c r="H1605" t="s">
        <v>5634</v>
      </c>
      <c r="I1605" t="s">
        <v>12</v>
      </c>
      <c r="J1605" t="s">
        <v>13</v>
      </c>
      <c r="L1605">
        <v>45674</v>
      </c>
      <c r="M1605" t="s">
        <v>224</v>
      </c>
    </row>
    <row r="1606" spans="1:13" x14ac:dyDescent="0.3">
      <c r="A1606" t="s">
        <v>5635</v>
      </c>
      <c r="B1606" t="s">
        <v>46</v>
      </c>
      <c r="C1606" t="s">
        <v>25</v>
      </c>
      <c r="D1606" t="s">
        <v>47</v>
      </c>
      <c r="E1606">
        <v>3032</v>
      </c>
      <c r="F1606" t="s">
        <v>5636</v>
      </c>
      <c r="G1606" t="s">
        <v>5637</v>
      </c>
      <c r="H1606" t="s">
        <v>5637</v>
      </c>
      <c r="I1606" t="s">
        <v>51</v>
      </c>
      <c r="J1606" t="s">
        <v>52</v>
      </c>
      <c r="L1606">
        <v>45665</v>
      </c>
      <c r="M1606" t="s">
        <v>90</v>
      </c>
    </row>
    <row r="1607" spans="1:13" x14ac:dyDescent="0.3">
      <c r="A1607" t="s">
        <v>5638</v>
      </c>
      <c r="B1607" t="s">
        <v>37</v>
      </c>
      <c r="C1607" t="s">
        <v>22</v>
      </c>
      <c r="D1607" t="s">
        <v>118</v>
      </c>
      <c r="E1607">
        <v>3038</v>
      </c>
      <c r="F1607" t="s">
        <v>5639</v>
      </c>
      <c r="G1607" t="s">
        <v>5640</v>
      </c>
      <c r="H1607" t="s">
        <v>5640</v>
      </c>
      <c r="I1607" t="s">
        <v>122</v>
      </c>
      <c r="J1607" t="s">
        <v>123</v>
      </c>
      <c r="K1607" t="s">
        <v>21</v>
      </c>
      <c r="L1607">
        <v>45699</v>
      </c>
      <c r="M1607" t="s">
        <v>581</v>
      </c>
    </row>
    <row r="1608" spans="1:13" x14ac:dyDescent="0.3">
      <c r="A1608" t="s">
        <v>5641</v>
      </c>
      <c r="B1608" t="s">
        <v>37</v>
      </c>
      <c r="C1608" t="s">
        <v>22</v>
      </c>
      <c r="D1608" t="s">
        <v>71</v>
      </c>
      <c r="E1608">
        <v>3034</v>
      </c>
      <c r="F1608" t="s">
        <v>5642</v>
      </c>
      <c r="G1608" t="s">
        <v>5643</v>
      </c>
      <c r="H1608" t="s">
        <v>5644</v>
      </c>
      <c r="I1608" t="s">
        <v>74</v>
      </c>
      <c r="J1608" t="s">
        <v>75</v>
      </c>
      <c r="K1608" t="s">
        <v>21</v>
      </c>
      <c r="L1608">
        <v>45688</v>
      </c>
      <c r="M1608" t="s">
        <v>165</v>
      </c>
    </row>
    <row r="1609" spans="1:13" x14ac:dyDescent="0.3">
      <c r="A1609" t="s">
        <v>5645</v>
      </c>
      <c r="B1609" t="s">
        <v>46</v>
      </c>
      <c r="C1609" t="s">
        <v>22</v>
      </c>
      <c r="D1609" t="s">
        <v>104</v>
      </c>
      <c r="E1609">
        <v>3037</v>
      </c>
      <c r="F1609" t="s">
        <v>5646</v>
      </c>
      <c r="G1609" t="s">
        <v>5647</v>
      </c>
      <c r="H1609" t="s">
        <v>5648</v>
      </c>
      <c r="I1609" t="s">
        <v>12</v>
      </c>
      <c r="J1609" t="s">
        <v>13</v>
      </c>
      <c r="L1609">
        <v>45682</v>
      </c>
      <c r="M1609" t="s">
        <v>189</v>
      </c>
    </row>
    <row r="1610" spans="1:13" x14ac:dyDescent="0.3">
      <c r="A1610" t="s">
        <v>5649</v>
      </c>
      <c r="B1610" t="s">
        <v>37</v>
      </c>
      <c r="C1610" t="s">
        <v>25</v>
      </c>
      <c r="D1610" t="s">
        <v>38</v>
      </c>
      <c r="E1610">
        <v>3031</v>
      </c>
      <c r="F1610" t="s">
        <v>5650</v>
      </c>
      <c r="G1610" t="s">
        <v>5651</v>
      </c>
      <c r="H1610" t="s">
        <v>5651</v>
      </c>
      <c r="I1610" t="s">
        <v>42</v>
      </c>
      <c r="J1610" t="s">
        <v>43</v>
      </c>
      <c r="L1610">
        <v>45676</v>
      </c>
      <c r="M1610" t="s">
        <v>76</v>
      </c>
    </row>
    <row r="1611" spans="1:13" x14ac:dyDescent="0.3">
      <c r="A1611" t="s">
        <v>5652</v>
      </c>
      <c r="B1611" t="s">
        <v>37</v>
      </c>
      <c r="C1611" t="s">
        <v>22</v>
      </c>
      <c r="D1611" t="s">
        <v>47</v>
      </c>
      <c r="E1611">
        <v>3032</v>
      </c>
      <c r="F1611" t="s">
        <v>5653</v>
      </c>
      <c r="G1611" t="s">
        <v>5654</v>
      </c>
      <c r="H1611" t="s">
        <v>5655</v>
      </c>
      <c r="I1611" t="s">
        <v>51</v>
      </c>
      <c r="J1611" t="s">
        <v>52</v>
      </c>
      <c r="K1611" t="s">
        <v>21</v>
      </c>
      <c r="L1611">
        <v>45732</v>
      </c>
      <c r="M1611" t="s">
        <v>656</v>
      </c>
    </row>
    <row r="1612" spans="1:13" x14ac:dyDescent="0.3">
      <c r="A1612" t="s">
        <v>5656</v>
      </c>
      <c r="B1612" t="s">
        <v>46</v>
      </c>
      <c r="C1612" t="s">
        <v>22</v>
      </c>
      <c r="D1612" t="s">
        <v>444</v>
      </c>
      <c r="E1612">
        <v>3042</v>
      </c>
      <c r="F1612" t="s">
        <v>4698</v>
      </c>
      <c r="G1612" t="s">
        <v>5657</v>
      </c>
      <c r="H1612" t="s">
        <v>5657</v>
      </c>
      <c r="I1612" t="s">
        <v>448</v>
      </c>
      <c r="J1612" t="s">
        <v>449</v>
      </c>
      <c r="K1612" t="s">
        <v>21</v>
      </c>
      <c r="L1612">
        <v>45737</v>
      </c>
      <c r="M1612" t="s">
        <v>481</v>
      </c>
    </row>
    <row r="1613" spans="1:13" x14ac:dyDescent="0.3">
      <c r="A1613" t="s">
        <v>5658</v>
      </c>
      <c r="B1613" t="s">
        <v>37</v>
      </c>
      <c r="C1613" t="s">
        <v>22</v>
      </c>
      <c r="D1613" t="s">
        <v>78</v>
      </c>
      <c r="E1613">
        <v>3035</v>
      </c>
      <c r="F1613" t="s">
        <v>5659</v>
      </c>
      <c r="G1613" t="s">
        <v>5660</v>
      </c>
      <c r="H1613" t="s">
        <v>5660</v>
      </c>
      <c r="I1613" t="s">
        <v>81</v>
      </c>
      <c r="J1613" t="s">
        <v>82</v>
      </c>
      <c r="K1613" t="s">
        <v>21</v>
      </c>
      <c r="L1613">
        <v>45682</v>
      </c>
      <c r="M1613" t="s">
        <v>287</v>
      </c>
    </row>
    <row r="1614" spans="1:13" x14ac:dyDescent="0.3">
      <c r="A1614" t="s">
        <v>5661</v>
      </c>
      <c r="B1614" t="s">
        <v>37</v>
      </c>
      <c r="C1614" t="s">
        <v>26</v>
      </c>
      <c r="D1614" t="s">
        <v>118</v>
      </c>
      <c r="E1614">
        <v>3038</v>
      </c>
      <c r="F1614" t="s">
        <v>5662</v>
      </c>
      <c r="G1614" t="s">
        <v>5663</v>
      </c>
      <c r="H1614" t="s">
        <v>5664</v>
      </c>
      <c r="I1614" t="s">
        <v>122</v>
      </c>
      <c r="J1614" t="s">
        <v>123</v>
      </c>
      <c r="L1614">
        <v>45690</v>
      </c>
      <c r="M1614" t="s">
        <v>95</v>
      </c>
    </row>
    <row r="1615" spans="1:13" x14ac:dyDescent="0.3">
      <c r="A1615" t="s">
        <v>5665</v>
      </c>
      <c r="B1615" t="s">
        <v>46</v>
      </c>
      <c r="C1615" t="s">
        <v>26</v>
      </c>
      <c r="D1615" t="s">
        <v>78</v>
      </c>
      <c r="E1615">
        <v>3035</v>
      </c>
      <c r="F1615" t="s">
        <v>3152</v>
      </c>
      <c r="G1615" t="s">
        <v>5666</v>
      </c>
      <c r="H1615" t="s">
        <v>5666</v>
      </c>
      <c r="I1615" t="s">
        <v>81</v>
      </c>
      <c r="J1615" t="s">
        <v>82</v>
      </c>
      <c r="K1615" t="s">
        <v>21</v>
      </c>
      <c r="L1615">
        <v>45707</v>
      </c>
      <c r="M1615" t="s">
        <v>69</v>
      </c>
    </row>
    <row r="1616" spans="1:13" x14ac:dyDescent="0.3">
      <c r="A1616" t="s">
        <v>5667</v>
      </c>
      <c r="B1616" t="s">
        <v>46</v>
      </c>
      <c r="C1616" t="s">
        <v>24</v>
      </c>
      <c r="D1616" t="s">
        <v>97</v>
      </c>
      <c r="E1616">
        <v>3036</v>
      </c>
      <c r="F1616" t="s">
        <v>2232</v>
      </c>
      <c r="G1616" t="s">
        <v>5668</v>
      </c>
      <c r="H1616" t="s">
        <v>5668</v>
      </c>
      <c r="I1616" t="s">
        <v>100</v>
      </c>
      <c r="J1616" t="s">
        <v>101</v>
      </c>
      <c r="L1616">
        <v>45663</v>
      </c>
      <c r="M1616" t="s">
        <v>292</v>
      </c>
    </row>
    <row r="1617" spans="1:13" x14ac:dyDescent="0.3">
      <c r="A1617" t="s">
        <v>5669</v>
      </c>
      <c r="B1617" t="s">
        <v>46</v>
      </c>
      <c r="C1617" t="s">
        <v>24</v>
      </c>
      <c r="D1617" t="s">
        <v>207</v>
      </c>
      <c r="E1617">
        <v>3041</v>
      </c>
      <c r="F1617" t="s">
        <v>5670</v>
      </c>
      <c r="G1617" t="s">
        <v>5671</v>
      </c>
      <c r="H1617" t="s">
        <v>5672</v>
      </c>
      <c r="I1617" t="s">
        <v>211</v>
      </c>
      <c r="J1617" t="s">
        <v>14</v>
      </c>
      <c r="K1617" t="s">
        <v>21</v>
      </c>
      <c r="L1617">
        <v>45659</v>
      </c>
      <c r="M1617" t="s">
        <v>300</v>
      </c>
    </row>
    <row r="1618" spans="1:13" x14ac:dyDescent="0.3">
      <c r="A1618" t="s">
        <v>5673</v>
      </c>
      <c r="B1618" t="s">
        <v>46</v>
      </c>
      <c r="C1618" t="s">
        <v>22</v>
      </c>
      <c r="D1618" t="s">
        <v>136</v>
      </c>
      <c r="E1618">
        <v>3039</v>
      </c>
      <c r="F1618" t="s">
        <v>5674</v>
      </c>
      <c r="G1618" t="s">
        <v>5675</v>
      </c>
      <c r="H1618" t="s">
        <v>5676</v>
      </c>
      <c r="I1618" t="s">
        <v>15</v>
      </c>
      <c r="J1618" t="s">
        <v>14</v>
      </c>
      <c r="L1618">
        <v>45736</v>
      </c>
      <c r="M1618" t="s">
        <v>140</v>
      </c>
    </row>
    <row r="1619" spans="1:13" x14ac:dyDescent="0.3">
      <c r="A1619" t="s">
        <v>5677</v>
      </c>
      <c r="B1619" t="s">
        <v>46</v>
      </c>
      <c r="C1619" t="s">
        <v>22</v>
      </c>
      <c r="D1619" t="s">
        <v>78</v>
      </c>
      <c r="E1619">
        <v>3035</v>
      </c>
      <c r="F1619" t="s">
        <v>5678</v>
      </c>
      <c r="G1619" t="s">
        <v>5679</v>
      </c>
      <c r="H1619" t="s">
        <v>5679</v>
      </c>
      <c r="I1619" t="s">
        <v>81</v>
      </c>
      <c r="J1619" t="s">
        <v>82</v>
      </c>
      <c r="K1619" t="s">
        <v>21</v>
      </c>
      <c r="L1619">
        <v>45704</v>
      </c>
      <c r="M1619" t="s">
        <v>95</v>
      </c>
    </row>
    <row r="1620" spans="1:13" x14ac:dyDescent="0.3">
      <c r="A1620" t="s">
        <v>5680</v>
      </c>
      <c r="B1620" t="s">
        <v>37</v>
      </c>
      <c r="C1620" t="s">
        <v>22</v>
      </c>
      <c r="D1620" t="s">
        <v>207</v>
      </c>
      <c r="E1620">
        <v>3041</v>
      </c>
      <c r="F1620" t="s">
        <v>5681</v>
      </c>
      <c r="G1620" t="s">
        <v>5682</v>
      </c>
      <c r="H1620" t="s">
        <v>5683</v>
      </c>
      <c r="I1620" t="s">
        <v>211</v>
      </c>
      <c r="J1620" t="s">
        <v>14</v>
      </c>
      <c r="K1620" t="s">
        <v>21</v>
      </c>
      <c r="L1620">
        <v>45661</v>
      </c>
      <c r="M1620" t="s">
        <v>394</v>
      </c>
    </row>
    <row r="1621" spans="1:13" x14ac:dyDescent="0.3">
      <c r="A1621" t="s">
        <v>5684</v>
      </c>
      <c r="B1621" t="s">
        <v>37</v>
      </c>
      <c r="C1621" t="s">
        <v>25</v>
      </c>
      <c r="D1621" t="s">
        <v>38</v>
      </c>
      <c r="E1621">
        <v>3031</v>
      </c>
      <c r="F1621" t="s">
        <v>5685</v>
      </c>
      <c r="G1621" t="s">
        <v>5686</v>
      </c>
      <c r="H1621" t="s">
        <v>5687</v>
      </c>
      <c r="I1621" t="s">
        <v>42</v>
      </c>
      <c r="J1621" t="s">
        <v>43</v>
      </c>
      <c r="K1621" t="s">
        <v>21</v>
      </c>
      <c r="L1621">
        <v>45673</v>
      </c>
      <c r="M1621" t="s">
        <v>44</v>
      </c>
    </row>
    <row r="1622" spans="1:13" x14ac:dyDescent="0.3">
      <c r="A1622" t="s">
        <v>5688</v>
      </c>
      <c r="B1622" t="s">
        <v>37</v>
      </c>
      <c r="C1622" t="s">
        <v>24</v>
      </c>
      <c r="D1622" t="s">
        <v>71</v>
      </c>
      <c r="E1622">
        <v>3034</v>
      </c>
      <c r="F1622" t="s">
        <v>5689</v>
      </c>
      <c r="G1622" t="s">
        <v>5690</v>
      </c>
      <c r="H1622" t="s">
        <v>5691</v>
      </c>
      <c r="I1622" t="s">
        <v>74</v>
      </c>
      <c r="J1622" t="s">
        <v>75</v>
      </c>
      <c r="K1622" t="s">
        <v>21</v>
      </c>
      <c r="L1622">
        <v>45737</v>
      </c>
      <c r="M1622" t="s">
        <v>112</v>
      </c>
    </row>
    <row r="1623" spans="1:13" x14ac:dyDescent="0.3">
      <c r="A1623" t="s">
        <v>5692</v>
      </c>
      <c r="B1623" t="s">
        <v>46</v>
      </c>
      <c r="C1623" t="s">
        <v>24</v>
      </c>
      <c r="D1623" t="s">
        <v>78</v>
      </c>
      <c r="E1623">
        <v>3035</v>
      </c>
      <c r="F1623" t="s">
        <v>5693</v>
      </c>
      <c r="G1623" t="s">
        <v>5694</v>
      </c>
      <c r="H1623" t="s">
        <v>5694</v>
      </c>
      <c r="I1623" t="s">
        <v>81</v>
      </c>
      <c r="J1623" t="s">
        <v>82</v>
      </c>
      <c r="K1623" t="s">
        <v>21</v>
      </c>
      <c r="L1623">
        <v>45669</v>
      </c>
      <c r="M1623" t="s">
        <v>69</v>
      </c>
    </row>
    <row r="1624" spans="1:13" x14ac:dyDescent="0.3">
      <c r="A1624" t="s">
        <v>5695</v>
      </c>
      <c r="B1624" t="s">
        <v>46</v>
      </c>
      <c r="C1624" t="s">
        <v>22</v>
      </c>
      <c r="D1624" t="s">
        <v>55</v>
      </c>
      <c r="E1624">
        <v>3033</v>
      </c>
      <c r="F1624" t="s">
        <v>1839</v>
      </c>
      <c r="G1624" t="s">
        <v>5696</v>
      </c>
      <c r="H1624" t="s">
        <v>5697</v>
      </c>
      <c r="I1624" t="s">
        <v>58</v>
      </c>
      <c r="J1624" t="s">
        <v>59</v>
      </c>
      <c r="K1624" t="s">
        <v>21</v>
      </c>
      <c r="L1624">
        <v>45694</v>
      </c>
      <c r="M1624" t="s">
        <v>86</v>
      </c>
    </row>
    <row r="1625" spans="1:13" x14ac:dyDescent="0.3">
      <c r="A1625" t="s">
        <v>5698</v>
      </c>
      <c r="B1625" t="s">
        <v>46</v>
      </c>
      <c r="C1625" t="s">
        <v>22</v>
      </c>
      <c r="D1625" t="s">
        <v>118</v>
      </c>
      <c r="E1625">
        <v>3038</v>
      </c>
      <c r="F1625" t="s">
        <v>5699</v>
      </c>
      <c r="G1625" t="s">
        <v>5700</v>
      </c>
      <c r="H1625" t="s">
        <v>5700</v>
      </c>
      <c r="I1625" t="s">
        <v>122</v>
      </c>
      <c r="J1625" t="s">
        <v>123</v>
      </c>
      <c r="L1625">
        <v>45737</v>
      </c>
      <c r="M1625" t="s">
        <v>359</v>
      </c>
    </row>
    <row r="1626" spans="1:13" x14ac:dyDescent="0.3">
      <c r="A1626" t="s">
        <v>5701</v>
      </c>
      <c r="B1626" t="s">
        <v>46</v>
      </c>
      <c r="C1626" t="s">
        <v>25</v>
      </c>
      <c r="D1626" t="s">
        <v>97</v>
      </c>
      <c r="E1626">
        <v>3036</v>
      </c>
      <c r="F1626" t="s">
        <v>5702</v>
      </c>
      <c r="G1626" t="s">
        <v>5703</v>
      </c>
      <c r="H1626" t="s">
        <v>5704</v>
      </c>
      <c r="I1626" t="s">
        <v>100</v>
      </c>
      <c r="J1626" t="s">
        <v>101</v>
      </c>
      <c r="L1626">
        <v>45720</v>
      </c>
      <c r="M1626" t="s">
        <v>128</v>
      </c>
    </row>
    <row r="1627" spans="1:13" x14ac:dyDescent="0.3">
      <c r="A1627" t="s">
        <v>5705</v>
      </c>
      <c r="B1627" t="s">
        <v>46</v>
      </c>
      <c r="C1627" t="s">
        <v>25</v>
      </c>
      <c r="D1627" t="s">
        <v>207</v>
      </c>
      <c r="E1627">
        <v>3041</v>
      </c>
      <c r="F1627" t="s">
        <v>5706</v>
      </c>
      <c r="G1627" t="s">
        <v>5707</v>
      </c>
      <c r="H1627" t="s">
        <v>5708</v>
      </c>
      <c r="I1627" t="s">
        <v>211</v>
      </c>
      <c r="J1627" t="s">
        <v>14</v>
      </c>
      <c r="L1627">
        <v>45697</v>
      </c>
      <c r="M1627" t="s">
        <v>212</v>
      </c>
    </row>
    <row r="1628" spans="1:13" x14ac:dyDescent="0.3">
      <c r="A1628" t="s">
        <v>5709</v>
      </c>
      <c r="B1628" t="s">
        <v>46</v>
      </c>
      <c r="C1628" t="s">
        <v>26</v>
      </c>
      <c r="D1628" t="s">
        <v>55</v>
      </c>
      <c r="E1628">
        <v>3033</v>
      </c>
      <c r="F1628" t="s">
        <v>5710</v>
      </c>
      <c r="G1628" t="s">
        <v>5711</v>
      </c>
      <c r="H1628" t="s">
        <v>5712</v>
      </c>
      <c r="I1628" t="s">
        <v>58</v>
      </c>
      <c r="J1628" t="s">
        <v>59</v>
      </c>
      <c r="K1628" t="s">
        <v>21</v>
      </c>
      <c r="L1628">
        <v>45693</v>
      </c>
      <c r="M1628" t="s">
        <v>86</v>
      </c>
    </row>
    <row r="1629" spans="1:13" x14ac:dyDescent="0.3">
      <c r="A1629" t="s">
        <v>5713</v>
      </c>
      <c r="B1629" t="s">
        <v>46</v>
      </c>
      <c r="C1629" t="s">
        <v>25</v>
      </c>
      <c r="D1629" t="s">
        <v>444</v>
      </c>
      <c r="E1629">
        <v>3042</v>
      </c>
      <c r="F1629" t="s">
        <v>5714</v>
      </c>
      <c r="G1629" t="s">
        <v>5715</v>
      </c>
      <c r="H1629" t="s">
        <v>5716</v>
      </c>
      <c r="I1629" t="s">
        <v>448</v>
      </c>
      <c r="J1629" t="s">
        <v>449</v>
      </c>
      <c r="K1629" t="s">
        <v>21</v>
      </c>
      <c r="L1629">
        <v>45698</v>
      </c>
      <c r="M1629" t="s">
        <v>107</v>
      </c>
    </row>
    <row r="1630" spans="1:13" x14ac:dyDescent="0.3">
      <c r="A1630" t="s">
        <v>5717</v>
      </c>
      <c r="B1630" t="s">
        <v>46</v>
      </c>
      <c r="C1630" t="s">
        <v>22</v>
      </c>
      <c r="D1630" t="s">
        <v>55</v>
      </c>
      <c r="E1630">
        <v>3033</v>
      </c>
      <c r="F1630" t="s">
        <v>5718</v>
      </c>
      <c r="G1630" t="s">
        <v>5719</v>
      </c>
      <c r="H1630" t="s">
        <v>5720</v>
      </c>
      <c r="I1630" t="s">
        <v>58</v>
      </c>
      <c r="J1630" t="s">
        <v>59</v>
      </c>
      <c r="K1630" t="s">
        <v>21</v>
      </c>
      <c r="L1630">
        <v>45736</v>
      </c>
      <c r="M1630" t="s">
        <v>69</v>
      </c>
    </row>
    <row r="1631" spans="1:13" x14ac:dyDescent="0.3">
      <c r="A1631" t="s">
        <v>5721</v>
      </c>
      <c r="B1631" t="s">
        <v>37</v>
      </c>
      <c r="C1631" t="s">
        <v>22</v>
      </c>
      <c r="D1631" t="s">
        <v>71</v>
      </c>
      <c r="E1631">
        <v>3034</v>
      </c>
      <c r="F1631" t="s">
        <v>5722</v>
      </c>
      <c r="G1631" t="s">
        <v>5723</v>
      </c>
      <c r="H1631" t="s">
        <v>5724</v>
      </c>
      <c r="I1631" t="s">
        <v>74</v>
      </c>
      <c r="J1631" t="s">
        <v>75</v>
      </c>
      <c r="K1631" t="s">
        <v>21</v>
      </c>
      <c r="L1631">
        <v>45693</v>
      </c>
      <c r="M1631" t="s">
        <v>212</v>
      </c>
    </row>
    <row r="1632" spans="1:13" x14ac:dyDescent="0.3">
      <c r="A1632" t="s">
        <v>5725</v>
      </c>
      <c r="B1632" t="s">
        <v>46</v>
      </c>
      <c r="C1632" t="s">
        <v>25</v>
      </c>
      <c r="D1632" t="s">
        <v>78</v>
      </c>
      <c r="E1632">
        <v>3035</v>
      </c>
      <c r="F1632" t="s">
        <v>5726</v>
      </c>
      <c r="G1632" t="s">
        <v>5727</v>
      </c>
      <c r="H1632" t="s">
        <v>5727</v>
      </c>
      <c r="I1632" t="s">
        <v>81</v>
      </c>
      <c r="J1632" t="s">
        <v>82</v>
      </c>
      <c r="L1632">
        <v>45673</v>
      </c>
      <c r="M1632" t="s">
        <v>489</v>
      </c>
    </row>
    <row r="1633" spans="1:13" x14ac:dyDescent="0.3">
      <c r="A1633" t="s">
        <v>5728</v>
      </c>
      <c r="B1633" t="s">
        <v>46</v>
      </c>
      <c r="C1633" t="s">
        <v>26</v>
      </c>
      <c r="D1633" t="s">
        <v>207</v>
      </c>
      <c r="E1633">
        <v>3041</v>
      </c>
      <c r="F1633" t="s">
        <v>5729</v>
      </c>
      <c r="G1633" t="s">
        <v>5730</v>
      </c>
      <c r="H1633" t="s">
        <v>5731</v>
      </c>
      <c r="I1633" t="s">
        <v>211</v>
      </c>
      <c r="J1633" t="s">
        <v>14</v>
      </c>
      <c r="K1633" t="s">
        <v>21</v>
      </c>
      <c r="L1633">
        <v>45733</v>
      </c>
      <c r="M1633" t="s">
        <v>363</v>
      </c>
    </row>
    <row r="1634" spans="1:13" x14ac:dyDescent="0.3">
      <c r="A1634" t="s">
        <v>5732</v>
      </c>
      <c r="B1634" t="s">
        <v>37</v>
      </c>
      <c r="C1634" t="s">
        <v>22</v>
      </c>
      <c r="D1634" t="s">
        <v>97</v>
      </c>
      <c r="E1634">
        <v>3036</v>
      </c>
      <c r="F1634" t="s">
        <v>5733</v>
      </c>
      <c r="G1634" t="s">
        <v>5734</v>
      </c>
      <c r="H1634" t="s">
        <v>5734</v>
      </c>
      <c r="I1634" t="s">
        <v>100</v>
      </c>
      <c r="J1634" t="s">
        <v>101</v>
      </c>
      <c r="L1634">
        <v>45745</v>
      </c>
      <c r="M1634" t="s">
        <v>65</v>
      </c>
    </row>
    <row r="1635" spans="1:13" x14ac:dyDescent="0.3">
      <c r="A1635" t="s">
        <v>5735</v>
      </c>
      <c r="B1635" t="s">
        <v>37</v>
      </c>
      <c r="C1635" t="s">
        <v>25</v>
      </c>
      <c r="D1635" t="s">
        <v>47</v>
      </c>
      <c r="E1635">
        <v>3032</v>
      </c>
      <c r="F1635" t="s">
        <v>5736</v>
      </c>
      <c r="G1635" t="s">
        <v>5737</v>
      </c>
      <c r="H1635" t="s">
        <v>5738</v>
      </c>
      <c r="I1635" t="s">
        <v>51</v>
      </c>
      <c r="J1635" t="s">
        <v>52</v>
      </c>
      <c r="K1635" t="s">
        <v>21</v>
      </c>
      <c r="L1635">
        <v>45694</v>
      </c>
      <c r="M1635" t="s">
        <v>53</v>
      </c>
    </row>
    <row r="1636" spans="1:13" x14ac:dyDescent="0.3">
      <c r="A1636" t="s">
        <v>5739</v>
      </c>
      <c r="B1636" t="s">
        <v>46</v>
      </c>
      <c r="C1636" t="s">
        <v>22</v>
      </c>
      <c r="D1636" t="s">
        <v>71</v>
      </c>
      <c r="E1636">
        <v>3034</v>
      </c>
      <c r="F1636" t="s">
        <v>5740</v>
      </c>
      <c r="G1636" t="s">
        <v>5741</v>
      </c>
      <c r="H1636" t="s">
        <v>5742</v>
      </c>
      <c r="I1636" t="s">
        <v>74</v>
      </c>
      <c r="J1636" t="s">
        <v>75</v>
      </c>
      <c r="L1636">
        <v>45669</v>
      </c>
      <c r="M1636" t="s">
        <v>205</v>
      </c>
    </row>
    <row r="1637" spans="1:13" x14ac:dyDescent="0.3">
      <c r="A1637" t="s">
        <v>5743</v>
      </c>
      <c r="B1637" t="s">
        <v>46</v>
      </c>
      <c r="C1637" t="s">
        <v>24</v>
      </c>
      <c r="D1637" t="s">
        <v>78</v>
      </c>
      <c r="E1637">
        <v>3035</v>
      </c>
      <c r="F1637" t="s">
        <v>2716</v>
      </c>
      <c r="G1637" t="s">
        <v>5744</v>
      </c>
      <c r="H1637" t="s">
        <v>5745</v>
      </c>
      <c r="I1637" t="s">
        <v>81</v>
      </c>
      <c r="J1637" t="s">
        <v>82</v>
      </c>
      <c r="K1637" t="s">
        <v>21</v>
      </c>
      <c r="L1637">
        <v>45710</v>
      </c>
      <c r="M1637" t="s">
        <v>205</v>
      </c>
    </row>
    <row r="1638" spans="1:13" x14ac:dyDescent="0.3">
      <c r="A1638" t="s">
        <v>5746</v>
      </c>
      <c r="B1638" t="s">
        <v>46</v>
      </c>
      <c r="C1638" t="s">
        <v>25</v>
      </c>
      <c r="D1638" t="s">
        <v>97</v>
      </c>
      <c r="E1638">
        <v>3036</v>
      </c>
      <c r="F1638" t="s">
        <v>5747</v>
      </c>
      <c r="G1638" t="s">
        <v>5748</v>
      </c>
      <c r="H1638" t="s">
        <v>5749</v>
      </c>
      <c r="I1638" t="s">
        <v>100</v>
      </c>
      <c r="J1638" t="s">
        <v>101</v>
      </c>
      <c r="K1638" t="s">
        <v>21</v>
      </c>
      <c r="L1638">
        <v>45683</v>
      </c>
      <c r="M1638" t="s">
        <v>165</v>
      </c>
    </row>
    <row r="1639" spans="1:13" x14ac:dyDescent="0.3">
      <c r="A1639" t="s">
        <v>5750</v>
      </c>
      <c r="B1639" t="s">
        <v>46</v>
      </c>
      <c r="C1639" t="s">
        <v>26</v>
      </c>
      <c r="D1639" t="s">
        <v>97</v>
      </c>
      <c r="E1639">
        <v>3036</v>
      </c>
      <c r="F1639" t="s">
        <v>5751</v>
      </c>
      <c r="G1639" t="s">
        <v>5752</v>
      </c>
      <c r="H1639" t="s">
        <v>5753</v>
      </c>
      <c r="I1639" t="s">
        <v>100</v>
      </c>
      <c r="J1639" t="s">
        <v>101</v>
      </c>
      <c r="K1639" t="s">
        <v>21</v>
      </c>
      <c r="L1639">
        <v>45728</v>
      </c>
      <c r="M1639" t="s">
        <v>292</v>
      </c>
    </row>
    <row r="1640" spans="1:13" x14ac:dyDescent="0.3">
      <c r="A1640" t="s">
        <v>5754</v>
      </c>
      <c r="B1640" t="s">
        <v>37</v>
      </c>
      <c r="C1640" t="s">
        <v>25</v>
      </c>
      <c r="D1640" t="s">
        <v>207</v>
      </c>
      <c r="E1640">
        <v>3041</v>
      </c>
      <c r="F1640" t="s">
        <v>5755</v>
      </c>
      <c r="G1640" t="s">
        <v>5756</v>
      </c>
      <c r="H1640" t="s">
        <v>5757</v>
      </c>
      <c r="I1640" t="s">
        <v>211</v>
      </c>
      <c r="J1640" t="s">
        <v>14</v>
      </c>
      <c r="L1640">
        <v>45700</v>
      </c>
      <c r="M1640" t="s">
        <v>394</v>
      </c>
    </row>
    <row r="1641" spans="1:13" x14ac:dyDescent="0.3">
      <c r="A1641" t="s">
        <v>5758</v>
      </c>
      <c r="B1641" t="s">
        <v>37</v>
      </c>
      <c r="C1641" t="s">
        <v>22</v>
      </c>
      <c r="D1641" t="s">
        <v>207</v>
      </c>
      <c r="E1641">
        <v>3041</v>
      </c>
      <c r="F1641" t="s">
        <v>5759</v>
      </c>
      <c r="G1641" t="s">
        <v>5760</v>
      </c>
      <c r="H1641" t="s">
        <v>5760</v>
      </c>
      <c r="I1641" t="s">
        <v>211</v>
      </c>
      <c r="J1641" t="s">
        <v>14</v>
      </c>
      <c r="L1641">
        <v>45729</v>
      </c>
      <c r="M1641" t="s">
        <v>363</v>
      </c>
    </row>
    <row r="1642" spans="1:13" x14ac:dyDescent="0.3">
      <c r="A1642" t="s">
        <v>5761</v>
      </c>
      <c r="B1642" t="s">
        <v>37</v>
      </c>
      <c r="C1642" t="s">
        <v>24</v>
      </c>
      <c r="D1642" t="s">
        <v>191</v>
      </c>
      <c r="E1642">
        <v>3040</v>
      </c>
      <c r="F1642" t="s">
        <v>5762</v>
      </c>
      <c r="G1642" t="s">
        <v>5763</v>
      </c>
      <c r="H1642" t="s">
        <v>5763</v>
      </c>
      <c r="I1642" t="s">
        <v>194</v>
      </c>
      <c r="J1642" t="s">
        <v>13</v>
      </c>
      <c r="L1642">
        <v>45685</v>
      </c>
      <c r="M1642" t="s">
        <v>160</v>
      </c>
    </row>
    <row r="1643" spans="1:13" x14ac:dyDescent="0.3">
      <c r="A1643" t="s">
        <v>5764</v>
      </c>
      <c r="B1643" t="s">
        <v>46</v>
      </c>
      <c r="C1643" t="s">
        <v>26</v>
      </c>
      <c r="D1643" t="s">
        <v>104</v>
      </c>
      <c r="E1643">
        <v>3037</v>
      </c>
      <c r="F1643" t="s">
        <v>5765</v>
      </c>
      <c r="G1643" t="s">
        <v>5766</v>
      </c>
      <c r="H1643" t="s">
        <v>5767</v>
      </c>
      <c r="I1643" t="s">
        <v>12</v>
      </c>
      <c r="J1643" t="s">
        <v>13</v>
      </c>
      <c r="K1643" t="s">
        <v>21</v>
      </c>
      <c r="L1643">
        <v>45708</v>
      </c>
      <c r="M1643" t="s">
        <v>76</v>
      </c>
    </row>
    <row r="1644" spans="1:13" x14ac:dyDescent="0.3">
      <c r="A1644" t="s">
        <v>5768</v>
      </c>
      <c r="B1644" t="s">
        <v>46</v>
      </c>
      <c r="C1644" t="s">
        <v>25</v>
      </c>
      <c r="D1644" t="s">
        <v>118</v>
      </c>
      <c r="E1644">
        <v>3038</v>
      </c>
      <c r="F1644" t="s">
        <v>5769</v>
      </c>
      <c r="G1644" t="s">
        <v>5770</v>
      </c>
      <c r="H1644" t="s">
        <v>5770</v>
      </c>
      <c r="I1644" t="s">
        <v>122</v>
      </c>
      <c r="J1644" t="s">
        <v>123</v>
      </c>
      <c r="L1644">
        <v>45710</v>
      </c>
      <c r="M1644" t="s">
        <v>389</v>
      </c>
    </row>
    <row r="1645" spans="1:13" x14ac:dyDescent="0.3">
      <c r="A1645" t="s">
        <v>5771</v>
      </c>
      <c r="B1645" t="s">
        <v>46</v>
      </c>
      <c r="C1645" t="s">
        <v>24</v>
      </c>
      <c r="D1645" t="s">
        <v>78</v>
      </c>
      <c r="E1645">
        <v>3035</v>
      </c>
      <c r="F1645" t="s">
        <v>5772</v>
      </c>
      <c r="G1645" t="s">
        <v>5773</v>
      </c>
      <c r="H1645" t="s">
        <v>5773</v>
      </c>
      <c r="I1645" t="s">
        <v>81</v>
      </c>
      <c r="J1645" t="s">
        <v>82</v>
      </c>
      <c r="K1645" t="s">
        <v>21</v>
      </c>
      <c r="L1645">
        <v>45739</v>
      </c>
      <c r="M1645" t="s">
        <v>489</v>
      </c>
    </row>
    <row r="1646" spans="1:13" x14ac:dyDescent="0.3">
      <c r="A1646" t="s">
        <v>5774</v>
      </c>
      <c r="B1646" t="s">
        <v>46</v>
      </c>
      <c r="C1646" t="s">
        <v>24</v>
      </c>
      <c r="D1646" t="s">
        <v>118</v>
      </c>
      <c r="E1646">
        <v>3038</v>
      </c>
      <c r="F1646" t="s">
        <v>5775</v>
      </c>
      <c r="G1646" t="s">
        <v>5776</v>
      </c>
      <c r="H1646" t="s">
        <v>5777</v>
      </c>
      <c r="I1646" t="s">
        <v>122</v>
      </c>
      <c r="J1646" t="s">
        <v>123</v>
      </c>
      <c r="L1646">
        <v>45663</v>
      </c>
      <c r="M1646" t="s">
        <v>95</v>
      </c>
    </row>
    <row r="1647" spans="1:13" x14ac:dyDescent="0.3">
      <c r="A1647" t="s">
        <v>5778</v>
      </c>
      <c r="B1647" t="s">
        <v>46</v>
      </c>
      <c r="C1647" t="s">
        <v>22</v>
      </c>
      <c r="D1647" t="s">
        <v>47</v>
      </c>
      <c r="E1647">
        <v>3032</v>
      </c>
      <c r="F1647" t="s">
        <v>5779</v>
      </c>
      <c r="G1647" t="s">
        <v>5780</v>
      </c>
      <c r="H1647" t="s">
        <v>5780</v>
      </c>
      <c r="I1647" t="s">
        <v>51</v>
      </c>
      <c r="J1647" t="s">
        <v>52</v>
      </c>
      <c r="K1647" t="s">
        <v>21</v>
      </c>
      <c r="L1647">
        <v>45658</v>
      </c>
      <c r="M1647" t="s">
        <v>53</v>
      </c>
    </row>
    <row r="1648" spans="1:13" x14ac:dyDescent="0.3">
      <c r="A1648" t="s">
        <v>5781</v>
      </c>
      <c r="B1648" t="s">
        <v>46</v>
      </c>
      <c r="C1648" t="s">
        <v>26</v>
      </c>
      <c r="D1648" t="s">
        <v>47</v>
      </c>
      <c r="E1648">
        <v>3032</v>
      </c>
      <c r="F1648" t="s">
        <v>5782</v>
      </c>
      <c r="G1648" t="s">
        <v>5783</v>
      </c>
      <c r="H1648" t="s">
        <v>5783</v>
      </c>
      <c r="I1648" t="s">
        <v>51</v>
      </c>
      <c r="J1648" t="s">
        <v>52</v>
      </c>
      <c r="L1648">
        <v>45698</v>
      </c>
      <c r="M1648" t="s">
        <v>476</v>
      </c>
    </row>
    <row r="1649" spans="1:13" x14ac:dyDescent="0.3">
      <c r="A1649" t="s">
        <v>5784</v>
      </c>
      <c r="B1649" t="s">
        <v>46</v>
      </c>
      <c r="C1649" t="s">
        <v>22</v>
      </c>
      <c r="D1649" t="s">
        <v>444</v>
      </c>
      <c r="E1649">
        <v>3042</v>
      </c>
      <c r="F1649" t="s">
        <v>5785</v>
      </c>
      <c r="G1649" t="s">
        <v>5786</v>
      </c>
      <c r="H1649" t="s">
        <v>5786</v>
      </c>
      <c r="I1649" t="s">
        <v>448</v>
      </c>
      <c r="J1649" t="s">
        <v>449</v>
      </c>
      <c r="L1649">
        <v>45739</v>
      </c>
      <c r="M1649" t="s">
        <v>107</v>
      </c>
    </row>
    <row r="1650" spans="1:13" x14ac:dyDescent="0.3">
      <c r="A1650" t="s">
        <v>5787</v>
      </c>
      <c r="B1650" t="s">
        <v>46</v>
      </c>
      <c r="C1650" t="s">
        <v>26</v>
      </c>
      <c r="D1650" t="s">
        <v>38</v>
      </c>
      <c r="E1650">
        <v>3031</v>
      </c>
      <c r="F1650" t="s">
        <v>5788</v>
      </c>
      <c r="G1650" t="s">
        <v>5789</v>
      </c>
      <c r="H1650" t="s">
        <v>5789</v>
      </c>
      <c r="I1650" t="s">
        <v>42</v>
      </c>
      <c r="J1650" t="s">
        <v>43</v>
      </c>
      <c r="L1650">
        <v>45661</v>
      </c>
      <c r="M1650" t="s">
        <v>76</v>
      </c>
    </row>
    <row r="1651" spans="1:13" x14ac:dyDescent="0.3">
      <c r="A1651" t="s">
        <v>5790</v>
      </c>
      <c r="B1651" t="s">
        <v>37</v>
      </c>
      <c r="C1651" t="s">
        <v>24</v>
      </c>
      <c r="D1651" t="s">
        <v>207</v>
      </c>
      <c r="E1651">
        <v>3041</v>
      </c>
      <c r="F1651" t="s">
        <v>5791</v>
      </c>
      <c r="G1651" t="s">
        <v>5792</v>
      </c>
      <c r="H1651" t="s">
        <v>5793</v>
      </c>
      <c r="I1651" t="s">
        <v>211</v>
      </c>
      <c r="J1651" t="s">
        <v>14</v>
      </c>
      <c r="K1651" t="s">
        <v>21</v>
      </c>
      <c r="L1651">
        <v>45678</v>
      </c>
      <c r="M1651" t="s">
        <v>300</v>
      </c>
    </row>
    <row r="1652" spans="1:13" x14ac:dyDescent="0.3">
      <c r="A1652" t="s">
        <v>5794</v>
      </c>
      <c r="B1652" t="s">
        <v>46</v>
      </c>
      <c r="C1652" t="s">
        <v>24</v>
      </c>
      <c r="D1652" t="s">
        <v>38</v>
      </c>
      <c r="E1652">
        <v>3031</v>
      </c>
      <c r="F1652" t="s">
        <v>5795</v>
      </c>
      <c r="G1652" t="s">
        <v>5796</v>
      </c>
      <c r="H1652" t="s">
        <v>5797</v>
      </c>
      <c r="I1652" t="s">
        <v>42</v>
      </c>
      <c r="J1652" t="s">
        <v>43</v>
      </c>
      <c r="K1652" t="s">
        <v>21</v>
      </c>
      <c r="L1652">
        <v>45710</v>
      </c>
      <c r="M1652" t="s">
        <v>65</v>
      </c>
    </row>
    <row r="1653" spans="1:13" x14ac:dyDescent="0.3">
      <c r="A1653" t="s">
        <v>5798</v>
      </c>
      <c r="B1653" t="s">
        <v>46</v>
      </c>
      <c r="C1653" t="s">
        <v>22</v>
      </c>
      <c r="D1653" t="s">
        <v>78</v>
      </c>
      <c r="E1653">
        <v>3035</v>
      </c>
      <c r="F1653" t="s">
        <v>5799</v>
      </c>
      <c r="G1653" t="s">
        <v>5800</v>
      </c>
      <c r="H1653" t="s">
        <v>5800</v>
      </c>
      <c r="I1653" t="s">
        <v>81</v>
      </c>
      <c r="J1653" t="s">
        <v>82</v>
      </c>
      <c r="K1653" t="s">
        <v>21</v>
      </c>
      <c r="L1653">
        <v>45675</v>
      </c>
      <c r="M1653" t="s">
        <v>205</v>
      </c>
    </row>
    <row r="1654" spans="1:13" x14ac:dyDescent="0.3">
      <c r="A1654" t="s">
        <v>5801</v>
      </c>
      <c r="B1654" t="s">
        <v>46</v>
      </c>
      <c r="C1654" t="s">
        <v>25</v>
      </c>
      <c r="D1654" t="s">
        <v>78</v>
      </c>
      <c r="E1654">
        <v>3035</v>
      </c>
      <c r="F1654" t="s">
        <v>5802</v>
      </c>
      <c r="G1654" t="s">
        <v>5803</v>
      </c>
      <c r="H1654" t="s">
        <v>5803</v>
      </c>
      <c r="I1654" t="s">
        <v>81</v>
      </c>
      <c r="J1654" t="s">
        <v>82</v>
      </c>
      <c r="L1654">
        <v>45726</v>
      </c>
      <c r="M1654" t="s">
        <v>489</v>
      </c>
    </row>
    <row r="1655" spans="1:13" x14ac:dyDescent="0.3">
      <c r="A1655" t="s">
        <v>5804</v>
      </c>
      <c r="B1655" t="s">
        <v>46</v>
      </c>
      <c r="C1655" t="s">
        <v>22</v>
      </c>
      <c r="D1655" t="s">
        <v>104</v>
      </c>
      <c r="E1655">
        <v>3037</v>
      </c>
      <c r="F1655" t="s">
        <v>5805</v>
      </c>
      <c r="G1655" t="s">
        <v>5806</v>
      </c>
      <c r="H1655" t="s">
        <v>5806</v>
      </c>
      <c r="I1655" t="s">
        <v>12</v>
      </c>
      <c r="J1655" t="s">
        <v>13</v>
      </c>
      <c r="L1655">
        <v>45728</v>
      </c>
      <c r="M1655" t="s">
        <v>107</v>
      </c>
    </row>
    <row r="1656" spans="1:13" x14ac:dyDescent="0.3">
      <c r="A1656" t="s">
        <v>5807</v>
      </c>
      <c r="B1656" t="s">
        <v>46</v>
      </c>
      <c r="C1656" t="s">
        <v>22</v>
      </c>
      <c r="D1656" t="s">
        <v>207</v>
      </c>
      <c r="E1656">
        <v>3041</v>
      </c>
      <c r="F1656" t="s">
        <v>3949</v>
      </c>
      <c r="G1656" t="s">
        <v>5808</v>
      </c>
      <c r="H1656" t="s">
        <v>5809</v>
      </c>
      <c r="I1656" t="s">
        <v>211</v>
      </c>
      <c r="J1656" t="s">
        <v>14</v>
      </c>
      <c r="L1656">
        <v>45722</v>
      </c>
      <c r="M1656" t="s">
        <v>577</v>
      </c>
    </row>
    <row r="1657" spans="1:13" x14ac:dyDescent="0.3">
      <c r="A1657" t="s">
        <v>5810</v>
      </c>
      <c r="B1657" t="s">
        <v>46</v>
      </c>
      <c r="C1657" t="s">
        <v>25</v>
      </c>
      <c r="D1657" t="s">
        <v>118</v>
      </c>
      <c r="E1657">
        <v>3038</v>
      </c>
      <c r="F1657" t="s">
        <v>5811</v>
      </c>
      <c r="G1657" t="s">
        <v>5812</v>
      </c>
      <c r="H1657" t="s">
        <v>5813</v>
      </c>
      <c r="I1657" t="s">
        <v>122</v>
      </c>
      <c r="J1657" t="s">
        <v>123</v>
      </c>
      <c r="L1657">
        <v>45671</v>
      </c>
      <c r="M1657" t="s">
        <v>359</v>
      </c>
    </row>
    <row r="1658" spans="1:13" x14ac:dyDescent="0.3">
      <c r="A1658" t="s">
        <v>5814</v>
      </c>
      <c r="B1658" t="s">
        <v>46</v>
      </c>
      <c r="C1658" t="s">
        <v>26</v>
      </c>
      <c r="D1658" t="s">
        <v>444</v>
      </c>
      <c r="E1658">
        <v>3042</v>
      </c>
      <c r="F1658" t="s">
        <v>5815</v>
      </c>
      <c r="G1658" t="s">
        <v>5816</v>
      </c>
      <c r="H1658" t="s">
        <v>5816</v>
      </c>
      <c r="I1658" t="s">
        <v>448</v>
      </c>
      <c r="J1658" t="s">
        <v>449</v>
      </c>
      <c r="K1658" t="s">
        <v>21</v>
      </c>
      <c r="L1658">
        <v>45680</v>
      </c>
      <c r="M1658" t="s">
        <v>107</v>
      </c>
    </row>
    <row r="1659" spans="1:13" x14ac:dyDescent="0.3">
      <c r="A1659" t="s">
        <v>5817</v>
      </c>
      <c r="B1659" t="s">
        <v>37</v>
      </c>
      <c r="C1659" t="s">
        <v>22</v>
      </c>
      <c r="D1659" t="s">
        <v>78</v>
      </c>
      <c r="E1659">
        <v>3035</v>
      </c>
      <c r="F1659" t="s">
        <v>5818</v>
      </c>
      <c r="G1659" t="s">
        <v>5819</v>
      </c>
      <c r="H1659" t="s">
        <v>5820</v>
      </c>
      <c r="I1659" t="s">
        <v>81</v>
      </c>
      <c r="J1659" t="s">
        <v>82</v>
      </c>
      <c r="L1659">
        <v>45742</v>
      </c>
      <c r="M1659" t="s">
        <v>489</v>
      </c>
    </row>
    <row r="1660" spans="1:13" x14ac:dyDescent="0.3">
      <c r="A1660" t="s">
        <v>5821</v>
      </c>
      <c r="B1660" t="s">
        <v>37</v>
      </c>
      <c r="C1660" t="s">
        <v>26</v>
      </c>
      <c r="D1660" t="s">
        <v>104</v>
      </c>
      <c r="E1660">
        <v>3037</v>
      </c>
      <c r="F1660" t="s">
        <v>5822</v>
      </c>
      <c r="G1660" t="s">
        <v>5823</v>
      </c>
      <c r="H1660" t="s">
        <v>5824</v>
      </c>
      <c r="I1660" t="s">
        <v>12</v>
      </c>
      <c r="J1660" t="s">
        <v>13</v>
      </c>
      <c r="L1660">
        <v>45746</v>
      </c>
      <c r="M1660" t="s">
        <v>224</v>
      </c>
    </row>
    <row r="1661" spans="1:13" x14ac:dyDescent="0.3">
      <c r="A1661" t="s">
        <v>5825</v>
      </c>
      <c r="B1661" t="s">
        <v>37</v>
      </c>
      <c r="C1661" t="s">
        <v>24</v>
      </c>
      <c r="D1661" t="s">
        <v>136</v>
      </c>
      <c r="E1661">
        <v>3039</v>
      </c>
      <c r="F1661" t="s">
        <v>5826</v>
      </c>
      <c r="G1661" t="s">
        <v>5827</v>
      </c>
      <c r="H1661" t="s">
        <v>5827</v>
      </c>
      <c r="I1661" t="s">
        <v>15</v>
      </c>
      <c r="J1661" t="s">
        <v>14</v>
      </c>
      <c r="L1661">
        <v>45739</v>
      </c>
      <c r="M1661" t="s">
        <v>200</v>
      </c>
    </row>
    <row r="1662" spans="1:13" x14ac:dyDescent="0.3">
      <c r="A1662" t="s">
        <v>5828</v>
      </c>
      <c r="B1662" t="s">
        <v>37</v>
      </c>
      <c r="C1662" t="s">
        <v>26</v>
      </c>
      <c r="D1662" t="s">
        <v>104</v>
      </c>
      <c r="E1662">
        <v>3037</v>
      </c>
      <c r="F1662" t="s">
        <v>5829</v>
      </c>
      <c r="G1662" t="s">
        <v>5830</v>
      </c>
      <c r="H1662" t="s">
        <v>5831</v>
      </c>
      <c r="I1662" t="s">
        <v>12</v>
      </c>
      <c r="J1662" t="s">
        <v>13</v>
      </c>
      <c r="L1662">
        <v>45696</v>
      </c>
      <c r="M1662" t="s">
        <v>107</v>
      </c>
    </row>
    <row r="1663" spans="1:13" x14ac:dyDescent="0.3">
      <c r="A1663" t="s">
        <v>5832</v>
      </c>
      <c r="B1663" t="s">
        <v>37</v>
      </c>
      <c r="C1663" t="s">
        <v>24</v>
      </c>
      <c r="D1663" t="s">
        <v>444</v>
      </c>
      <c r="E1663">
        <v>3042</v>
      </c>
      <c r="F1663" t="s">
        <v>5833</v>
      </c>
      <c r="G1663" t="s">
        <v>5834</v>
      </c>
      <c r="H1663" t="s">
        <v>5834</v>
      </c>
      <c r="I1663" t="s">
        <v>448</v>
      </c>
      <c r="J1663" t="s">
        <v>449</v>
      </c>
      <c r="L1663">
        <v>45670</v>
      </c>
      <c r="M1663" t="s">
        <v>107</v>
      </c>
    </row>
    <row r="1664" spans="1:13" x14ac:dyDescent="0.3">
      <c r="A1664" t="s">
        <v>5835</v>
      </c>
      <c r="B1664" t="s">
        <v>46</v>
      </c>
      <c r="C1664" t="s">
        <v>22</v>
      </c>
      <c r="D1664" t="s">
        <v>207</v>
      </c>
      <c r="E1664">
        <v>3041</v>
      </c>
      <c r="F1664" t="s">
        <v>5836</v>
      </c>
      <c r="G1664" t="s">
        <v>5837</v>
      </c>
      <c r="H1664" t="s">
        <v>5838</v>
      </c>
      <c r="I1664" t="s">
        <v>211</v>
      </c>
      <c r="J1664" t="s">
        <v>14</v>
      </c>
      <c r="L1664">
        <v>45679</v>
      </c>
      <c r="M1664" t="s">
        <v>394</v>
      </c>
    </row>
    <row r="1665" spans="1:13" x14ac:dyDescent="0.3">
      <c r="A1665" t="s">
        <v>5839</v>
      </c>
      <c r="B1665" t="s">
        <v>46</v>
      </c>
      <c r="C1665" t="s">
        <v>24</v>
      </c>
      <c r="D1665" t="s">
        <v>55</v>
      </c>
      <c r="E1665">
        <v>3033</v>
      </c>
      <c r="F1665" t="s">
        <v>5840</v>
      </c>
      <c r="G1665" t="s">
        <v>5841</v>
      </c>
      <c r="H1665" t="s">
        <v>5841</v>
      </c>
      <c r="I1665" t="s">
        <v>58</v>
      </c>
      <c r="J1665" t="s">
        <v>59</v>
      </c>
      <c r="L1665">
        <v>45693</v>
      </c>
      <c r="M1665" t="s">
        <v>86</v>
      </c>
    </row>
    <row r="1666" spans="1:13" x14ac:dyDescent="0.3">
      <c r="A1666" t="s">
        <v>5842</v>
      </c>
      <c r="B1666" t="s">
        <v>37</v>
      </c>
      <c r="C1666" t="s">
        <v>25</v>
      </c>
      <c r="D1666" t="s">
        <v>78</v>
      </c>
      <c r="E1666">
        <v>3035</v>
      </c>
      <c r="F1666" t="s">
        <v>5843</v>
      </c>
      <c r="G1666" t="s">
        <v>5844</v>
      </c>
      <c r="H1666" t="s">
        <v>5844</v>
      </c>
      <c r="I1666" t="s">
        <v>81</v>
      </c>
      <c r="J1666" t="s">
        <v>82</v>
      </c>
      <c r="L1666">
        <v>45746</v>
      </c>
      <c r="M1666" t="s">
        <v>205</v>
      </c>
    </row>
    <row r="1667" spans="1:13" x14ac:dyDescent="0.3">
      <c r="A1667" t="s">
        <v>5845</v>
      </c>
      <c r="B1667" t="s">
        <v>46</v>
      </c>
      <c r="C1667" t="s">
        <v>25</v>
      </c>
      <c r="D1667" t="s">
        <v>207</v>
      </c>
      <c r="E1667">
        <v>3041</v>
      </c>
      <c r="F1667" t="s">
        <v>5846</v>
      </c>
      <c r="G1667" t="s">
        <v>5847</v>
      </c>
      <c r="H1667" t="s">
        <v>5847</v>
      </c>
      <c r="I1667" t="s">
        <v>211</v>
      </c>
      <c r="J1667" t="s">
        <v>14</v>
      </c>
      <c r="L1667">
        <v>45725</v>
      </c>
      <c r="M1667" t="s">
        <v>300</v>
      </c>
    </row>
    <row r="1668" spans="1:13" x14ac:dyDescent="0.3">
      <c r="A1668" t="s">
        <v>5848</v>
      </c>
      <c r="B1668" t="s">
        <v>37</v>
      </c>
      <c r="C1668" t="s">
        <v>24</v>
      </c>
      <c r="D1668" t="s">
        <v>191</v>
      </c>
      <c r="E1668">
        <v>3040</v>
      </c>
      <c r="F1668" t="s">
        <v>3140</v>
      </c>
      <c r="G1668" t="s">
        <v>5849</v>
      </c>
      <c r="H1668" t="s">
        <v>5849</v>
      </c>
      <c r="I1668" t="s">
        <v>194</v>
      </c>
      <c r="J1668" t="s">
        <v>13</v>
      </c>
      <c r="K1668" t="s">
        <v>21</v>
      </c>
      <c r="L1668">
        <v>45696</v>
      </c>
      <c r="M1668" t="s">
        <v>224</v>
      </c>
    </row>
    <row r="1669" spans="1:13" x14ac:dyDescent="0.3">
      <c r="A1669" t="s">
        <v>5850</v>
      </c>
      <c r="B1669" t="s">
        <v>46</v>
      </c>
      <c r="C1669" t="s">
        <v>26</v>
      </c>
      <c r="D1669" t="s">
        <v>71</v>
      </c>
      <c r="E1669">
        <v>3034</v>
      </c>
      <c r="F1669" t="s">
        <v>5851</v>
      </c>
      <c r="G1669" t="s">
        <v>5852</v>
      </c>
      <c r="H1669" t="s">
        <v>5853</v>
      </c>
      <c r="I1669" t="s">
        <v>74</v>
      </c>
      <c r="J1669" t="s">
        <v>75</v>
      </c>
      <c r="L1669">
        <v>45705</v>
      </c>
      <c r="M1669" t="s">
        <v>212</v>
      </c>
    </row>
    <row r="1670" spans="1:13" x14ac:dyDescent="0.3">
      <c r="A1670" t="s">
        <v>5854</v>
      </c>
      <c r="B1670" t="s">
        <v>46</v>
      </c>
      <c r="C1670" t="s">
        <v>22</v>
      </c>
      <c r="D1670" t="s">
        <v>207</v>
      </c>
      <c r="E1670">
        <v>3041</v>
      </c>
      <c r="F1670" t="s">
        <v>5855</v>
      </c>
      <c r="G1670" t="s">
        <v>5856</v>
      </c>
      <c r="H1670" t="s">
        <v>5856</v>
      </c>
      <c r="I1670" t="s">
        <v>211</v>
      </c>
      <c r="J1670" t="s">
        <v>14</v>
      </c>
      <c r="L1670">
        <v>45675</v>
      </c>
      <c r="M1670" t="s">
        <v>300</v>
      </c>
    </row>
    <row r="1671" spans="1:13" x14ac:dyDescent="0.3">
      <c r="A1671" t="s">
        <v>5857</v>
      </c>
      <c r="B1671" t="s">
        <v>37</v>
      </c>
      <c r="C1671" t="s">
        <v>26</v>
      </c>
      <c r="D1671" t="s">
        <v>444</v>
      </c>
      <c r="E1671">
        <v>3042</v>
      </c>
      <c r="F1671" t="s">
        <v>5858</v>
      </c>
      <c r="G1671" t="s">
        <v>5859</v>
      </c>
      <c r="H1671" t="s">
        <v>5860</v>
      </c>
      <c r="I1671" t="s">
        <v>448</v>
      </c>
      <c r="J1671" t="s">
        <v>449</v>
      </c>
      <c r="L1671">
        <v>45659</v>
      </c>
      <c r="M1671" t="s">
        <v>363</v>
      </c>
    </row>
    <row r="1672" spans="1:13" x14ac:dyDescent="0.3">
      <c r="A1672" t="s">
        <v>5861</v>
      </c>
      <c r="B1672" t="s">
        <v>37</v>
      </c>
      <c r="C1672" t="s">
        <v>25</v>
      </c>
      <c r="D1672" t="s">
        <v>71</v>
      </c>
      <c r="E1672">
        <v>3034</v>
      </c>
      <c r="F1672" t="s">
        <v>5862</v>
      </c>
      <c r="G1672" t="s">
        <v>5863</v>
      </c>
      <c r="H1672" t="s">
        <v>5864</v>
      </c>
      <c r="I1672" t="s">
        <v>74</v>
      </c>
      <c r="J1672" t="s">
        <v>75</v>
      </c>
      <c r="L1672">
        <v>45681</v>
      </c>
      <c r="M1672" t="s">
        <v>76</v>
      </c>
    </row>
    <row r="1673" spans="1:13" x14ac:dyDescent="0.3">
      <c r="A1673" t="s">
        <v>5865</v>
      </c>
      <c r="B1673" t="s">
        <v>46</v>
      </c>
      <c r="C1673" t="s">
        <v>22</v>
      </c>
      <c r="D1673" t="s">
        <v>207</v>
      </c>
      <c r="E1673">
        <v>3041</v>
      </c>
      <c r="F1673" t="s">
        <v>5866</v>
      </c>
      <c r="G1673" t="s">
        <v>5867</v>
      </c>
      <c r="H1673" t="s">
        <v>5868</v>
      </c>
      <c r="I1673" t="s">
        <v>211</v>
      </c>
      <c r="J1673" t="s">
        <v>14</v>
      </c>
      <c r="K1673" t="s">
        <v>21</v>
      </c>
      <c r="L1673">
        <v>45746</v>
      </c>
      <c r="M1673" t="s">
        <v>577</v>
      </c>
    </row>
    <row r="1674" spans="1:13" x14ac:dyDescent="0.3">
      <c r="A1674" t="s">
        <v>5869</v>
      </c>
      <c r="B1674" t="s">
        <v>46</v>
      </c>
      <c r="C1674" t="s">
        <v>25</v>
      </c>
      <c r="D1674" t="s">
        <v>78</v>
      </c>
      <c r="E1674">
        <v>3035</v>
      </c>
      <c r="F1674" t="s">
        <v>3886</v>
      </c>
      <c r="G1674" t="s">
        <v>5870</v>
      </c>
      <c r="H1674" t="s">
        <v>5871</v>
      </c>
      <c r="I1674" t="s">
        <v>81</v>
      </c>
      <c r="J1674" t="s">
        <v>82</v>
      </c>
      <c r="L1674">
        <v>45696</v>
      </c>
      <c r="M1674" t="s">
        <v>205</v>
      </c>
    </row>
    <row r="1675" spans="1:13" x14ac:dyDescent="0.3">
      <c r="A1675" t="s">
        <v>5872</v>
      </c>
      <c r="B1675" t="s">
        <v>37</v>
      </c>
      <c r="C1675" t="s">
        <v>22</v>
      </c>
      <c r="D1675" t="s">
        <v>97</v>
      </c>
      <c r="E1675">
        <v>3036</v>
      </c>
      <c r="F1675" t="s">
        <v>4487</v>
      </c>
      <c r="G1675" t="s">
        <v>5873</v>
      </c>
      <c r="H1675" t="s">
        <v>5873</v>
      </c>
      <c r="I1675" t="s">
        <v>100</v>
      </c>
      <c r="J1675" t="s">
        <v>101</v>
      </c>
      <c r="L1675">
        <v>45665</v>
      </c>
      <c r="M1675" t="s">
        <v>65</v>
      </c>
    </row>
    <row r="1676" spans="1:13" x14ac:dyDescent="0.3">
      <c r="A1676" t="s">
        <v>5874</v>
      </c>
      <c r="B1676" t="s">
        <v>46</v>
      </c>
      <c r="C1676" t="s">
        <v>26</v>
      </c>
      <c r="D1676" t="s">
        <v>444</v>
      </c>
      <c r="E1676">
        <v>3042</v>
      </c>
      <c r="F1676" t="s">
        <v>5875</v>
      </c>
      <c r="G1676" t="s">
        <v>5876</v>
      </c>
      <c r="H1676" t="s">
        <v>5876</v>
      </c>
      <c r="I1676" t="s">
        <v>448</v>
      </c>
      <c r="J1676" t="s">
        <v>449</v>
      </c>
      <c r="L1676">
        <v>45727</v>
      </c>
      <c r="M1676" t="s">
        <v>107</v>
      </c>
    </row>
    <row r="1677" spans="1:13" x14ac:dyDescent="0.3">
      <c r="A1677" t="s">
        <v>5877</v>
      </c>
      <c r="B1677" t="s">
        <v>37</v>
      </c>
      <c r="C1677" t="s">
        <v>26</v>
      </c>
      <c r="D1677" t="s">
        <v>97</v>
      </c>
      <c r="E1677">
        <v>3036</v>
      </c>
      <c r="F1677" t="s">
        <v>5878</v>
      </c>
      <c r="G1677" t="s">
        <v>5879</v>
      </c>
      <c r="H1677" t="s">
        <v>5880</v>
      </c>
      <c r="I1677" t="s">
        <v>100</v>
      </c>
      <c r="J1677" t="s">
        <v>101</v>
      </c>
      <c r="K1677" t="s">
        <v>21</v>
      </c>
      <c r="L1677">
        <v>45746</v>
      </c>
      <c r="M1677" t="s">
        <v>65</v>
      </c>
    </row>
    <row r="1678" spans="1:13" x14ac:dyDescent="0.3">
      <c r="A1678" t="s">
        <v>5881</v>
      </c>
      <c r="B1678" t="s">
        <v>46</v>
      </c>
      <c r="C1678" t="s">
        <v>22</v>
      </c>
      <c r="D1678" t="s">
        <v>191</v>
      </c>
      <c r="E1678">
        <v>3040</v>
      </c>
      <c r="F1678" t="s">
        <v>5882</v>
      </c>
      <c r="G1678" t="s">
        <v>5883</v>
      </c>
      <c r="H1678" t="s">
        <v>5883</v>
      </c>
      <c r="I1678" t="s">
        <v>194</v>
      </c>
      <c r="J1678" t="s">
        <v>13</v>
      </c>
      <c r="L1678">
        <v>45733</v>
      </c>
      <c r="M1678" t="s">
        <v>717</v>
      </c>
    </row>
    <row r="1679" spans="1:13" x14ac:dyDescent="0.3">
      <c r="A1679" t="s">
        <v>5884</v>
      </c>
      <c r="B1679" t="s">
        <v>37</v>
      </c>
      <c r="C1679" t="s">
        <v>25</v>
      </c>
      <c r="D1679" t="s">
        <v>136</v>
      </c>
      <c r="E1679">
        <v>3039</v>
      </c>
      <c r="F1679" t="s">
        <v>5885</v>
      </c>
      <c r="G1679" t="s">
        <v>5886</v>
      </c>
      <c r="H1679" t="s">
        <v>5887</v>
      </c>
      <c r="I1679" t="s">
        <v>15</v>
      </c>
      <c r="J1679" t="s">
        <v>14</v>
      </c>
      <c r="K1679" t="s">
        <v>21</v>
      </c>
      <c r="L1679">
        <v>45713</v>
      </c>
      <c r="M1679" t="s">
        <v>389</v>
      </c>
    </row>
    <row r="1680" spans="1:13" x14ac:dyDescent="0.3">
      <c r="A1680" t="s">
        <v>5888</v>
      </c>
      <c r="B1680" t="s">
        <v>37</v>
      </c>
      <c r="C1680" t="s">
        <v>22</v>
      </c>
      <c r="D1680" t="s">
        <v>136</v>
      </c>
      <c r="E1680">
        <v>3039</v>
      </c>
      <c r="F1680" t="s">
        <v>5889</v>
      </c>
      <c r="G1680" t="s">
        <v>5890</v>
      </c>
      <c r="H1680" t="s">
        <v>5890</v>
      </c>
      <c r="I1680" t="s">
        <v>15</v>
      </c>
      <c r="J1680" t="s">
        <v>14</v>
      </c>
      <c r="L1680">
        <v>45704</v>
      </c>
      <c r="M1680" t="s">
        <v>987</v>
      </c>
    </row>
    <row r="1681" spans="1:13" x14ac:dyDescent="0.3">
      <c r="A1681" t="s">
        <v>5891</v>
      </c>
      <c r="B1681" t="s">
        <v>37</v>
      </c>
      <c r="C1681" t="s">
        <v>22</v>
      </c>
      <c r="D1681" t="s">
        <v>136</v>
      </c>
      <c r="E1681">
        <v>3039</v>
      </c>
      <c r="F1681" t="s">
        <v>5892</v>
      </c>
      <c r="G1681" t="s">
        <v>5893</v>
      </c>
      <c r="H1681" t="s">
        <v>5893</v>
      </c>
      <c r="I1681" t="s">
        <v>15</v>
      </c>
      <c r="J1681" t="s">
        <v>14</v>
      </c>
      <c r="K1681" t="s">
        <v>21</v>
      </c>
      <c r="L1681">
        <v>45690</v>
      </c>
      <c r="M1681" t="s">
        <v>95</v>
      </c>
    </row>
    <row r="1682" spans="1:13" x14ac:dyDescent="0.3">
      <c r="A1682" t="s">
        <v>5894</v>
      </c>
      <c r="B1682" t="s">
        <v>37</v>
      </c>
      <c r="C1682" t="s">
        <v>22</v>
      </c>
      <c r="D1682" t="s">
        <v>78</v>
      </c>
      <c r="E1682">
        <v>3035</v>
      </c>
      <c r="F1682" t="s">
        <v>5895</v>
      </c>
      <c r="G1682" t="s">
        <v>5896</v>
      </c>
      <c r="H1682" t="s">
        <v>5897</v>
      </c>
      <c r="I1682" t="s">
        <v>81</v>
      </c>
      <c r="J1682" t="s">
        <v>82</v>
      </c>
      <c r="K1682" t="s">
        <v>21</v>
      </c>
      <c r="L1682">
        <v>45711</v>
      </c>
      <c r="M1682" t="s">
        <v>205</v>
      </c>
    </row>
    <row r="1683" spans="1:13" x14ac:dyDescent="0.3">
      <c r="A1683" t="s">
        <v>5898</v>
      </c>
      <c r="B1683" t="s">
        <v>37</v>
      </c>
      <c r="C1683" t="s">
        <v>24</v>
      </c>
      <c r="D1683" t="s">
        <v>97</v>
      </c>
      <c r="E1683">
        <v>3036</v>
      </c>
      <c r="F1683" t="s">
        <v>5899</v>
      </c>
      <c r="G1683" t="s">
        <v>5900</v>
      </c>
      <c r="H1683" t="s">
        <v>5901</v>
      </c>
      <c r="I1683" t="s">
        <v>100</v>
      </c>
      <c r="J1683" t="s">
        <v>101</v>
      </c>
      <c r="L1683">
        <v>45684</v>
      </c>
      <c r="M1683" t="s">
        <v>65</v>
      </c>
    </row>
    <row r="1684" spans="1:13" x14ac:dyDescent="0.3">
      <c r="A1684" t="s">
        <v>5902</v>
      </c>
      <c r="B1684" t="s">
        <v>46</v>
      </c>
      <c r="C1684" t="s">
        <v>25</v>
      </c>
      <c r="D1684" t="s">
        <v>38</v>
      </c>
      <c r="E1684">
        <v>3031</v>
      </c>
      <c r="F1684" t="s">
        <v>5903</v>
      </c>
      <c r="G1684" t="s">
        <v>5904</v>
      </c>
      <c r="H1684" t="s">
        <v>5905</v>
      </c>
      <c r="I1684" t="s">
        <v>42</v>
      </c>
      <c r="J1684" t="s">
        <v>43</v>
      </c>
      <c r="L1684">
        <v>45723</v>
      </c>
      <c r="M1684" t="s">
        <v>76</v>
      </c>
    </row>
    <row r="1685" spans="1:13" x14ac:dyDescent="0.3">
      <c r="A1685" t="s">
        <v>5906</v>
      </c>
      <c r="B1685" t="s">
        <v>37</v>
      </c>
      <c r="C1685" t="s">
        <v>22</v>
      </c>
      <c r="D1685" t="s">
        <v>78</v>
      </c>
      <c r="E1685">
        <v>3035</v>
      </c>
      <c r="F1685" t="s">
        <v>5907</v>
      </c>
      <c r="G1685" t="s">
        <v>5908</v>
      </c>
      <c r="H1685" t="s">
        <v>5909</v>
      </c>
      <c r="I1685" t="s">
        <v>81</v>
      </c>
      <c r="J1685" t="s">
        <v>82</v>
      </c>
      <c r="L1685">
        <v>45727</v>
      </c>
      <c r="M1685" t="s">
        <v>205</v>
      </c>
    </row>
    <row r="1686" spans="1:13" x14ac:dyDescent="0.3">
      <c r="A1686" t="s">
        <v>5910</v>
      </c>
      <c r="B1686" t="s">
        <v>46</v>
      </c>
      <c r="C1686" t="s">
        <v>24</v>
      </c>
      <c r="D1686" t="s">
        <v>97</v>
      </c>
      <c r="E1686">
        <v>3036</v>
      </c>
      <c r="F1686" t="s">
        <v>5911</v>
      </c>
      <c r="G1686" t="s">
        <v>5912</v>
      </c>
      <c r="H1686" t="s">
        <v>5912</v>
      </c>
      <c r="I1686" t="s">
        <v>100</v>
      </c>
      <c r="J1686" t="s">
        <v>101</v>
      </c>
      <c r="L1686">
        <v>45698</v>
      </c>
      <c r="M1686" t="s">
        <v>65</v>
      </c>
    </row>
    <row r="1687" spans="1:13" x14ac:dyDescent="0.3">
      <c r="A1687" t="s">
        <v>5913</v>
      </c>
      <c r="B1687" t="s">
        <v>46</v>
      </c>
      <c r="C1687" t="s">
        <v>24</v>
      </c>
      <c r="D1687" t="s">
        <v>38</v>
      </c>
      <c r="E1687">
        <v>3031</v>
      </c>
      <c r="F1687" t="s">
        <v>5914</v>
      </c>
      <c r="G1687" t="s">
        <v>5915</v>
      </c>
      <c r="H1687" t="s">
        <v>5915</v>
      </c>
      <c r="I1687" t="s">
        <v>42</v>
      </c>
      <c r="J1687" t="s">
        <v>43</v>
      </c>
      <c r="K1687" t="s">
        <v>21</v>
      </c>
      <c r="L1687">
        <v>45702</v>
      </c>
      <c r="M1687" t="s">
        <v>44</v>
      </c>
    </row>
    <row r="1688" spans="1:13" x14ac:dyDescent="0.3">
      <c r="A1688" t="s">
        <v>5916</v>
      </c>
      <c r="B1688" t="s">
        <v>46</v>
      </c>
      <c r="C1688" t="s">
        <v>25</v>
      </c>
      <c r="D1688" t="s">
        <v>78</v>
      </c>
      <c r="E1688">
        <v>3035</v>
      </c>
      <c r="F1688" t="s">
        <v>5917</v>
      </c>
      <c r="G1688" t="s">
        <v>5918</v>
      </c>
      <c r="H1688" t="s">
        <v>5918</v>
      </c>
      <c r="I1688" t="s">
        <v>81</v>
      </c>
      <c r="J1688" t="s">
        <v>82</v>
      </c>
      <c r="L1688">
        <v>45698</v>
      </c>
      <c r="M1688" t="s">
        <v>69</v>
      </c>
    </row>
    <row r="1689" spans="1:13" x14ac:dyDescent="0.3">
      <c r="A1689" t="s">
        <v>5919</v>
      </c>
      <c r="B1689" t="s">
        <v>46</v>
      </c>
      <c r="C1689" t="s">
        <v>25</v>
      </c>
      <c r="D1689" t="s">
        <v>47</v>
      </c>
      <c r="E1689">
        <v>3032</v>
      </c>
      <c r="F1689" t="s">
        <v>5920</v>
      </c>
      <c r="G1689" t="s">
        <v>5921</v>
      </c>
      <c r="H1689" t="s">
        <v>5921</v>
      </c>
      <c r="I1689" t="s">
        <v>51</v>
      </c>
      <c r="J1689" t="s">
        <v>52</v>
      </c>
      <c r="L1689">
        <v>45669</v>
      </c>
      <c r="M1689" t="s">
        <v>53</v>
      </c>
    </row>
    <row r="1690" spans="1:13" x14ac:dyDescent="0.3">
      <c r="A1690" t="s">
        <v>5922</v>
      </c>
      <c r="B1690" t="s">
        <v>46</v>
      </c>
      <c r="C1690" t="s">
        <v>24</v>
      </c>
      <c r="D1690" t="s">
        <v>78</v>
      </c>
      <c r="E1690">
        <v>3035</v>
      </c>
      <c r="F1690" t="s">
        <v>5923</v>
      </c>
      <c r="G1690" t="s">
        <v>5924</v>
      </c>
      <c r="H1690" t="s">
        <v>5924</v>
      </c>
      <c r="I1690" t="s">
        <v>81</v>
      </c>
      <c r="J1690" t="s">
        <v>82</v>
      </c>
      <c r="K1690" t="s">
        <v>21</v>
      </c>
      <c r="L1690">
        <v>45735</v>
      </c>
      <c r="M1690" t="s">
        <v>287</v>
      </c>
    </row>
    <row r="1691" spans="1:13" x14ac:dyDescent="0.3">
      <c r="A1691" t="s">
        <v>5925</v>
      </c>
      <c r="B1691" t="s">
        <v>46</v>
      </c>
      <c r="C1691" t="s">
        <v>25</v>
      </c>
      <c r="D1691" t="s">
        <v>47</v>
      </c>
      <c r="E1691">
        <v>3032</v>
      </c>
      <c r="F1691" t="s">
        <v>5926</v>
      </c>
      <c r="G1691" t="s">
        <v>5927</v>
      </c>
      <c r="H1691" t="s">
        <v>5928</v>
      </c>
      <c r="I1691" t="s">
        <v>51</v>
      </c>
      <c r="J1691" t="s">
        <v>52</v>
      </c>
      <c r="L1691">
        <v>45702</v>
      </c>
      <c r="M1691" t="s">
        <v>881</v>
      </c>
    </row>
    <row r="1692" spans="1:13" x14ac:dyDescent="0.3">
      <c r="A1692" t="s">
        <v>5929</v>
      </c>
      <c r="B1692" t="s">
        <v>46</v>
      </c>
      <c r="C1692" t="s">
        <v>22</v>
      </c>
      <c r="D1692" t="s">
        <v>47</v>
      </c>
      <c r="E1692">
        <v>3032</v>
      </c>
      <c r="F1692" t="s">
        <v>5930</v>
      </c>
      <c r="G1692" t="s">
        <v>5931</v>
      </c>
      <c r="H1692" t="s">
        <v>5931</v>
      </c>
      <c r="I1692" t="s">
        <v>51</v>
      </c>
      <c r="J1692" t="s">
        <v>52</v>
      </c>
      <c r="K1692" t="s">
        <v>21</v>
      </c>
      <c r="L1692">
        <v>45687</v>
      </c>
      <c r="M1692" t="s">
        <v>144</v>
      </c>
    </row>
    <row r="1693" spans="1:13" x14ac:dyDescent="0.3">
      <c r="A1693" t="s">
        <v>5932</v>
      </c>
      <c r="B1693" t="s">
        <v>37</v>
      </c>
      <c r="C1693" t="s">
        <v>26</v>
      </c>
      <c r="D1693" t="s">
        <v>207</v>
      </c>
      <c r="E1693">
        <v>3041</v>
      </c>
      <c r="F1693" t="s">
        <v>5933</v>
      </c>
      <c r="G1693" t="s">
        <v>5934</v>
      </c>
      <c r="H1693" t="s">
        <v>5935</v>
      </c>
      <c r="I1693" t="s">
        <v>211</v>
      </c>
      <c r="J1693" t="s">
        <v>14</v>
      </c>
      <c r="L1693">
        <v>45727</v>
      </c>
      <c r="M1693" t="s">
        <v>577</v>
      </c>
    </row>
    <row r="1694" spans="1:13" x14ac:dyDescent="0.3">
      <c r="A1694" t="s">
        <v>5936</v>
      </c>
      <c r="B1694" t="s">
        <v>46</v>
      </c>
      <c r="C1694" t="s">
        <v>22</v>
      </c>
      <c r="D1694" t="s">
        <v>55</v>
      </c>
      <c r="E1694">
        <v>3033</v>
      </c>
      <c r="F1694" t="s">
        <v>5937</v>
      </c>
      <c r="G1694" t="s">
        <v>5938</v>
      </c>
      <c r="H1694" t="s">
        <v>5938</v>
      </c>
      <c r="I1694" t="s">
        <v>58</v>
      </c>
      <c r="J1694" t="s">
        <v>59</v>
      </c>
      <c r="K1694" t="s">
        <v>21</v>
      </c>
      <c r="L1694">
        <v>45670</v>
      </c>
      <c r="M1694" t="s">
        <v>95</v>
      </c>
    </row>
    <row r="1695" spans="1:13" x14ac:dyDescent="0.3">
      <c r="A1695" t="s">
        <v>5939</v>
      </c>
      <c r="B1695" t="s">
        <v>37</v>
      </c>
      <c r="C1695" t="s">
        <v>26</v>
      </c>
      <c r="D1695" t="s">
        <v>38</v>
      </c>
      <c r="E1695">
        <v>3031</v>
      </c>
      <c r="F1695" t="s">
        <v>5940</v>
      </c>
      <c r="G1695" t="s">
        <v>5941</v>
      </c>
      <c r="H1695" t="s">
        <v>5941</v>
      </c>
      <c r="I1695" t="s">
        <v>42</v>
      </c>
      <c r="J1695" t="s">
        <v>43</v>
      </c>
      <c r="L1695">
        <v>45738</v>
      </c>
      <c r="M1695" t="s">
        <v>420</v>
      </c>
    </row>
    <row r="1696" spans="1:13" x14ac:dyDescent="0.3">
      <c r="A1696" t="s">
        <v>5942</v>
      </c>
      <c r="B1696" t="s">
        <v>37</v>
      </c>
      <c r="C1696" t="s">
        <v>26</v>
      </c>
      <c r="D1696" t="s">
        <v>207</v>
      </c>
      <c r="E1696">
        <v>3041</v>
      </c>
      <c r="F1696" t="s">
        <v>5943</v>
      </c>
      <c r="G1696" t="s">
        <v>5944</v>
      </c>
      <c r="H1696" t="s">
        <v>5945</v>
      </c>
      <c r="I1696" t="s">
        <v>211</v>
      </c>
      <c r="J1696" t="s">
        <v>14</v>
      </c>
      <c r="L1696">
        <v>45715</v>
      </c>
      <c r="M1696" t="s">
        <v>577</v>
      </c>
    </row>
    <row r="1697" spans="1:13" x14ac:dyDescent="0.3">
      <c r="A1697" t="s">
        <v>5946</v>
      </c>
      <c r="B1697" t="s">
        <v>37</v>
      </c>
      <c r="C1697" t="s">
        <v>22</v>
      </c>
      <c r="D1697" t="s">
        <v>47</v>
      </c>
      <c r="E1697">
        <v>3032</v>
      </c>
      <c r="F1697" t="s">
        <v>5947</v>
      </c>
      <c r="G1697" t="s">
        <v>5948</v>
      </c>
      <c r="H1697" t="s">
        <v>5949</v>
      </c>
      <c r="I1697" t="s">
        <v>51</v>
      </c>
      <c r="J1697" t="s">
        <v>52</v>
      </c>
      <c r="L1697">
        <v>45683</v>
      </c>
      <c r="M1697" t="s">
        <v>144</v>
      </c>
    </row>
    <row r="1698" spans="1:13" x14ac:dyDescent="0.3">
      <c r="A1698" t="s">
        <v>5950</v>
      </c>
      <c r="B1698" t="s">
        <v>46</v>
      </c>
      <c r="C1698" t="s">
        <v>24</v>
      </c>
      <c r="D1698" t="s">
        <v>71</v>
      </c>
      <c r="E1698">
        <v>3034</v>
      </c>
      <c r="F1698" t="s">
        <v>5951</v>
      </c>
      <c r="G1698" t="s">
        <v>5952</v>
      </c>
      <c r="H1698" t="s">
        <v>5953</v>
      </c>
      <c r="I1698" t="s">
        <v>74</v>
      </c>
      <c r="J1698" t="s">
        <v>75</v>
      </c>
      <c r="L1698">
        <v>45679</v>
      </c>
      <c r="M1698" t="s">
        <v>165</v>
      </c>
    </row>
    <row r="1699" spans="1:13" x14ac:dyDescent="0.3">
      <c r="A1699" t="s">
        <v>5954</v>
      </c>
      <c r="B1699" t="s">
        <v>46</v>
      </c>
      <c r="C1699" t="s">
        <v>24</v>
      </c>
      <c r="D1699" t="s">
        <v>47</v>
      </c>
      <c r="E1699">
        <v>3032</v>
      </c>
      <c r="F1699" t="s">
        <v>5955</v>
      </c>
      <c r="G1699" t="s">
        <v>5956</v>
      </c>
      <c r="H1699" t="s">
        <v>5957</v>
      </c>
      <c r="I1699" t="s">
        <v>51</v>
      </c>
      <c r="J1699" t="s">
        <v>52</v>
      </c>
      <c r="K1699" t="s">
        <v>21</v>
      </c>
      <c r="L1699">
        <v>45694</v>
      </c>
      <c r="M1699" t="s">
        <v>53</v>
      </c>
    </row>
    <row r="1700" spans="1:13" x14ac:dyDescent="0.3">
      <c r="A1700" t="s">
        <v>5958</v>
      </c>
      <c r="B1700" t="s">
        <v>46</v>
      </c>
      <c r="C1700" t="s">
        <v>22</v>
      </c>
      <c r="D1700" t="s">
        <v>444</v>
      </c>
      <c r="E1700">
        <v>3042</v>
      </c>
      <c r="F1700" t="s">
        <v>5959</v>
      </c>
      <c r="G1700" t="s">
        <v>5960</v>
      </c>
      <c r="H1700" t="s">
        <v>5961</v>
      </c>
      <c r="I1700" t="s">
        <v>448</v>
      </c>
      <c r="J1700" t="s">
        <v>449</v>
      </c>
      <c r="L1700">
        <v>45677</v>
      </c>
      <c r="M1700" t="s">
        <v>224</v>
      </c>
    </row>
    <row r="1701" spans="1:13" x14ac:dyDescent="0.3">
      <c r="A1701" t="s">
        <v>5962</v>
      </c>
      <c r="B1701" t="s">
        <v>37</v>
      </c>
      <c r="C1701" t="s">
        <v>26</v>
      </c>
      <c r="D1701" t="s">
        <v>207</v>
      </c>
      <c r="E1701">
        <v>3041</v>
      </c>
      <c r="F1701" t="s">
        <v>5963</v>
      </c>
      <c r="G1701" t="s">
        <v>5964</v>
      </c>
      <c r="H1701" t="s">
        <v>5964</v>
      </c>
      <c r="I1701" t="s">
        <v>211</v>
      </c>
      <c r="J1701" t="s">
        <v>14</v>
      </c>
      <c r="L1701">
        <v>45678</v>
      </c>
      <c r="M1701" t="s">
        <v>394</v>
      </c>
    </row>
    <row r="1702" spans="1:13" x14ac:dyDescent="0.3">
      <c r="A1702" t="s">
        <v>5965</v>
      </c>
      <c r="B1702" t="s">
        <v>46</v>
      </c>
      <c r="C1702" t="s">
        <v>24</v>
      </c>
      <c r="D1702" t="s">
        <v>118</v>
      </c>
      <c r="E1702">
        <v>3038</v>
      </c>
      <c r="F1702" t="s">
        <v>5966</v>
      </c>
      <c r="G1702" t="s">
        <v>5967</v>
      </c>
      <c r="H1702" t="s">
        <v>5967</v>
      </c>
      <c r="I1702" t="s">
        <v>122</v>
      </c>
      <c r="J1702" t="s">
        <v>123</v>
      </c>
      <c r="K1702" t="s">
        <v>21</v>
      </c>
      <c r="L1702">
        <v>45739</v>
      </c>
      <c r="M1702" t="s">
        <v>200</v>
      </c>
    </row>
    <row r="1703" spans="1:13" x14ac:dyDescent="0.3">
      <c r="A1703" t="s">
        <v>5968</v>
      </c>
      <c r="B1703" t="s">
        <v>46</v>
      </c>
      <c r="C1703" t="s">
        <v>22</v>
      </c>
      <c r="D1703" t="s">
        <v>55</v>
      </c>
      <c r="E1703">
        <v>3033</v>
      </c>
      <c r="F1703" t="s">
        <v>5969</v>
      </c>
      <c r="G1703" t="s">
        <v>5970</v>
      </c>
      <c r="H1703" t="s">
        <v>5971</v>
      </c>
      <c r="I1703" t="s">
        <v>58</v>
      </c>
      <c r="J1703" t="s">
        <v>59</v>
      </c>
      <c r="L1703">
        <v>45713</v>
      </c>
      <c r="M1703" t="s">
        <v>86</v>
      </c>
    </row>
    <row r="1704" spans="1:13" x14ac:dyDescent="0.3">
      <c r="A1704" t="s">
        <v>5972</v>
      </c>
      <c r="B1704" t="s">
        <v>37</v>
      </c>
      <c r="C1704" t="s">
        <v>25</v>
      </c>
      <c r="D1704" t="s">
        <v>38</v>
      </c>
      <c r="E1704">
        <v>3031</v>
      </c>
      <c r="F1704" t="s">
        <v>5973</v>
      </c>
      <c r="G1704" t="s">
        <v>5974</v>
      </c>
      <c r="H1704" t="s">
        <v>5974</v>
      </c>
      <c r="I1704" t="s">
        <v>42</v>
      </c>
      <c r="J1704" t="s">
        <v>43</v>
      </c>
      <c r="L1704">
        <v>45681</v>
      </c>
      <c r="M1704" t="s">
        <v>76</v>
      </c>
    </row>
    <row r="1705" spans="1:13" x14ac:dyDescent="0.3">
      <c r="A1705" t="s">
        <v>5975</v>
      </c>
      <c r="B1705" t="s">
        <v>37</v>
      </c>
      <c r="C1705" t="s">
        <v>26</v>
      </c>
      <c r="D1705" t="s">
        <v>118</v>
      </c>
      <c r="E1705">
        <v>3038</v>
      </c>
      <c r="F1705" t="s">
        <v>5976</v>
      </c>
      <c r="G1705" t="s">
        <v>5977</v>
      </c>
      <c r="H1705" t="s">
        <v>5977</v>
      </c>
      <c r="I1705" t="s">
        <v>122</v>
      </c>
      <c r="J1705" t="s">
        <v>123</v>
      </c>
      <c r="L1705">
        <v>45698</v>
      </c>
      <c r="M1705" t="s">
        <v>124</v>
      </c>
    </row>
    <row r="1706" spans="1:13" x14ac:dyDescent="0.3">
      <c r="A1706" t="s">
        <v>5978</v>
      </c>
      <c r="B1706" t="s">
        <v>37</v>
      </c>
      <c r="C1706" t="s">
        <v>22</v>
      </c>
      <c r="D1706" t="s">
        <v>55</v>
      </c>
      <c r="E1706">
        <v>3033</v>
      </c>
      <c r="F1706" t="s">
        <v>5979</v>
      </c>
      <c r="G1706" t="s">
        <v>5980</v>
      </c>
      <c r="H1706" t="s">
        <v>5980</v>
      </c>
      <c r="I1706" t="s">
        <v>58</v>
      </c>
      <c r="J1706" t="s">
        <v>59</v>
      </c>
      <c r="L1706">
        <v>45679</v>
      </c>
      <c r="M1706" t="s">
        <v>90</v>
      </c>
    </row>
    <row r="1707" spans="1:13" x14ac:dyDescent="0.3">
      <c r="A1707" t="s">
        <v>5981</v>
      </c>
      <c r="B1707" t="s">
        <v>37</v>
      </c>
      <c r="C1707" t="s">
        <v>22</v>
      </c>
      <c r="D1707" t="s">
        <v>38</v>
      </c>
      <c r="E1707">
        <v>3031</v>
      </c>
      <c r="F1707" t="s">
        <v>5982</v>
      </c>
      <c r="G1707" t="s">
        <v>5983</v>
      </c>
      <c r="H1707" t="s">
        <v>5983</v>
      </c>
      <c r="I1707" t="s">
        <v>42</v>
      </c>
      <c r="J1707" t="s">
        <v>43</v>
      </c>
      <c r="L1707">
        <v>45665</v>
      </c>
      <c r="M1707" t="s">
        <v>44</v>
      </c>
    </row>
    <row r="1708" spans="1:13" x14ac:dyDescent="0.3">
      <c r="A1708" t="s">
        <v>5984</v>
      </c>
      <c r="B1708" t="s">
        <v>37</v>
      </c>
      <c r="C1708" t="s">
        <v>22</v>
      </c>
      <c r="D1708" t="s">
        <v>444</v>
      </c>
      <c r="E1708">
        <v>3042</v>
      </c>
      <c r="F1708" t="s">
        <v>5985</v>
      </c>
      <c r="G1708" t="s">
        <v>5986</v>
      </c>
      <c r="H1708" t="s">
        <v>5986</v>
      </c>
      <c r="I1708" t="s">
        <v>448</v>
      </c>
      <c r="J1708" t="s">
        <v>449</v>
      </c>
      <c r="L1708">
        <v>45683</v>
      </c>
      <c r="M1708" t="s">
        <v>450</v>
      </c>
    </row>
    <row r="1709" spans="1:13" x14ac:dyDescent="0.3">
      <c r="A1709" t="s">
        <v>5987</v>
      </c>
      <c r="B1709" t="s">
        <v>46</v>
      </c>
      <c r="C1709" t="s">
        <v>25</v>
      </c>
      <c r="D1709" t="s">
        <v>38</v>
      </c>
      <c r="E1709">
        <v>3031</v>
      </c>
      <c r="F1709" t="s">
        <v>5988</v>
      </c>
      <c r="G1709" t="s">
        <v>5989</v>
      </c>
      <c r="H1709" t="s">
        <v>5989</v>
      </c>
      <c r="I1709" t="s">
        <v>42</v>
      </c>
      <c r="J1709" t="s">
        <v>43</v>
      </c>
      <c r="K1709" t="s">
        <v>21</v>
      </c>
      <c r="L1709">
        <v>45735</v>
      </c>
      <c r="M1709" t="s">
        <v>287</v>
      </c>
    </row>
    <row r="1710" spans="1:13" x14ac:dyDescent="0.3">
      <c r="A1710" t="s">
        <v>5990</v>
      </c>
      <c r="B1710" t="s">
        <v>46</v>
      </c>
      <c r="C1710" t="s">
        <v>24</v>
      </c>
      <c r="D1710" t="s">
        <v>55</v>
      </c>
      <c r="E1710">
        <v>3033</v>
      </c>
      <c r="F1710" t="s">
        <v>5991</v>
      </c>
      <c r="G1710" t="s">
        <v>5992</v>
      </c>
      <c r="H1710" t="s">
        <v>5993</v>
      </c>
      <c r="I1710" t="s">
        <v>58</v>
      </c>
      <c r="J1710" t="s">
        <v>59</v>
      </c>
      <c r="L1710">
        <v>45676</v>
      </c>
      <c r="M1710" t="s">
        <v>86</v>
      </c>
    </row>
    <row r="1711" spans="1:13" x14ac:dyDescent="0.3">
      <c r="A1711" t="s">
        <v>5994</v>
      </c>
      <c r="B1711" t="s">
        <v>46</v>
      </c>
      <c r="C1711" t="s">
        <v>25</v>
      </c>
      <c r="D1711" t="s">
        <v>136</v>
      </c>
      <c r="E1711">
        <v>3039</v>
      </c>
      <c r="F1711" t="s">
        <v>5995</v>
      </c>
      <c r="G1711" t="s">
        <v>5996</v>
      </c>
      <c r="H1711" t="s">
        <v>5996</v>
      </c>
      <c r="I1711" t="s">
        <v>15</v>
      </c>
      <c r="J1711" t="s">
        <v>14</v>
      </c>
      <c r="L1711">
        <v>45660</v>
      </c>
      <c r="M1711" t="s">
        <v>577</v>
      </c>
    </row>
    <row r="1712" spans="1:13" x14ac:dyDescent="0.3">
      <c r="A1712" t="s">
        <v>5997</v>
      </c>
      <c r="B1712" t="s">
        <v>37</v>
      </c>
      <c r="C1712" t="s">
        <v>25</v>
      </c>
      <c r="D1712" t="s">
        <v>55</v>
      </c>
      <c r="E1712">
        <v>3033</v>
      </c>
      <c r="F1712" t="s">
        <v>5998</v>
      </c>
      <c r="G1712" t="s">
        <v>5999</v>
      </c>
      <c r="H1712" t="s">
        <v>5999</v>
      </c>
      <c r="I1712" t="s">
        <v>58</v>
      </c>
      <c r="J1712" t="s">
        <v>59</v>
      </c>
      <c r="K1712" t="s">
        <v>21</v>
      </c>
      <c r="L1712">
        <v>45676</v>
      </c>
      <c r="M1712" t="s">
        <v>69</v>
      </c>
    </row>
    <row r="1713" spans="1:13" x14ac:dyDescent="0.3">
      <c r="A1713" t="s">
        <v>6000</v>
      </c>
      <c r="B1713" t="s">
        <v>46</v>
      </c>
      <c r="C1713" t="s">
        <v>24</v>
      </c>
      <c r="D1713" t="s">
        <v>118</v>
      </c>
      <c r="E1713">
        <v>3038</v>
      </c>
      <c r="F1713" t="s">
        <v>6001</v>
      </c>
      <c r="G1713" t="s">
        <v>6002</v>
      </c>
      <c r="H1713" t="s">
        <v>6003</v>
      </c>
      <c r="I1713" t="s">
        <v>122</v>
      </c>
      <c r="J1713" t="s">
        <v>123</v>
      </c>
      <c r="L1713">
        <v>45709</v>
      </c>
      <c r="M1713" t="s">
        <v>200</v>
      </c>
    </row>
    <row r="1714" spans="1:13" x14ac:dyDescent="0.3">
      <c r="A1714" t="s">
        <v>6004</v>
      </c>
      <c r="B1714" t="s">
        <v>46</v>
      </c>
      <c r="C1714" t="s">
        <v>25</v>
      </c>
      <c r="D1714" t="s">
        <v>444</v>
      </c>
      <c r="E1714">
        <v>3042</v>
      </c>
      <c r="F1714" t="s">
        <v>6005</v>
      </c>
      <c r="G1714" t="s">
        <v>6006</v>
      </c>
      <c r="H1714" t="s">
        <v>6006</v>
      </c>
      <c r="I1714" t="s">
        <v>448</v>
      </c>
      <c r="J1714" t="s">
        <v>449</v>
      </c>
      <c r="K1714" t="s">
        <v>21</v>
      </c>
      <c r="L1714">
        <v>45692</v>
      </c>
      <c r="M1714" t="s">
        <v>450</v>
      </c>
    </row>
    <row r="1715" spans="1:13" x14ac:dyDescent="0.3">
      <c r="A1715" t="s">
        <v>6007</v>
      </c>
      <c r="B1715" t="s">
        <v>37</v>
      </c>
      <c r="C1715" t="s">
        <v>26</v>
      </c>
      <c r="D1715" t="s">
        <v>444</v>
      </c>
      <c r="E1715">
        <v>3042</v>
      </c>
      <c r="F1715" t="s">
        <v>6008</v>
      </c>
      <c r="G1715" t="s">
        <v>6009</v>
      </c>
      <c r="H1715" t="s">
        <v>6009</v>
      </c>
      <c r="I1715" t="s">
        <v>448</v>
      </c>
      <c r="J1715" t="s">
        <v>449</v>
      </c>
      <c r="K1715" t="s">
        <v>21</v>
      </c>
      <c r="L1715">
        <v>45727</v>
      </c>
      <c r="M1715" t="s">
        <v>107</v>
      </c>
    </row>
    <row r="1716" spans="1:13" x14ac:dyDescent="0.3">
      <c r="A1716" t="s">
        <v>6010</v>
      </c>
      <c r="B1716" t="s">
        <v>46</v>
      </c>
      <c r="C1716" t="s">
        <v>26</v>
      </c>
      <c r="D1716" t="s">
        <v>118</v>
      </c>
      <c r="E1716">
        <v>3038</v>
      </c>
      <c r="F1716" t="s">
        <v>6011</v>
      </c>
      <c r="G1716" t="s">
        <v>6012</v>
      </c>
      <c r="H1716" t="s">
        <v>6013</v>
      </c>
      <c r="I1716" t="s">
        <v>122</v>
      </c>
      <c r="J1716" t="s">
        <v>123</v>
      </c>
      <c r="L1716">
        <v>45744</v>
      </c>
      <c r="M1716" t="s">
        <v>344</v>
      </c>
    </row>
    <row r="1717" spans="1:13" x14ac:dyDescent="0.3">
      <c r="A1717" t="s">
        <v>6014</v>
      </c>
      <c r="B1717" t="s">
        <v>46</v>
      </c>
      <c r="C1717" t="s">
        <v>25</v>
      </c>
      <c r="D1717" t="s">
        <v>136</v>
      </c>
      <c r="E1717">
        <v>3039</v>
      </c>
      <c r="F1717" t="s">
        <v>6015</v>
      </c>
      <c r="G1717" t="s">
        <v>6016</v>
      </c>
      <c r="H1717" t="s">
        <v>6016</v>
      </c>
      <c r="I1717" t="s">
        <v>15</v>
      </c>
      <c r="J1717" t="s">
        <v>14</v>
      </c>
      <c r="L1717">
        <v>45680</v>
      </c>
      <c r="M1717" t="s">
        <v>200</v>
      </c>
    </row>
    <row r="1718" spans="1:13" x14ac:dyDescent="0.3">
      <c r="A1718" t="s">
        <v>6017</v>
      </c>
      <c r="B1718" t="s">
        <v>37</v>
      </c>
      <c r="C1718" t="s">
        <v>26</v>
      </c>
      <c r="D1718" t="s">
        <v>136</v>
      </c>
      <c r="E1718">
        <v>3039</v>
      </c>
      <c r="F1718" t="s">
        <v>6018</v>
      </c>
      <c r="G1718" t="s">
        <v>6019</v>
      </c>
      <c r="H1718" t="s">
        <v>6020</v>
      </c>
      <c r="I1718" t="s">
        <v>15</v>
      </c>
      <c r="J1718" t="s">
        <v>14</v>
      </c>
      <c r="L1718">
        <v>45662</v>
      </c>
      <c r="M1718" t="s">
        <v>200</v>
      </c>
    </row>
    <row r="1719" spans="1:13" x14ac:dyDescent="0.3">
      <c r="A1719" t="s">
        <v>6021</v>
      </c>
      <c r="B1719" t="s">
        <v>37</v>
      </c>
      <c r="C1719" t="s">
        <v>25</v>
      </c>
      <c r="D1719" t="s">
        <v>444</v>
      </c>
      <c r="E1719">
        <v>3042</v>
      </c>
      <c r="F1719" t="s">
        <v>2917</v>
      </c>
      <c r="G1719" t="s">
        <v>6022</v>
      </c>
      <c r="H1719" t="s">
        <v>6022</v>
      </c>
      <c r="I1719" t="s">
        <v>448</v>
      </c>
      <c r="J1719" t="s">
        <v>449</v>
      </c>
      <c r="L1719">
        <v>45667</v>
      </c>
      <c r="M1719" t="s">
        <v>363</v>
      </c>
    </row>
    <row r="1720" spans="1:13" x14ac:dyDescent="0.3">
      <c r="A1720" t="s">
        <v>6023</v>
      </c>
      <c r="B1720" t="s">
        <v>37</v>
      </c>
      <c r="C1720" t="s">
        <v>24</v>
      </c>
      <c r="D1720" t="s">
        <v>444</v>
      </c>
      <c r="E1720">
        <v>3042</v>
      </c>
      <c r="F1720" t="s">
        <v>6024</v>
      </c>
      <c r="G1720" t="s">
        <v>6025</v>
      </c>
      <c r="H1720" t="s">
        <v>6026</v>
      </c>
      <c r="I1720" t="s">
        <v>448</v>
      </c>
      <c r="J1720" t="s">
        <v>449</v>
      </c>
      <c r="L1720">
        <v>45726</v>
      </c>
      <c r="M1720" t="s">
        <v>481</v>
      </c>
    </row>
    <row r="1721" spans="1:13" x14ac:dyDescent="0.3">
      <c r="A1721" t="s">
        <v>6027</v>
      </c>
      <c r="B1721" t="s">
        <v>46</v>
      </c>
      <c r="C1721" t="s">
        <v>22</v>
      </c>
      <c r="D1721" t="s">
        <v>104</v>
      </c>
      <c r="E1721">
        <v>3037</v>
      </c>
      <c r="F1721" t="s">
        <v>6028</v>
      </c>
      <c r="G1721" t="s">
        <v>6029</v>
      </c>
      <c r="H1721" t="s">
        <v>6030</v>
      </c>
      <c r="I1721" t="s">
        <v>12</v>
      </c>
      <c r="J1721" t="s">
        <v>13</v>
      </c>
      <c r="L1721">
        <v>45731</v>
      </c>
      <c r="M1721" t="s">
        <v>224</v>
      </c>
    </row>
    <row r="1722" spans="1:13" x14ac:dyDescent="0.3">
      <c r="A1722" t="s">
        <v>6031</v>
      </c>
      <c r="B1722" t="s">
        <v>46</v>
      </c>
      <c r="C1722" t="s">
        <v>22</v>
      </c>
      <c r="D1722" t="s">
        <v>71</v>
      </c>
      <c r="E1722">
        <v>3034</v>
      </c>
      <c r="F1722" t="s">
        <v>6032</v>
      </c>
      <c r="G1722" t="s">
        <v>6033</v>
      </c>
      <c r="H1722" t="s">
        <v>6034</v>
      </c>
      <c r="I1722" t="s">
        <v>74</v>
      </c>
      <c r="J1722" t="s">
        <v>75</v>
      </c>
      <c r="K1722" t="s">
        <v>21</v>
      </c>
      <c r="L1722">
        <v>45731</v>
      </c>
      <c r="M1722" t="s">
        <v>212</v>
      </c>
    </row>
    <row r="1723" spans="1:13" x14ac:dyDescent="0.3">
      <c r="A1723" t="s">
        <v>6035</v>
      </c>
      <c r="B1723" t="s">
        <v>37</v>
      </c>
      <c r="C1723" t="s">
        <v>22</v>
      </c>
      <c r="D1723" t="s">
        <v>47</v>
      </c>
      <c r="E1723">
        <v>3032</v>
      </c>
      <c r="F1723" t="s">
        <v>6036</v>
      </c>
      <c r="G1723" t="s">
        <v>6037</v>
      </c>
      <c r="H1723" t="s">
        <v>6038</v>
      </c>
      <c r="I1723" t="s">
        <v>51</v>
      </c>
      <c r="J1723" t="s">
        <v>52</v>
      </c>
      <c r="L1723">
        <v>45697</v>
      </c>
      <c r="M1723" t="s">
        <v>90</v>
      </c>
    </row>
    <row r="1724" spans="1:13" x14ac:dyDescent="0.3">
      <c r="A1724" t="s">
        <v>6039</v>
      </c>
      <c r="B1724" t="s">
        <v>46</v>
      </c>
      <c r="C1724" t="s">
        <v>24</v>
      </c>
      <c r="D1724" t="s">
        <v>97</v>
      </c>
      <c r="E1724">
        <v>3036</v>
      </c>
      <c r="F1724" t="s">
        <v>6040</v>
      </c>
      <c r="G1724" t="s">
        <v>6041</v>
      </c>
      <c r="H1724" t="s">
        <v>6042</v>
      </c>
      <c r="I1724" t="s">
        <v>100</v>
      </c>
      <c r="J1724" t="s">
        <v>101</v>
      </c>
      <c r="L1724">
        <v>45741</v>
      </c>
      <c r="M1724" t="s">
        <v>165</v>
      </c>
    </row>
    <row r="1725" spans="1:13" x14ac:dyDescent="0.3">
      <c r="A1725" t="s">
        <v>6043</v>
      </c>
      <c r="B1725" t="s">
        <v>37</v>
      </c>
      <c r="C1725" t="s">
        <v>24</v>
      </c>
      <c r="D1725" t="s">
        <v>97</v>
      </c>
      <c r="E1725">
        <v>3036</v>
      </c>
      <c r="F1725" t="s">
        <v>6044</v>
      </c>
      <c r="G1725" t="s">
        <v>6045</v>
      </c>
      <c r="H1725" t="s">
        <v>6045</v>
      </c>
      <c r="I1725" t="s">
        <v>100</v>
      </c>
      <c r="J1725" t="s">
        <v>101</v>
      </c>
      <c r="K1725" t="s">
        <v>21</v>
      </c>
      <c r="L1725">
        <v>45658</v>
      </c>
      <c r="M1725" t="s">
        <v>165</v>
      </c>
    </row>
    <row r="1726" spans="1:13" x14ac:dyDescent="0.3">
      <c r="A1726" t="s">
        <v>6046</v>
      </c>
      <c r="B1726" t="s">
        <v>46</v>
      </c>
      <c r="C1726" t="s">
        <v>22</v>
      </c>
      <c r="D1726" t="s">
        <v>118</v>
      </c>
      <c r="E1726">
        <v>3038</v>
      </c>
      <c r="F1726" t="s">
        <v>6047</v>
      </c>
      <c r="G1726" t="s">
        <v>6048</v>
      </c>
      <c r="H1726" t="s">
        <v>6049</v>
      </c>
      <c r="I1726" t="s">
        <v>122</v>
      </c>
      <c r="J1726" t="s">
        <v>123</v>
      </c>
      <c r="L1726">
        <v>45744</v>
      </c>
      <c r="M1726" t="s">
        <v>389</v>
      </c>
    </row>
    <row r="1727" spans="1:13" x14ac:dyDescent="0.3">
      <c r="A1727" t="s">
        <v>6050</v>
      </c>
      <c r="B1727" t="s">
        <v>37</v>
      </c>
      <c r="C1727" t="s">
        <v>25</v>
      </c>
      <c r="D1727" t="s">
        <v>71</v>
      </c>
      <c r="E1727">
        <v>3034</v>
      </c>
      <c r="F1727" t="s">
        <v>6051</v>
      </c>
      <c r="G1727" t="s">
        <v>6052</v>
      </c>
      <c r="H1727" t="s">
        <v>6052</v>
      </c>
      <c r="I1727" t="s">
        <v>74</v>
      </c>
      <c r="J1727" t="s">
        <v>75</v>
      </c>
      <c r="L1727">
        <v>45680</v>
      </c>
      <c r="M1727" t="s">
        <v>212</v>
      </c>
    </row>
    <row r="1728" spans="1:13" x14ac:dyDescent="0.3">
      <c r="A1728" t="s">
        <v>6053</v>
      </c>
      <c r="B1728" t="s">
        <v>46</v>
      </c>
      <c r="C1728" t="s">
        <v>24</v>
      </c>
      <c r="D1728" t="s">
        <v>38</v>
      </c>
      <c r="E1728">
        <v>3031</v>
      </c>
      <c r="F1728" t="s">
        <v>6054</v>
      </c>
      <c r="G1728" t="s">
        <v>6055</v>
      </c>
      <c r="H1728" t="s">
        <v>6055</v>
      </c>
      <c r="I1728" t="s">
        <v>42</v>
      </c>
      <c r="J1728" t="s">
        <v>43</v>
      </c>
      <c r="L1728">
        <v>45688</v>
      </c>
      <c r="M1728" t="s">
        <v>420</v>
      </c>
    </row>
    <row r="1729" spans="1:13" x14ac:dyDescent="0.3">
      <c r="A1729" t="s">
        <v>6056</v>
      </c>
      <c r="B1729" t="s">
        <v>37</v>
      </c>
      <c r="C1729" t="s">
        <v>24</v>
      </c>
      <c r="D1729" t="s">
        <v>47</v>
      </c>
      <c r="E1729">
        <v>3032</v>
      </c>
      <c r="F1729" t="s">
        <v>3487</v>
      </c>
      <c r="G1729" t="s">
        <v>6057</v>
      </c>
      <c r="H1729" t="s">
        <v>6058</v>
      </c>
      <c r="I1729" t="s">
        <v>51</v>
      </c>
      <c r="J1729" t="s">
        <v>52</v>
      </c>
      <c r="K1729" t="s">
        <v>21</v>
      </c>
      <c r="L1729">
        <v>45690</v>
      </c>
      <c r="M1729" t="s">
        <v>881</v>
      </c>
    </row>
    <row r="1730" spans="1:13" x14ac:dyDescent="0.3">
      <c r="A1730" t="s">
        <v>6059</v>
      </c>
      <c r="B1730" t="s">
        <v>46</v>
      </c>
      <c r="C1730" t="s">
        <v>24</v>
      </c>
      <c r="D1730" t="s">
        <v>191</v>
      </c>
      <c r="E1730">
        <v>3040</v>
      </c>
      <c r="F1730" t="s">
        <v>6060</v>
      </c>
      <c r="G1730" t="s">
        <v>6061</v>
      </c>
      <c r="H1730" t="s">
        <v>6062</v>
      </c>
      <c r="I1730" t="s">
        <v>194</v>
      </c>
      <c r="J1730" t="s">
        <v>13</v>
      </c>
      <c r="L1730">
        <v>45692</v>
      </c>
      <c r="M1730" t="s">
        <v>160</v>
      </c>
    </row>
    <row r="1731" spans="1:13" x14ac:dyDescent="0.3">
      <c r="A1731" t="s">
        <v>6063</v>
      </c>
      <c r="B1731" t="s">
        <v>46</v>
      </c>
      <c r="C1731" t="s">
        <v>24</v>
      </c>
      <c r="D1731" t="s">
        <v>71</v>
      </c>
      <c r="E1731">
        <v>3034</v>
      </c>
      <c r="F1731" t="s">
        <v>6064</v>
      </c>
      <c r="G1731" t="s">
        <v>6065</v>
      </c>
      <c r="H1731" t="s">
        <v>6066</v>
      </c>
      <c r="I1731" t="s">
        <v>74</v>
      </c>
      <c r="J1731" t="s">
        <v>75</v>
      </c>
      <c r="K1731" t="s">
        <v>21</v>
      </c>
      <c r="L1731">
        <v>45664</v>
      </c>
      <c r="M1731" t="s">
        <v>165</v>
      </c>
    </row>
    <row r="1732" spans="1:13" x14ac:dyDescent="0.3">
      <c r="A1732" t="s">
        <v>6067</v>
      </c>
      <c r="B1732" t="s">
        <v>37</v>
      </c>
      <c r="C1732" t="s">
        <v>22</v>
      </c>
      <c r="D1732" t="s">
        <v>55</v>
      </c>
      <c r="E1732">
        <v>3033</v>
      </c>
      <c r="F1732" t="s">
        <v>6068</v>
      </c>
      <c r="G1732" t="s">
        <v>6069</v>
      </c>
      <c r="H1732" t="s">
        <v>6070</v>
      </c>
      <c r="I1732" t="s">
        <v>58</v>
      </c>
      <c r="J1732" t="s">
        <v>59</v>
      </c>
      <c r="L1732">
        <v>45731</v>
      </c>
      <c r="M1732" t="s">
        <v>90</v>
      </c>
    </row>
    <row r="1733" spans="1:13" x14ac:dyDescent="0.3">
      <c r="A1733" t="s">
        <v>6071</v>
      </c>
      <c r="B1733" t="s">
        <v>46</v>
      </c>
      <c r="C1733" t="s">
        <v>25</v>
      </c>
      <c r="D1733" t="s">
        <v>191</v>
      </c>
      <c r="E1733">
        <v>3040</v>
      </c>
      <c r="F1733" t="s">
        <v>6072</v>
      </c>
      <c r="G1733" t="s">
        <v>6073</v>
      </c>
      <c r="H1733" t="s">
        <v>6073</v>
      </c>
      <c r="I1733" t="s">
        <v>194</v>
      </c>
      <c r="J1733" t="s">
        <v>13</v>
      </c>
      <c r="K1733" t="s">
        <v>21</v>
      </c>
      <c r="L1733">
        <v>45674</v>
      </c>
      <c r="M1733" t="s">
        <v>224</v>
      </c>
    </row>
    <row r="1734" spans="1:13" x14ac:dyDescent="0.3">
      <c r="A1734" t="s">
        <v>6074</v>
      </c>
      <c r="B1734" t="s">
        <v>46</v>
      </c>
      <c r="C1734" t="s">
        <v>22</v>
      </c>
      <c r="D1734" t="s">
        <v>207</v>
      </c>
      <c r="E1734">
        <v>3041</v>
      </c>
      <c r="F1734" t="s">
        <v>6075</v>
      </c>
      <c r="G1734" t="s">
        <v>6076</v>
      </c>
      <c r="H1734" t="s">
        <v>6076</v>
      </c>
      <c r="I1734" t="s">
        <v>211</v>
      </c>
      <c r="J1734" t="s">
        <v>14</v>
      </c>
      <c r="K1734" t="s">
        <v>21</v>
      </c>
      <c r="L1734">
        <v>45725</v>
      </c>
      <c r="M1734" t="s">
        <v>577</v>
      </c>
    </row>
    <row r="1735" spans="1:13" x14ac:dyDescent="0.3">
      <c r="A1735" t="s">
        <v>6077</v>
      </c>
      <c r="B1735" t="s">
        <v>46</v>
      </c>
      <c r="C1735" t="s">
        <v>26</v>
      </c>
      <c r="D1735" t="s">
        <v>191</v>
      </c>
      <c r="E1735">
        <v>3040</v>
      </c>
      <c r="F1735" t="s">
        <v>6078</v>
      </c>
      <c r="G1735" t="s">
        <v>6079</v>
      </c>
      <c r="H1735" t="s">
        <v>6079</v>
      </c>
      <c r="I1735" t="s">
        <v>194</v>
      </c>
      <c r="J1735" t="s">
        <v>13</v>
      </c>
      <c r="K1735" t="s">
        <v>21</v>
      </c>
      <c r="L1735">
        <v>45716</v>
      </c>
      <c r="M1735" t="s">
        <v>300</v>
      </c>
    </row>
    <row r="1736" spans="1:13" x14ac:dyDescent="0.3">
      <c r="A1736" t="s">
        <v>6080</v>
      </c>
      <c r="B1736" t="s">
        <v>46</v>
      </c>
      <c r="C1736" t="s">
        <v>26</v>
      </c>
      <c r="D1736" t="s">
        <v>191</v>
      </c>
      <c r="E1736">
        <v>3040</v>
      </c>
      <c r="F1736" t="s">
        <v>6081</v>
      </c>
      <c r="G1736" t="s">
        <v>6082</v>
      </c>
      <c r="H1736" t="s">
        <v>6083</v>
      </c>
      <c r="I1736" t="s">
        <v>194</v>
      </c>
      <c r="J1736" t="s">
        <v>13</v>
      </c>
      <c r="L1736">
        <v>45670</v>
      </c>
      <c r="M1736" t="s">
        <v>195</v>
      </c>
    </row>
    <row r="1737" spans="1:13" x14ac:dyDescent="0.3">
      <c r="A1737" t="s">
        <v>6084</v>
      </c>
      <c r="B1737" t="s">
        <v>46</v>
      </c>
      <c r="C1737" t="s">
        <v>22</v>
      </c>
      <c r="D1737" t="s">
        <v>191</v>
      </c>
      <c r="E1737">
        <v>3040</v>
      </c>
      <c r="F1737" t="s">
        <v>6085</v>
      </c>
      <c r="G1737" t="s">
        <v>6086</v>
      </c>
      <c r="H1737" t="s">
        <v>6086</v>
      </c>
      <c r="I1737" t="s">
        <v>194</v>
      </c>
      <c r="J1737" t="s">
        <v>13</v>
      </c>
      <c r="L1737">
        <v>45685</v>
      </c>
      <c r="M1737" t="s">
        <v>321</v>
      </c>
    </row>
    <row r="1738" spans="1:13" x14ac:dyDescent="0.3">
      <c r="A1738" t="s">
        <v>6087</v>
      </c>
      <c r="B1738" t="s">
        <v>37</v>
      </c>
      <c r="C1738" t="s">
        <v>24</v>
      </c>
      <c r="D1738" t="s">
        <v>38</v>
      </c>
      <c r="E1738">
        <v>3031</v>
      </c>
      <c r="F1738" t="s">
        <v>587</v>
      </c>
      <c r="G1738" t="s">
        <v>6088</v>
      </c>
      <c r="H1738" t="s">
        <v>6088</v>
      </c>
      <c r="I1738" t="s">
        <v>42</v>
      </c>
      <c r="J1738" t="s">
        <v>43</v>
      </c>
      <c r="L1738">
        <v>45696</v>
      </c>
      <c r="M1738" t="s">
        <v>287</v>
      </c>
    </row>
    <row r="1739" spans="1:13" x14ac:dyDescent="0.3">
      <c r="A1739" t="s">
        <v>6089</v>
      </c>
      <c r="B1739" t="s">
        <v>46</v>
      </c>
      <c r="C1739" t="s">
        <v>25</v>
      </c>
      <c r="D1739" t="s">
        <v>55</v>
      </c>
      <c r="E1739">
        <v>3033</v>
      </c>
      <c r="F1739" t="s">
        <v>4864</v>
      </c>
      <c r="G1739" t="s">
        <v>6090</v>
      </c>
      <c r="H1739" t="s">
        <v>6091</v>
      </c>
      <c r="I1739" t="s">
        <v>58</v>
      </c>
      <c r="J1739" t="s">
        <v>59</v>
      </c>
      <c r="K1739" t="s">
        <v>21</v>
      </c>
      <c r="L1739">
        <v>45698</v>
      </c>
      <c r="M1739" t="s">
        <v>60</v>
      </c>
    </row>
    <row r="1740" spans="1:13" x14ac:dyDescent="0.3">
      <c r="A1740" t="s">
        <v>6092</v>
      </c>
      <c r="B1740" t="s">
        <v>46</v>
      </c>
      <c r="C1740" t="s">
        <v>22</v>
      </c>
      <c r="D1740" t="s">
        <v>97</v>
      </c>
      <c r="E1740">
        <v>3036</v>
      </c>
      <c r="F1740" t="s">
        <v>6093</v>
      </c>
      <c r="G1740" t="s">
        <v>6094</v>
      </c>
      <c r="H1740" t="s">
        <v>6095</v>
      </c>
      <c r="I1740" t="s">
        <v>100</v>
      </c>
      <c r="J1740" t="s">
        <v>101</v>
      </c>
      <c r="K1740" t="s">
        <v>21</v>
      </c>
      <c r="L1740">
        <v>45692</v>
      </c>
      <c r="M1740" t="s">
        <v>165</v>
      </c>
    </row>
    <row r="1741" spans="1:13" x14ac:dyDescent="0.3">
      <c r="A1741" t="s">
        <v>6096</v>
      </c>
      <c r="B1741" t="s">
        <v>46</v>
      </c>
      <c r="C1741" t="s">
        <v>24</v>
      </c>
      <c r="D1741" t="s">
        <v>97</v>
      </c>
      <c r="E1741">
        <v>3036</v>
      </c>
      <c r="F1741" t="s">
        <v>6097</v>
      </c>
      <c r="G1741" t="s">
        <v>6098</v>
      </c>
      <c r="H1741" t="s">
        <v>6099</v>
      </c>
      <c r="I1741" t="s">
        <v>100</v>
      </c>
      <c r="J1741" t="s">
        <v>101</v>
      </c>
      <c r="L1741">
        <v>45665</v>
      </c>
      <c r="M1741" t="s">
        <v>292</v>
      </c>
    </row>
    <row r="1742" spans="1:13" x14ac:dyDescent="0.3">
      <c r="A1742" t="s">
        <v>6100</v>
      </c>
      <c r="B1742" t="s">
        <v>46</v>
      </c>
      <c r="C1742" t="s">
        <v>26</v>
      </c>
      <c r="D1742" t="s">
        <v>118</v>
      </c>
      <c r="E1742">
        <v>3038</v>
      </c>
      <c r="F1742" t="s">
        <v>6101</v>
      </c>
      <c r="G1742" t="s">
        <v>6102</v>
      </c>
      <c r="H1742" t="s">
        <v>6103</v>
      </c>
      <c r="I1742" t="s">
        <v>122</v>
      </c>
      <c r="J1742" t="s">
        <v>123</v>
      </c>
      <c r="L1742">
        <v>45727</v>
      </c>
      <c r="M1742" t="s">
        <v>581</v>
      </c>
    </row>
    <row r="1743" spans="1:13" x14ac:dyDescent="0.3">
      <c r="A1743" t="s">
        <v>6104</v>
      </c>
      <c r="B1743" t="s">
        <v>37</v>
      </c>
      <c r="C1743" t="s">
        <v>26</v>
      </c>
      <c r="D1743" t="s">
        <v>78</v>
      </c>
      <c r="E1743">
        <v>3035</v>
      </c>
      <c r="F1743" t="s">
        <v>6105</v>
      </c>
      <c r="G1743" t="s">
        <v>6106</v>
      </c>
      <c r="H1743" t="s">
        <v>6107</v>
      </c>
      <c r="I1743" t="s">
        <v>81</v>
      </c>
      <c r="J1743" t="s">
        <v>82</v>
      </c>
      <c r="L1743">
        <v>45699</v>
      </c>
      <c r="M1743" t="s">
        <v>205</v>
      </c>
    </row>
    <row r="1744" spans="1:13" x14ac:dyDescent="0.3">
      <c r="A1744" t="s">
        <v>6108</v>
      </c>
      <c r="B1744" t="s">
        <v>46</v>
      </c>
      <c r="C1744" t="s">
        <v>22</v>
      </c>
      <c r="D1744" t="s">
        <v>444</v>
      </c>
      <c r="E1744">
        <v>3042</v>
      </c>
      <c r="F1744" t="s">
        <v>6109</v>
      </c>
      <c r="G1744" t="s">
        <v>6110</v>
      </c>
      <c r="H1744" t="s">
        <v>6111</v>
      </c>
      <c r="I1744" t="s">
        <v>448</v>
      </c>
      <c r="J1744" t="s">
        <v>449</v>
      </c>
      <c r="L1744">
        <v>45682</v>
      </c>
      <c r="M1744" t="s">
        <v>481</v>
      </c>
    </row>
    <row r="1745" spans="1:13" x14ac:dyDescent="0.3">
      <c r="A1745" t="s">
        <v>6112</v>
      </c>
      <c r="B1745" t="s">
        <v>37</v>
      </c>
      <c r="C1745" t="s">
        <v>26</v>
      </c>
      <c r="D1745" t="s">
        <v>78</v>
      </c>
      <c r="E1745">
        <v>3035</v>
      </c>
      <c r="F1745" t="s">
        <v>6113</v>
      </c>
      <c r="G1745" t="s">
        <v>6114</v>
      </c>
      <c r="H1745" t="s">
        <v>6114</v>
      </c>
      <c r="I1745" t="s">
        <v>81</v>
      </c>
      <c r="J1745" t="s">
        <v>82</v>
      </c>
      <c r="L1745">
        <v>45696</v>
      </c>
      <c r="M1745" t="s">
        <v>287</v>
      </c>
    </row>
    <row r="1746" spans="1:13" x14ac:dyDescent="0.3">
      <c r="A1746" t="s">
        <v>6115</v>
      </c>
      <c r="B1746" t="s">
        <v>37</v>
      </c>
      <c r="C1746" t="s">
        <v>22</v>
      </c>
      <c r="D1746" t="s">
        <v>207</v>
      </c>
      <c r="E1746">
        <v>3041</v>
      </c>
      <c r="F1746" t="s">
        <v>6116</v>
      </c>
      <c r="G1746" t="s">
        <v>6117</v>
      </c>
      <c r="H1746" t="s">
        <v>6117</v>
      </c>
      <c r="I1746" t="s">
        <v>211</v>
      </c>
      <c r="J1746" t="s">
        <v>14</v>
      </c>
      <c r="L1746">
        <v>45743</v>
      </c>
      <c r="M1746" t="s">
        <v>363</v>
      </c>
    </row>
    <row r="1747" spans="1:13" x14ac:dyDescent="0.3">
      <c r="A1747" t="s">
        <v>6118</v>
      </c>
      <c r="B1747" t="s">
        <v>37</v>
      </c>
      <c r="C1747" t="s">
        <v>24</v>
      </c>
      <c r="D1747" t="s">
        <v>97</v>
      </c>
      <c r="E1747">
        <v>3036</v>
      </c>
      <c r="F1747" t="s">
        <v>6119</v>
      </c>
      <c r="G1747" t="s">
        <v>6120</v>
      </c>
      <c r="H1747" t="s">
        <v>6120</v>
      </c>
      <c r="I1747" t="s">
        <v>100</v>
      </c>
      <c r="J1747" t="s">
        <v>101</v>
      </c>
      <c r="L1747">
        <v>45670</v>
      </c>
      <c r="M1747" t="s">
        <v>65</v>
      </c>
    </row>
    <row r="1748" spans="1:13" x14ac:dyDescent="0.3">
      <c r="A1748" t="s">
        <v>6121</v>
      </c>
      <c r="B1748" t="s">
        <v>37</v>
      </c>
      <c r="C1748" t="s">
        <v>22</v>
      </c>
      <c r="D1748" t="s">
        <v>71</v>
      </c>
      <c r="E1748">
        <v>3034</v>
      </c>
      <c r="F1748" t="s">
        <v>6122</v>
      </c>
      <c r="G1748" t="s">
        <v>6123</v>
      </c>
      <c r="H1748" t="s">
        <v>6124</v>
      </c>
      <c r="I1748" t="s">
        <v>74</v>
      </c>
      <c r="J1748" t="s">
        <v>75</v>
      </c>
      <c r="L1748">
        <v>45670</v>
      </c>
      <c r="M1748" t="s">
        <v>165</v>
      </c>
    </row>
    <row r="1749" spans="1:13" x14ac:dyDescent="0.3">
      <c r="A1749" t="s">
        <v>6125</v>
      </c>
      <c r="B1749" t="s">
        <v>37</v>
      </c>
      <c r="C1749" t="s">
        <v>24</v>
      </c>
      <c r="D1749" t="s">
        <v>97</v>
      </c>
      <c r="E1749">
        <v>3036</v>
      </c>
      <c r="F1749" t="s">
        <v>6126</v>
      </c>
      <c r="G1749" t="s">
        <v>6127</v>
      </c>
      <c r="H1749" t="s">
        <v>6128</v>
      </c>
      <c r="I1749" t="s">
        <v>100</v>
      </c>
      <c r="J1749" t="s">
        <v>101</v>
      </c>
      <c r="K1749" t="s">
        <v>21</v>
      </c>
      <c r="L1749">
        <v>45719</v>
      </c>
      <c r="M1749" t="s">
        <v>165</v>
      </c>
    </row>
    <row r="1750" spans="1:13" x14ac:dyDescent="0.3">
      <c r="A1750" t="s">
        <v>6129</v>
      </c>
      <c r="B1750" t="s">
        <v>46</v>
      </c>
      <c r="C1750" t="s">
        <v>25</v>
      </c>
      <c r="D1750" t="s">
        <v>444</v>
      </c>
      <c r="E1750">
        <v>3042</v>
      </c>
      <c r="F1750" t="s">
        <v>6130</v>
      </c>
      <c r="G1750" t="s">
        <v>6131</v>
      </c>
      <c r="H1750" t="s">
        <v>6132</v>
      </c>
      <c r="I1750" t="s">
        <v>448</v>
      </c>
      <c r="J1750" t="s">
        <v>449</v>
      </c>
      <c r="L1750">
        <v>45713</v>
      </c>
      <c r="M1750" t="s">
        <v>224</v>
      </c>
    </row>
    <row r="1751" spans="1:13" x14ac:dyDescent="0.3">
      <c r="A1751" t="s">
        <v>6133</v>
      </c>
      <c r="B1751" t="s">
        <v>46</v>
      </c>
      <c r="C1751" t="s">
        <v>22</v>
      </c>
      <c r="D1751" t="s">
        <v>104</v>
      </c>
      <c r="E1751">
        <v>3037</v>
      </c>
      <c r="F1751" t="s">
        <v>6134</v>
      </c>
      <c r="G1751" t="s">
        <v>6135</v>
      </c>
      <c r="H1751" t="s">
        <v>6136</v>
      </c>
      <c r="I1751" t="s">
        <v>12</v>
      </c>
      <c r="J1751" t="s">
        <v>13</v>
      </c>
      <c r="K1751" t="s">
        <v>21</v>
      </c>
      <c r="L1751">
        <v>45668</v>
      </c>
      <c r="M1751" t="s">
        <v>287</v>
      </c>
    </row>
    <row r="1752" spans="1:13" x14ac:dyDescent="0.3">
      <c r="A1752" t="s">
        <v>6137</v>
      </c>
      <c r="B1752" t="s">
        <v>46</v>
      </c>
      <c r="C1752" t="s">
        <v>24</v>
      </c>
      <c r="D1752" t="s">
        <v>38</v>
      </c>
      <c r="E1752">
        <v>3031</v>
      </c>
      <c r="F1752" t="s">
        <v>6138</v>
      </c>
      <c r="G1752" t="s">
        <v>6139</v>
      </c>
      <c r="H1752" t="s">
        <v>6139</v>
      </c>
      <c r="I1752" t="s">
        <v>42</v>
      </c>
      <c r="J1752" t="s">
        <v>43</v>
      </c>
      <c r="K1752" t="s">
        <v>21</v>
      </c>
      <c r="L1752">
        <v>45714</v>
      </c>
      <c r="M1752" t="s">
        <v>102</v>
      </c>
    </row>
    <row r="1753" spans="1:13" x14ac:dyDescent="0.3">
      <c r="A1753" t="s">
        <v>6140</v>
      </c>
      <c r="B1753" t="s">
        <v>37</v>
      </c>
      <c r="C1753" t="s">
        <v>22</v>
      </c>
      <c r="D1753" t="s">
        <v>207</v>
      </c>
      <c r="E1753">
        <v>3041</v>
      </c>
      <c r="F1753" t="s">
        <v>6141</v>
      </c>
      <c r="G1753" t="s">
        <v>6142</v>
      </c>
      <c r="H1753" t="s">
        <v>6143</v>
      </c>
      <c r="I1753" t="s">
        <v>211</v>
      </c>
      <c r="J1753" t="s">
        <v>14</v>
      </c>
      <c r="K1753" t="s">
        <v>21</v>
      </c>
      <c r="L1753">
        <v>45725</v>
      </c>
      <c r="M1753" t="s">
        <v>300</v>
      </c>
    </row>
    <row r="1754" spans="1:13" x14ac:dyDescent="0.3">
      <c r="A1754" t="s">
        <v>6144</v>
      </c>
      <c r="B1754" t="s">
        <v>37</v>
      </c>
      <c r="C1754" t="s">
        <v>22</v>
      </c>
      <c r="D1754" t="s">
        <v>71</v>
      </c>
      <c r="E1754">
        <v>3034</v>
      </c>
      <c r="F1754" t="s">
        <v>6145</v>
      </c>
      <c r="G1754" t="s">
        <v>6146</v>
      </c>
      <c r="H1754" t="s">
        <v>6146</v>
      </c>
      <c r="I1754" t="s">
        <v>74</v>
      </c>
      <c r="J1754" t="s">
        <v>75</v>
      </c>
      <c r="K1754" t="s">
        <v>21</v>
      </c>
      <c r="L1754">
        <v>45744</v>
      </c>
      <c r="M1754" t="s">
        <v>76</v>
      </c>
    </row>
    <row r="1755" spans="1:13" x14ac:dyDescent="0.3">
      <c r="A1755" t="s">
        <v>6147</v>
      </c>
      <c r="B1755" t="s">
        <v>37</v>
      </c>
      <c r="C1755" t="s">
        <v>22</v>
      </c>
      <c r="D1755" t="s">
        <v>207</v>
      </c>
      <c r="E1755">
        <v>3041</v>
      </c>
      <c r="F1755" t="s">
        <v>6148</v>
      </c>
      <c r="G1755" t="s">
        <v>6149</v>
      </c>
      <c r="H1755" t="s">
        <v>6150</v>
      </c>
      <c r="I1755" t="s">
        <v>211</v>
      </c>
      <c r="J1755" t="s">
        <v>14</v>
      </c>
      <c r="L1755">
        <v>45675</v>
      </c>
      <c r="M1755" t="s">
        <v>300</v>
      </c>
    </row>
    <row r="1756" spans="1:13" x14ac:dyDescent="0.3">
      <c r="A1756" t="s">
        <v>6151</v>
      </c>
      <c r="B1756" t="s">
        <v>37</v>
      </c>
      <c r="C1756" t="s">
        <v>24</v>
      </c>
      <c r="D1756" t="s">
        <v>191</v>
      </c>
      <c r="E1756">
        <v>3040</v>
      </c>
      <c r="F1756" t="s">
        <v>3879</v>
      </c>
      <c r="G1756" t="s">
        <v>6152</v>
      </c>
      <c r="H1756" t="s">
        <v>6153</v>
      </c>
      <c r="I1756" t="s">
        <v>194</v>
      </c>
      <c r="J1756" t="s">
        <v>13</v>
      </c>
      <c r="L1756">
        <v>45733</v>
      </c>
      <c r="M1756" t="s">
        <v>224</v>
      </c>
    </row>
    <row r="1757" spans="1:13" x14ac:dyDescent="0.3">
      <c r="A1757" t="s">
        <v>6154</v>
      </c>
      <c r="B1757" t="s">
        <v>46</v>
      </c>
      <c r="C1757" t="s">
        <v>25</v>
      </c>
      <c r="D1757" t="s">
        <v>78</v>
      </c>
      <c r="E1757">
        <v>3035</v>
      </c>
      <c r="F1757" t="s">
        <v>6155</v>
      </c>
      <c r="G1757" t="s">
        <v>6156</v>
      </c>
      <c r="H1757" t="s">
        <v>6157</v>
      </c>
      <c r="I1757" t="s">
        <v>81</v>
      </c>
      <c r="J1757" t="s">
        <v>82</v>
      </c>
      <c r="L1757">
        <v>45720</v>
      </c>
      <c r="M1757" t="s">
        <v>69</v>
      </c>
    </row>
    <row r="1758" spans="1:13" x14ac:dyDescent="0.3">
      <c r="A1758" t="s">
        <v>6158</v>
      </c>
      <c r="B1758" t="s">
        <v>37</v>
      </c>
      <c r="C1758" t="s">
        <v>25</v>
      </c>
      <c r="D1758" t="s">
        <v>118</v>
      </c>
      <c r="E1758">
        <v>3038</v>
      </c>
      <c r="F1758" t="s">
        <v>32</v>
      </c>
      <c r="G1758" t="s">
        <v>6159</v>
      </c>
      <c r="H1758" t="s">
        <v>6160</v>
      </c>
      <c r="I1758" t="s">
        <v>122</v>
      </c>
      <c r="J1758" t="s">
        <v>123</v>
      </c>
      <c r="L1758">
        <v>45663</v>
      </c>
      <c r="M1758" t="s">
        <v>124</v>
      </c>
    </row>
    <row r="1759" spans="1:13" x14ac:dyDescent="0.3">
      <c r="A1759" t="s">
        <v>6161</v>
      </c>
      <c r="B1759" t="s">
        <v>46</v>
      </c>
      <c r="C1759" t="s">
        <v>22</v>
      </c>
      <c r="D1759" t="s">
        <v>38</v>
      </c>
      <c r="E1759">
        <v>3031</v>
      </c>
      <c r="F1759" t="s">
        <v>6162</v>
      </c>
      <c r="G1759" t="s">
        <v>6163</v>
      </c>
      <c r="H1759" t="s">
        <v>6164</v>
      </c>
      <c r="I1759" t="s">
        <v>42</v>
      </c>
      <c r="J1759" t="s">
        <v>43</v>
      </c>
      <c r="L1759">
        <v>45690</v>
      </c>
      <c r="M1759" t="s">
        <v>76</v>
      </c>
    </row>
    <row r="1760" spans="1:13" x14ac:dyDescent="0.3">
      <c r="A1760" t="s">
        <v>6165</v>
      </c>
      <c r="B1760" t="s">
        <v>37</v>
      </c>
      <c r="C1760" t="s">
        <v>22</v>
      </c>
      <c r="D1760" t="s">
        <v>444</v>
      </c>
      <c r="E1760">
        <v>3042</v>
      </c>
      <c r="F1760" t="s">
        <v>6166</v>
      </c>
      <c r="G1760" t="s">
        <v>6167</v>
      </c>
      <c r="H1760" t="s">
        <v>6168</v>
      </c>
      <c r="I1760" t="s">
        <v>448</v>
      </c>
      <c r="J1760" t="s">
        <v>449</v>
      </c>
      <c r="L1760">
        <v>45659</v>
      </c>
      <c r="M1760" t="s">
        <v>722</v>
      </c>
    </row>
    <row r="1761" spans="1:13" x14ac:dyDescent="0.3">
      <c r="A1761" t="s">
        <v>6169</v>
      </c>
      <c r="B1761" t="s">
        <v>37</v>
      </c>
      <c r="C1761" t="s">
        <v>25</v>
      </c>
      <c r="D1761" t="s">
        <v>104</v>
      </c>
      <c r="E1761">
        <v>3037</v>
      </c>
      <c r="F1761" t="s">
        <v>6170</v>
      </c>
      <c r="G1761" t="s">
        <v>6171</v>
      </c>
      <c r="H1761" t="s">
        <v>6171</v>
      </c>
      <c r="I1761" t="s">
        <v>12</v>
      </c>
      <c r="J1761" t="s">
        <v>13</v>
      </c>
      <c r="L1761">
        <v>45682</v>
      </c>
      <c r="M1761" t="s">
        <v>287</v>
      </c>
    </row>
    <row r="1762" spans="1:13" x14ac:dyDescent="0.3">
      <c r="A1762" t="s">
        <v>6172</v>
      </c>
      <c r="B1762" t="s">
        <v>46</v>
      </c>
      <c r="C1762" t="s">
        <v>25</v>
      </c>
      <c r="D1762" t="s">
        <v>78</v>
      </c>
      <c r="E1762">
        <v>3035</v>
      </c>
      <c r="F1762" t="s">
        <v>6173</v>
      </c>
      <c r="G1762" t="s">
        <v>6174</v>
      </c>
      <c r="H1762" t="s">
        <v>6175</v>
      </c>
      <c r="I1762" t="s">
        <v>81</v>
      </c>
      <c r="J1762" t="s">
        <v>82</v>
      </c>
      <c r="L1762">
        <v>45671</v>
      </c>
      <c r="M1762" t="s">
        <v>489</v>
      </c>
    </row>
    <row r="1763" spans="1:13" x14ac:dyDescent="0.3">
      <c r="A1763" t="s">
        <v>6176</v>
      </c>
      <c r="B1763" t="s">
        <v>46</v>
      </c>
      <c r="C1763" t="s">
        <v>24</v>
      </c>
      <c r="D1763" t="s">
        <v>444</v>
      </c>
      <c r="E1763">
        <v>3042</v>
      </c>
      <c r="F1763" t="s">
        <v>6177</v>
      </c>
      <c r="G1763" t="s">
        <v>6178</v>
      </c>
      <c r="H1763" t="s">
        <v>6178</v>
      </c>
      <c r="I1763" t="s">
        <v>448</v>
      </c>
      <c r="J1763" t="s">
        <v>449</v>
      </c>
      <c r="L1763">
        <v>45745</v>
      </c>
      <c r="M1763" t="s">
        <v>722</v>
      </c>
    </row>
    <row r="1764" spans="1:13" x14ac:dyDescent="0.3">
      <c r="A1764" t="s">
        <v>6179</v>
      </c>
      <c r="B1764" t="s">
        <v>46</v>
      </c>
      <c r="C1764" t="s">
        <v>25</v>
      </c>
      <c r="D1764" t="s">
        <v>97</v>
      </c>
      <c r="E1764">
        <v>3036</v>
      </c>
      <c r="F1764" t="s">
        <v>6180</v>
      </c>
      <c r="G1764" t="s">
        <v>6181</v>
      </c>
      <c r="H1764" t="s">
        <v>6181</v>
      </c>
      <c r="I1764" t="s">
        <v>100</v>
      </c>
      <c r="J1764" t="s">
        <v>101</v>
      </c>
      <c r="L1764">
        <v>45710</v>
      </c>
      <c r="M1764" t="s">
        <v>128</v>
      </c>
    </row>
    <row r="1765" spans="1:13" x14ac:dyDescent="0.3">
      <c r="A1765" t="s">
        <v>6182</v>
      </c>
      <c r="B1765" t="s">
        <v>37</v>
      </c>
      <c r="C1765" t="s">
        <v>26</v>
      </c>
      <c r="D1765" t="s">
        <v>207</v>
      </c>
      <c r="E1765">
        <v>3041</v>
      </c>
      <c r="F1765" t="s">
        <v>6183</v>
      </c>
      <c r="G1765" t="s">
        <v>6184</v>
      </c>
      <c r="H1765" t="s">
        <v>6185</v>
      </c>
      <c r="I1765" t="s">
        <v>211</v>
      </c>
      <c r="J1765" t="s">
        <v>14</v>
      </c>
      <c r="L1765">
        <v>45686</v>
      </c>
      <c r="M1765" t="s">
        <v>363</v>
      </c>
    </row>
    <row r="1766" spans="1:13" x14ac:dyDescent="0.3">
      <c r="A1766" t="s">
        <v>6186</v>
      </c>
      <c r="B1766" t="s">
        <v>46</v>
      </c>
      <c r="C1766" t="s">
        <v>24</v>
      </c>
      <c r="D1766" t="s">
        <v>136</v>
      </c>
      <c r="E1766">
        <v>3039</v>
      </c>
      <c r="F1766" t="s">
        <v>6187</v>
      </c>
      <c r="G1766" t="s">
        <v>6188</v>
      </c>
      <c r="H1766" t="s">
        <v>6188</v>
      </c>
      <c r="I1766" t="s">
        <v>15</v>
      </c>
      <c r="J1766" t="s">
        <v>14</v>
      </c>
      <c r="L1766">
        <v>45689</v>
      </c>
      <c r="M1766" t="s">
        <v>389</v>
      </c>
    </row>
    <row r="1767" spans="1:13" x14ac:dyDescent="0.3">
      <c r="A1767" t="s">
        <v>6189</v>
      </c>
      <c r="B1767" t="s">
        <v>46</v>
      </c>
      <c r="C1767" t="s">
        <v>24</v>
      </c>
      <c r="D1767" t="s">
        <v>55</v>
      </c>
      <c r="E1767">
        <v>3033</v>
      </c>
      <c r="F1767" t="s">
        <v>6190</v>
      </c>
      <c r="G1767" t="s">
        <v>6191</v>
      </c>
      <c r="H1767" t="s">
        <v>6191</v>
      </c>
      <c r="I1767" t="s">
        <v>58</v>
      </c>
      <c r="J1767" t="s">
        <v>59</v>
      </c>
      <c r="L1767">
        <v>45672</v>
      </c>
      <c r="M1767" t="s">
        <v>86</v>
      </c>
    </row>
    <row r="1768" spans="1:13" x14ac:dyDescent="0.3">
      <c r="A1768" t="s">
        <v>6192</v>
      </c>
      <c r="B1768" t="s">
        <v>46</v>
      </c>
      <c r="C1768" t="s">
        <v>24</v>
      </c>
      <c r="D1768" t="s">
        <v>191</v>
      </c>
      <c r="E1768">
        <v>3040</v>
      </c>
      <c r="F1768" t="s">
        <v>6193</v>
      </c>
      <c r="G1768" t="s">
        <v>6194</v>
      </c>
      <c r="H1768" t="s">
        <v>6195</v>
      </c>
      <c r="I1768" t="s">
        <v>194</v>
      </c>
      <c r="J1768" t="s">
        <v>13</v>
      </c>
      <c r="L1768">
        <v>45695</v>
      </c>
      <c r="M1768" t="s">
        <v>300</v>
      </c>
    </row>
    <row r="1769" spans="1:13" x14ac:dyDescent="0.3">
      <c r="A1769" t="s">
        <v>6196</v>
      </c>
      <c r="B1769" t="s">
        <v>46</v>
      </c>
      <c r="C1769" t="s">
        <v>25</v>
      </c>
      <c r="D1769" t="s">
        <v>38</v>
      </c>
      <c r="E1769">
        <v>3031</v>
      </c>
      <c r="F1769" t="s">
        <v>6197</v>
      </c>
      <c r="G1769" t="s">
        <v>6198</v>
      </c>
      <c r="H1769" t="s">
        <v>6198</v>
      </c>
      <c r="I1769" t="s">
        <v>42</v>
      </c>
      <c r="J1769" t="s">
        <v>43</v>
      </c>
      <c r="L1769">
        <v>45735</v>
      </c>
      <c r="M1769" t="s">
        <v>65</v>
      </c>
    </row>
    <row r="1770" spans="1:13" x14ac:dyDescent="0.3">
      <c r="A1770" t="s">
        <v>6199</v>
      </c>
      <c r="B1770" t="s">
        <v>37</v>
      </c>
      <c r="C1770" t="s">
        <v>25</v>
      </c>
      <c r="D1770" t="s">
        <v>78</v>
      </c>
      <c r="E1770">
        <v>3035</v>
      </c>
      <c r="F1770" t="s">
        <v>3243</v>
      </c>
      <c r="G1770" t="s">
        <v>6200</v>
      </c>
      <c r="H1770" t="s">
        <v>6201</v>
      </c>
      <c r="I1770" t="s">
        <v>81</v>
      </c>
      <c r="J1770" t="s">
        <v>82</v>
      </c>
      <c r="L1770">
        <v>45724</v>
      </c>
      <c r="M1770" t="s">
        <v>287</v>
      </c>
    </row>
    <row r="1771" spans="1:13" x14ac:dyDescent="0.3">
      <c r="A1771" t="s">
        <v>6202</v>
      </c>
      <c r="B1771" t="s">
        <v>37</v>
      </c>
      <c r="C1771" t="s">
        <v>25</v>
      </c>
      <c r="D1771" t="s">
        <v>118</v>
      </c>
      <c r="E1771">
        <v>3038</v>
      </c>
      <c r="F1771" t="s">
        <v>6203</v>
      </c>
      <c r="G1771" t="s">
        <v>6204</v>
      </c>
      <c r="H1771" t="s">
        <v>6205</v>
      </c>
      <c r="I1771" t="s">
        <v>122</v>
      </c>
      <c r="J1771" t="s">
        <v>123</v>
      </c>
      <c r="L1771">
        <v>45716</v>
      </c>
      <c r="M1771" t="s">
        <v>581</v>
      </c>
    </row>
    <row r="1772" spans="1:13" x14ac:dyDescent="0.3">
      <c r="A1772" t="s">
        <v>6206</v>
      </c>
      <c r="B1772" t="s">
        <v>46</v>
      </c>
      <c r="C1772" t="s">
        <v>26</v>
      </c>
      <c r="D1772" t="s">
        <v>118</v>
      </c>
      <c r="E1772">
        <v>3038</v>
      </c>
      <c r="F1772" t="s">
        <v>6207</v>
      </c>
      <c r="G1772" t="s">
        <v>6208</v>
      </c>
      <c r="H1772" t="s">
        <v>6209</v>
      </c>
      <c r="I1772" t="s">
        <v>122</v>
      </c>
      <c r="J1772" t="s">
        <v>123</v>
      </c>
      <c r="L1772">
        <v>45674</v>
      </c>
      <c r="M1772" t="s">
        <v>581</v>
      </c>
    </row>
    <row r="1773" spans="1:13" x14ac:dyDescent="0.3">
      <c r="A1773" t="s">
        <v>6210</v>
      </c>
      <c r="B1773" t="s">
        <v>46</v>
      </c>
      <c r="C1773" t="s">
        <v>24</v>
      </c>
      <c r="D1773" t="s">
        <v>55</v>
      </c>
      <c r="E1773">
        <v>3033</v>
      </c>
      <c r="F1773" t="s">
        <v>6211</v>
      </c>
      <c r="G1773" t="s">
        <v>6212</v>
      </c>
      <c r="H1773" t="s">
        <v>6213</v>
      </c>
      <c r="I1773" t="s">
        <v>58</v>
      </c>
      <c r="J1773" t="s">
        <v>59</v>
      </c>
      <c r="K1773" t="s">
        <v>21</v>
      </c>
      <c r="L1773">
        <v>45693</v>
      </c>
      <c r="M1773" t="s">
        <v>95</v>
      </c>
    </row>
    <row r="1774" spans="1:13" x14ac:dyDescent="0.3">
      <c r="A1774" t="s">
        <v>6214</v>
      </c>
      <c r="B1774" t="s">
        <v>37</v>
      </c>
      <c r="C1774" t="s">
        <v>22</v>
      </c>
      <c r="D1774" t="s">
        <v>104</v>
      </c>
      <c r="E1774">
        <v>3037</v>
      </c>
      <c r="F1774" t="s">
        <v>6215</v>
      </c>
      <c r="G1774" t="s">
        <v>6216</v>
      </c>
      <c r="H1774" t="s">
        <v>6216</v>
      </c>
      <c r="I1774" t="s">
        <v>12</v>
      </c>
      <c r="J1774" t="s">
        <v>13</v>
      </c>
      <c r="L1774">
        <v>45740</v>
      </c>
      <c r="M1774" t="s">
        <v>76</v>
      </c>
    </row>
    <row r="1775" spans="1:13" x14ac:dyDescent="0.3">
      <c r="A1775" t="s">
        <v>6217</v>
      </c>
      <c r="B1775" t="s">
        <v>37</v>
      </c>
      <c r="C1775" t="s">
        <v>22</v>
      </c>
      <c r="D1775" t="s">
        <v>191</v>
      </c>
      <c r="E1775">
        <v>3040</v>
      </c>
      <c r="F1775" t="s">
        <v>6218</v>
      </c>
      <c r="G1775" t="s">
        <v>6219</v>
      </c>
      <c r="H1775" t="s">
        <v>6220</v>
      </c>
      <c r="I1775" t="s">
        <v>194</v>
      </c>
      <c r="J1775" t="s">
        <v>13</v>
      </c>
      <c r="L1775">
        <v>45706</v>
      </c>
      <c r="M1775" t="s">
        <v>160</v>
      </c>
    </row>
    <row r="1776" spans="1:13" x14ac:dyDescent="0.3">
      <c r="A1776" t="s">
        <v>6221</v>
      </c>
      <c r="B1776" t="s">
        <v>37</v>
      </c>
      <c r="C1776" t="s">
        <v>22</v>
      </c>
      <c r="D1776" t="s">
        <v>207</v>
      </c>
      <c r="E1776">
        <v>3041</v>
      </c>
      <c r="F1776" t="s">
        <v>6222</v>
      </c>
      <c r="G1776" t="s">
        <v>6223</v>
      </c>
      <c r="H1776" t="s">
        <v>6224</v>
      </c>
      <c r="I1776" t="s">
        <v>211</v>
      </c>
      <c r="J1776" t="s">
        <v>14</v>
      </c>
      <c r="L1776">
        <v>45717</v>
      </c>
      <c r="M1776" t="s">
        <v>212</v>
      </c>
    </row>
    <row r="1777" spans="1:13" x14ac:dyDescent="0.3">
      <c r="A1777" t="s">
        <v>6225</v>
      </c>
      <c r="B1777" t="s">
        <v>46</v>
      </c>
      <c r="C1777" t="s">
        <v>24</v>
      </c>
      <c r="D1777" t="s">
        <v>118</v>
      </c>
      <c r="E1777">
        <v>3038</v>
      </c>
      <c r="F1777" t="s">
        <v>6226</v>
      </c>
      <c r="G1777" t="s">
        <v>6227</v>
      </c>
      <c r="H1777" t="s">
        <v>6227</v>
      </c>
      <c r="I1777" t="s">
        <v>122</v>
      </c>
      <c r="J1777" t="s">
        <v>123</v>
      </c>
      <c r="L1777">
        <v>45696</v>
      </c>
      <c r="M1777" t="s">
        <v>200</v>
      </c>
    </row>
    <row r="1778" spans="1:13" x14ac:dyDescent="0.3">
      <c r="A1778" t="s">
        <v>6228</v>
      </c>
      <c r="B1778" t="s">
        <v>46</v>
      </c>
      <c r="C1778" t="s">
        <v>26</v>
      </c>
      <c r="D1778" t="s">
        <v>191</v>
      </c>
      <c r="E1778">
        <v>3040</v>
      </c>
      <c r="F1778" t="s">
        <v>6229</v>
      </c>
      <c r="G1778" t="s">
        <v>6230</v>
      </c>
      <c r="H1778" t="s">
        <v>6230</v>
      </c>
      <c r="I1778" t="s">
        <v>194</v>
      </c>
      <c r="J1778" t="s">
        <v>13</v>
      </c>
      <c r="L1778">
        <v>45688</v>
      </c>
      <c r="M1778" t="s">
        <v>717</v>
      </c>
    </row>
    <row r="1779" spans="1:13" x14ac:dyDescent="0.3">
      <c r="A1779" t="s">
        <v>6231</v>
      </c>
      <c r="B1779" t="s">
        <v>37</v>
      </c>
      <c r="C1779" t="s">
        <v>26</v>
      </c>
      <c r="D1779" t="s">
        <v>444</v>
      </c>
      <c r="E1779">
        <v>3042</v>
      </c>
      <c r="F1779" t="s">
        <v>6232</v>
      </c>
      <c r="G1779" t="s">
        <v>6233</v>
      </c>
      <c r="H1779" t="s">
        <v>6233</v>
      </c>
      <c r="I1779" t="s">
        <v>448</v>
      </c>
      <c r="J1779" t="s">
        <v>449</v>
      </c>
      <c r="L1779">
        <v>45671</v>
      </c>
      <c r="M1779" t="s">
        <v>363</v>
      </c>
    </row>
    <row r="1780" spans="1:13" x14ac:dyDescent="0.3">
      <c r="A1780" t="s">
        <v>6234</v>
      </c>
      <c r="B1780" t="s">
        <v>46</v>
      </c>
      <c r="C1780" t="s">
        <v>26</v>
      </c>
      <c r="D1780" t="s">
        <v>207</v>
      </c>
      <c r="E1780">
        <v>3041</v>
      </c>
      <c r="F1780" t="s">
        <v>5517</v>
      </c>
      <c r="G1780" t="s">
        <v>6235</v>
      </c>
      <c r="H1780" t="s">
        <v>6236</v>
      </c>
      <c r="I1780" t="s">
        <v>211</v>
      </c>
      <c r="J1780" t="s">
        <v>14</v>
      </c>
      <c r="L1780">
        <v>45679</v>
      </c>
      <c r="M1780" t="s">
        <v>128</v>
      </c>
    </row>
    <row r="1781" spans="1:13" x14ac:dyDescent="0.3">
      <c r="A1781" t="s">
        <v>6237</v>
      </c>
      <c r="B1781" t="s">
        <v>37</v>
      </c>
      <c r="C1781" t="s">
        <v>26</v>
      </c>
      <c r="D1781" t="s">
        <v>444</v>
      </c>
      <c r="E1781">
        <v>3042</v>
      </c>
      <c r="F1781" t="s">
        <v>6238</v>
      </c>
      <c r="G1781" t="s">
        <v>6239</v>
      </c>
      <c r="H1781" t="s">
        <v>6239</v>
      </c>
      <c r="I1781" t="s">
        <v>448</v>
      </c>
      <c r="J1781" t="s">
        <v>449</v>
      </c>
      <c r="L1781">
        <v>45674</v>
      </c>
      <c r="M1781" t="s">
        <v>224</v>
      </c>
    </row>
    <row r="1782" spans="1:13" x14ac:dyDescent="0.3">
      <c r="A1782" t="s">
        <v>6240</v>
      </c>
      <c r="B1782" t="s">
        <v>46</v>
      </c>
      <c r="C1782" t="s">
        <v>24</v>
      </c>
      <c r="D1782" t="s">
        <v>191</v>
      </c>
      <c r="E1782">
        <v>3040</v>
      </c>
      <c r="F1782" t="s">
        <v>6241</v>
      </c>
      <c r="G1782" t="s">
        <v>6242</v>
      </c>
      <c r="H1782" t="s">
        <v>6242</v>
      </c>
      <c r="I1782" t="s">
        <v>194</v>
      </c>
      <c r="J1782" t="s">
        <v>13</v>
      </c>
      <c r="L1782">
        <v>45720</v>
      </c>
      <c r="M1782" t="s">
        <v>300</v>
      </c>
    </row>
    <row r="1783" spans="1:13" x14ac:dyDescent="0.3">
      <c r="A1783" t="s">
        <v>6243</v>
      </c>
      <c r="B1783" t="s">
        <v>46</v>
      </c>
      <c r="C1783" t="s">
        <v>26</v>
      </c>
      <c r="D1783" t="s">
        <v>136</v>
      </c>
      <c r="E1783">
        <v>3039</v>
      </c>
      <c r="F1783" t="s">
        <v>6244</v>
      </c>
      <c r="G1783" t="s">
        <v>6245</v>
      </c>
      <c r="H1783" t="s">
        <v>6245</v>
      </c>
      <c r="I1783" t="s">
        <v>15</v>
      </c>
      <c r="J1783" t="s">
        <v>14</v>
      </c>
      <c r="L1783">
        <v>45713</v>
      </c>
      <c r="M1783" t="s">
        <v>200</v>
      </c>
    </row>
    <row r="1784" spans="1:13" x14ac:dyDescent="0.3">
      <c r="A1784" t="s">
        <v>6246</v>
      </c>
      <c r="B1784" t="s">
        <v>37</v>
      </c>
      <c r="C1784" t="s">
        <v>26</v>
      </c>
      <c r="D1784" t="s">
        <v>47</v>
      </c>
      <c r="E1784">
        <v>3032</v>
      </c>
      <c r="F1784" t="s">
        <v>6247</v>
      </c>
      <c r="G1784" t="s">
        <v>6248</v>
      </c>
      <c r="H1784" t="s">
        <v>6248</v>
      </c>
      <c r="I1784" t="s">
        <v>51</v>
      </c>
      <c r="J1784" t="s">
        <v>52</v>
      </c>
      <c r="K1784" t="s">
        <v>21</v>
      </c>
      <c r="L1784">
        <v>45730</v>
      </c>
      <c r="M1784" t="s">
        <v>261</v>
      </c>
    </row>
    <row r="1785" spans="1:13" x14ac:dyDescent="0.3">
      <c r="A1785" t="s">
        <v>6249</v>
      </c>
      <c r="B1785" t="s">
        <v>37</v>
      </c>
      <c r="C1785" t="s">
        <v>26</v>
      </c>
      <c r="D1785" t="s">
        <v>55</v>
      </c>
      <c r="E1785">
        <v>3033</v>
      </c>
      <c r="F1785" t="s">
        <v>6250</v>
      </c>
      <c r="G1785" t="s">
        <v>6251</v>
      </c>
      <c r="H1785" t="s">
        <v>6252</v>
      </c>
      <c r="I1785" t="s">
        <v>58</v>
      </c>
      <c r="J1785" t="s">
        <v>59</v>
      </c>
      <c r="L1785">
        <v>45696</v>
      </c>
      <c r="M1785" t="s">
        <v>95</v>
      </c>
    </row>
    <row r="1786" spans="1:13" x14ac:dyDescent="0.3">
      <c r="A1786" t="s">
        <v>6253</v>
      </c>
      <c r="B1786" t="s">
        <v>37</v>
      </c>
      <c r="C1786" t="s">
        <v>22</v>
      </c>
      <c r="D1786" t="s">
        <v>55</v>
      </c>
      <c r="E1786">
        <v>3033</v>
      </c>
      <c r="F1786" t="s">
        <v>6254</v>
      </c>
      <c r="G1786" t="s">
        <v>6255</v>
      </c>
      <c r="H1786" t="s">
        <v>6256</v>
      </c>
      <c r="I1786" t="s">
        <v>58</v>
      </c>
      <c r="J1786" t="s">
        <v>59</v>
      </c>
      <c r="L1786">
        <v>45687</v>
      </c>
      <c r="M1786" t="s">
        <v>69</v>
      </c>
    </row>
    <row r="1787" spans="1:13" x14ac:dyDescent="0.3">
      <c r="A1787" t="s">
        <v>6257</v>
      </c>
      <c r="B1787" t="s">
        <v>37</v>
      </c>
      <c r="C1787" t="s">
        <v>26</v>
      </c>
      <c r="D1787" t="s">
        <v>38</v>
      </c>
      <c r="E1787">
        <v>3031</v>
      </c>
      <c r="F1787" t="s">
        <v>6258</v>
      </c>
      <c r="G1787" t="s">
        <v>6259</v>
      </c>
      <c r="H1787" t="s">
        <v>6259</v>
      </c>
      <c r="I1787" t="s">
        <v>42</v>
      </c>
      <c r="J1787" t="s">
        <v>43</v>
      </c>
      <c r="K1787" t="s">
        <v>21</v>
      </c>
      <c r="L1787">
        <v>45681</v>
      </c>
      <c r="M1787" t="s">
        <v>102</v>
      </c>
    </row>
    <row r="1788" spans="1:13" x14ac:dyDescent="0.3">
      <c r="A1788" t="s">
        <v>6260</v>
      </c>
      <c r="B1788" t="s">
        <v>46</v>
      </c>
      <c r="C1788" t="s">
        <v>26</v>
      </c>
      <c r="D1788" t="s">
        <v>444</v>
      </c>
      <c r="E1788">
        <v>3042</v>
      </c>
      <c r="F1788" t="s">
        <v>6261</v>
      </c>
      <c r="G1788" t="s">
        <v>6262</v>
      </c>
      <c r="H1788" t="s">
        <v>6263</v>
      </c>
      <c r="I1788" t="s">
        <v>448</v>
      </c>
      <c r="J1788" t="s">
        <v>449</v>
      </c>
      <c r="L1788">
        <v>45679</v>
      </c>
      <c r="M1788" t="s">
        <v>107</v>
      </c>
    </row>
    <row r="1789" spans="1:13" x14ac:dyDescent="0.3">
      <c r="A1789" t="s">
        <v>6264</v>
      </c>
      <c r="B1789" t="s">
        <v>46</v>
      </c>
      <c r="C1789" t="s">
        <v>26</v>
      </c>
      <c r="D1789" t="s">
        <v>118</v>
      </c>
      <c r="E1789">
        <v>3038</v>
      </c>
      <c r="F1789" t="s">
        <v>6265</v>
      </c>
      <c r="G1789" t="s">
        <v>6266</v>
      </c>
      <c r="H1789" t="s">
        <v>6267</v>
      </c>
      <c r="I1789" t="s">
        <v>122</v>
      </c>
      <c r="J1789" t="s">
        <v>123</v>
      </c>
      <c r="L1789">
        <v>45659</v>
      </c>
      <c r="M1789" t="s">
        <v>124</v>
      </c>
    </row>
    <row r="1790" spans="1:13" x14ac:dyDescent="0.3">
      <c r="A1790" t="s">
        <v>6268</v>
      </c>
      <c r="B1790" t="s">
        <v>37</v>
      </c>
      <c r="C1790" t="s">
        <v>25</v>
      </c>
      <c r="D1790" t="s">
        <v>207</v>
      </c>
      <c r="E1790">
        <v>3041</v>
      </c>
      <c r="F1790" t="s">
        <v>1125</v>
      </c>
      <c r="G1790" t="s">
        <v>6269</v>
      </c>
      <c r="H1790" t="s">
        <v>6269</v>
      </c>
      <c r="I1790" t="s">
        <v>211</v>
      </c>
      <c r="J1790" t="s">
        <v>14</v>
      </c>
      <c r="L1790">
        <v>45729</v>
      </c>
      <c r="M1790" t="s">
        <v>128</v>
      </c>
    </row>
    <row r="1791" spans="1:13" x14ac:dyDescent="0.3">
      <c r="A1791" t="s">
        <v>6270</v>
      </c>
      <c r="B1791" t="s">
        <v>46</v>
      </c>
      <c r="C1791" t="s">
        <v>26</v>
      </c>
      <c r="D1791" t="s">
        <v>207</v>
      </c>
      <c r="E1791">
        <v>3041</v>
      </c>
      <c r="F1791" t="s">
        <v>6271</v>
      </c>
      <c r="G1791" t="s">
        <v>6272</v>
      </c>
      <c r="H1791" t="s">
        <v>6272</v>
      </c>
      <c r="I1791" t="s">
        <v>211</v>
      </c>
      <c r="J1791" t="s">
        <v>14</v>
      </c>
      <c r="L1791">
        <v>45721</v>
      </c>
      <c r="M1791" t="s">
        <v>128</v>
      </c>
    </row>
    <row r="1792" spans="1:13" x14ac:dyDescent="0.3">
      <c r="A1792" t="s">
        <v>6273</v>
      </c>
      <c r="B1792" t="s">
        <v>46</v>
      </c>
      <c r="C1792" t="s">
        <v>26</v>
      </c>
      <c r="D1792" t="s">
        <v>97</v>
      </c>
      <c r="E1792">
        <v>3036</v>
      </c>
      <c r="F1792" t="s">
        <v>6274</v>
      </c>
      <c r="G1792" t="s">
        <v>6275</v>
      </c>
      <c r="H1792" t="s">
        <v>6275</v>
      </c>
      <c r="I1792" t="s">
        <v>100</v>
      </c>
      <c r="J1792" t="s">
        <v>101</v>
      </c>
      <c r="K1792" t="s">
        <v>21</v>
      </c>
      <c r="L1792">
        <v>45729</v>
      </c>
      <c r="M1792" t="s">
        <v>165</v>
      </c>
    </row>
    <row r="1793" spans="1:13" x14ac:dyDescent="0.3">
      <c r="A1793" t="s">
        <v>6276</v>
      </c>
      <c r="B1793" t="s">
        <v>37</v>
      </c>
      <c r="C1793" t="s">
        <v>24</v>
      </c>
      <c r="D1793" t="s">
        <v>55</v>
      </c>
      <c r="E1793">
        <v>3033</v>
      </c>
      <c r="F1793" t="s">
        <v>6277</v>
      </c>
      <c r="G1793" t="s">
        <v>6278</v>
      </c>
      <c r="H1793" t="s">
        <v>6278</v>
      </c>
      <c r="I1793" t="s">
        <v>58</v>
      </c>
      <c r="J1793" t="s">
        <v>59</v>
      </c>
      <c r="L1793">
        <v>45676</v>
      </c>
      <c r="M1793" t="s">
        <v>90</v>
      </c>
    </row>
    <row r="1794" spans="1:13" x14ac:dyDescent="0.3">
      <c r="A1794" t="s">
        <v>6279</v>
      </c>
      <c r="B1794" t="s">
        <v>37</v>
      </c>
      <c r="C1794" t="s">
        <v>26</v>
      </c>
      <c r="D1794" t="s">
        <v>97</v>
      </c>
      <c r="E1794">
        <v>3036</v>
      </c>
      <c r="F1794" t="s">
        <v>2852</v>
      </c>
      <c r="G1794" t="s">
        <v>6280</v>
      </c>
      <c r="H1794" t="s">
        <v>6281</v>
      </c>
      <c r="I1794" t="s">
        <v>100</v>
      </c>
      <c r="J1794" t="s">
        <v>101</v>
      </c>
      <c r="L1794">
        <v>45692</v>
      </c>
      <c r="M1794" t="s">
        <v>65</v>
      </c>
    </row>
    <row r="1795" spans="1:13" x14ac:dyDescent="0.3">
      <c r="A1795" t="s">
        <v>6282</v>
      </c>
      <c r="B1795" t="s">
        <v>46</v>
      </c>
      <c r="C1795" t="s">
        <v>24</v>
      </c>
      <c r="D1795" t="s">
        <v>118</v>
      </c>
      <c r="E1795">
        <v>3038</v>
      </c>
      <c r="F1795" t="s">
        <v>6283</v>
      </c>
      <c r="G1795" t="s">
        <v>6284</v>
      </c>
      <c r="H1795" t="s">
        <v>6284</v>
      </c>
      <c r="I1795" t="s">
        <v>122</v>
      </c>
      <c r="J1795" t="s">
        <v>123</v>
      </c>
      <c r="K1795" t="s">
        <v>21</v>
      </c>
      <c r="L1795">
        <v>45731</v>
      </c>
      <c r="M1795" t="s">
        <v>95</v>
      </c>
    </row>
    <row r="1796" spans="1:13" x14ac:dyDescent="0.3">
      <c r="A1796" t="s">
        <v>6285</v>
      </c>
      <c r="B1796" t="s">
        <v>37</v>
      </c>
      <c r="C1796" t="s">
        <v>25</v>
      </c>
      <c r="D1796" t="s">
        <v>97</v>
      </c>
      <c r="E1796">
        <v>3036</v>
      </c>
      <c r="F1796" t="s">
        <v>6286</v>
      </c>
      <c r="G1796" t="s">
        <v>6287</v>
      </c>
      <c r="H1796" t="s">
        <v>6287</v>
      </c>
      <c r="I1796" t="s">
        <v>100</v>
      </c>
      <c r="J1796" t="s">
        <v>101</v>
      </c>
      <c r="L1796">
        <v>45678</v>
      </c>
      <c r="M1796" t="s">
        <v>292</v>
      </c>
    </row>
    <row r="1797" spans="1:13" x14ac:dyDescent="0.3">
      <c r="A1797" t="s">
        <v>6288</v>
      </c>
      <c r="B1797" t="s">
        <v>46</v>
      </c>
      <c r="C1797" t="s">
        <v>26</v>
      </c>
      <c r="D1797" t="s">
        <v>191</v>
      </c>
      <c r="E1797">
        <v>3040</v>
      </c>
      <c r="F1797" t="s">
        <v>6289</v>
      </c>
      <c r="G1797" t="s">
        <v>6290</v>
      </c>
      <c r="H1797" t="s">
        <v>6291</v>
      </c>
      <c r="I1797" t="s">
        <v>194</v>
      </c>
      <c r="J1797" t="s">
        <v>13</v>
      </c>
      <c r="L1797">
        <v>45668</v>
      </c>
      <c r="M1797" t="s">
        <v>224</v>
      </c>
    </row>
    <row r="1798" spans="1:13" x14ac:dyDescent="0.3">
      <c r="A1798" t="s">
        <v>6292</v>
      </c>
      <c r="B1798" t="s">
        <v>37</v>
      </c>
      <c r="C1798" t="s">
        <v>26</v>
      </c>
      <c r="D1798" t="s">
        <v>97</v>
      </c>
      <c r="E1798">
        <v>3036</v>
      </c>
      <c r="F1798" t="s">
        <v>6293</v>
      </c>
      <c r="G1798" t="s">
        <v>6294</v>
      </c>
      <c r="H1798" t="s">
        <v>6295</v>
      </c>
      <c r="I1798" t="s">
        <v>100</v>
      </c>
      <c r="J1798" t="s">
        <v>101</v>
      </c>
      <c r="K1798" t="s">
        <v>21</v>
      </c>
      <c r="L1798">
        <v>45727</v>
      </c>
      <c r="M1798" t="s">
        <v>65</v>
      </c>
    </row>
    <row r="1799" spans="1:13" x14ac:dyDescent="0.3">
      <c r="A1799" t="s">
        <v>6296</v>
      </c>
      <c r="B1799" t="s">
        <v>37</v>
      </c>
      <c r="C1799" t="s">
        <v>25</v>
      </c>
      <c r="D1799" t="s">
        <v>47</v>
      </c>
      <c r="E1799">
        <v>3032</v>
      </c>
      <c r="F1799" t="s">
        <v>6297</v>
      </c>
      <c r="G1799" t="s">
        <v>6298</v>
      </c>
      <c r="H1799" t="s">
        <v>6299</v>
      </c>
      <c r="I1799" t="s">
        <v>51</v>
      </c>
      <c r="J1799" t="s">
        <v>52</v>
      </c>
      <c r="L1799">
        <v>45689</v>
      </c>
      <c r="M1799" t="s">
        <v>177</v>
      </c>
    </row>
    <row r="1800" spans="1:13" x14ac:dyDescent="0.3">
      <c r="A1800" t="s">
        <v>6300</v>
      </c>
      <c r="B1800" t="s">
        <v>37</v>
      </c>
      <c r="C1800" t="s">
        <v>26</v>
      </c>
      <c r="D1800" t="s">
        <v>47</v>
      </c>
      <c r="E1800">
        <v>3032</v>
      </c>
      <c r="F1800" t="s">
        <v>6301</v>
      </c>
      <c r="G1800" t="s">
        <v>6302</v>
      </c>
      <c r="H1800" t="s">
        <v>6303</v>
      </c>
      <c r="I1800" t="s">
        <v>51</v>
      </c>
      <c r="J1800" t="s">
        <v>52</v>
      </c>
      <c r="L1800">
        <v>45738</v>
      </c>
      <c r="M1800" t="s">
        <v>53</v>
      </c>
    </row>
    <row r="1801" spans="1:13" x14ac:dyDescent="0.3">
      <c r="A1801" t="s">
        <v>6304</v>
      </c>
      <c r="B1801" t="s">
        <v>46</v>
      </c>
      <c r="C1801" t="s">
        <v>25</v>
      </c>
      <c r="D1801" t="s">
        <v>78</v>
      </c>
      <c r="E1801">
        <v>3035</v>
      </c>
      <c r="F1801" t="s">
        <v>6305</v>
      </c>
      <c r="G1801" t="s">
        <v>6306</v>
      </c>
      <c r="H1801" t="s">
        <v>6307</v>
      </c>
      <c r="I1801" t="s">
        <v>81</v>
      </c>
      <c r="J1801" t="s">
        <v>82</v>
      </c>
      <c r="L1801">
        <v>45703</v>
      </c>
      <c r="M1801" t="s">
        <v>287</v>
      </c>
    </row>
    <row r="1802" spans="1:13" x14ac:dyDescent="0.3">
      <c r="A1802" t="s">
        <v>6308</v>
      </c>
      <c r="B1802" t="s">
        <v>46</v>
      </c>
      <c r="C1802" t="s">
        <v>26</v>
      </c>
      <c r="D1802" t="s">
        <v>97</v>
      </c>
      <c r="E1802">
        <v>3036</v>
      </c>
      <c r="F1802" t="s">
        <v>6309</v>
      </c>
      <c r="G1802" t="s">
        <v>6310</v>
      </c>
      <c r="H1802" t="s">
        <v>6311</v>
      </c>
      <c r="I1802" t="s">
        <v>100</v>
      </c>
      <c r="J1802" t="s">
        <v>101</v>
      </c>
      <c r="L1802">
        <v>45691</v>
      </c>
      <c r="M1802" t="s">
        <v>128</v>
      </c>
    </row>
    <row r="1803" spans="1:13" x14ac:dyDescent="0.3">
      <c r="A1803" t="s">
        <v>6312</v>
      </c>
      <c r="B1803" t="s">
        <v>46</v>
      </c>
      <c r="C1803" t="s">
        <v>24</v>
      </c>
      <c r="D1803" t="s">
        <v>444</v>
      </c>
      <c r="E1803">
        <v>3042</v>
      </c>
      <c r="F1803" t="s">
        <v>6313</v>
      </c>
      <c r="G1803" t="s">
        <v>6314</v>
      </c>
      <c r="H1803" t="s">
        <v>6314</v>
      </c>
      <c r="I1803" t="s">
        <v>448</v>
      </c>
      <c r="J1803" t="s">
        <v>449</v>
      </c>
      <c r="L1803">
        <v>45713</v>
      </c>
      <c r="M1803" t="s">
        <v>224</v>
      </c>
    </row>
    <row r="1804" spans="1:13" x14ac:dyDescent="0.3">
      <c r="A1804" t="s">
        <v>6315</v>
      </c>
      <c r="B1804" t="s">
        <v>46</v>
      </c>
      <c r="C1804" t="s">
        <v>22</v>
      </c>
      <c r="D1804" t="s">
        <v>47</v>
      </c>
      <c r="E1804">
        <v>3032</v>
      </c>
      <c r="F1804" t="s">
        <v>6316</v>
      </c>
      <c r="G1804" t="s">
        <v>6317</v>
      </c>
      <c r="H1804" t="s">
        <v>6318</v>
      </c>
      <c r="I1804" t="s">
        <v>51</v>
      </c>
      <c r="J1804" t="s">
        <v>52</v>
      </c>
      <c r="L1804">
        <v>45679</v>
      </c>
      <c r="M1804" t="s">
        <v>144</v>
      </c>
    </row>
    <row r="1805" spans="1:13" x14ac:dyDescent="0.3">
      <c r="A1805" t="s">
        <v>6319</v>
      </c>
      <c r="B1805" t="s">
        <v>46</v>
      </c>
      <c r="C1805" t="s">
        <v>22</v>
      </c>
      <c r="D1805" t="s">
        <v>207</v>
      </c>
      <c r="E1805">
        <v>3041</v>
      </c>
      <c r="F1805" t="s">
        <v>6320</v>
      </c>
      <c r="G1805" t="s">
        <v>6321</v>
      </c>
      <c r="H1805" t="s">
        <v>6322</v>
      </c>
      <c r="I1805" t="s">
        <v>211</v>
      </c>
      <c r="J1805" t="s">
        <v>14</v>
      </c>
      <c r="L1805">
        <v>45718</v>
      </c>
      <c r="M1805" t="s">
        <v>577</v>
      </c>
    </row>
    <row r="1806" spans="1:13" x14ac:dyDescent="0.3">
      <c r="A1806" t="s">
        <v>6323</v>
      </c>
      <c r="B1806" t="s">
        <v>46</v>
      </c>
      <c r="C1806" t="s">
        <v>26</v>
      </c>
      <c r="D1806" t="s">
        <v>118</v>
      </c>
      <c r="E1806">
        <v>3038</v>
      </c>
      <c r="F1806" t="s">
        <v>6324</v>
      </c>
      <c r="G1806" t="s">
        <v>6325</v>
      </c>
      <c r="H1806" t="s">
        <v>6326</v>
      </c>
      <c r="I1806" t="s">
        <v>122</v>
      </c>
      <c r="J1806" t="s">
        <v>123</v>
      </c>
      <c r="L1806">
        <v>45712</v>
      </c>
      <c r="M1806" t="s">
        <v>389</v>
      </c>
    </row>
    <row r="1807" spans="1:13" x14ac:dyDescent="0.3">
      <c r="A1807" t="s">
        <v>6327</v>
      </c>
      <c r="B1807" t="s">
        <v>46</v>
      </c>
      <c r="C1807" t="s">
        <v>26</v>
      </c>
      <c r="D1807" t="s">
        <v>38</v>
      </c>
      <c r="E1807">
        <v>3031</v>
      </c>
      <c r="F1807" t="s">
        <v>6328</v>
      </c>
      <c r="G1807" t="s">
        <v>6329</v>
      </c>
      <c r="H1807" t="s">
        <v>6330</v>
      </c>
      <c r="I1807" t="s">
        <v>42</v>
      </c>
      <c r="J1807" t="s">
        <v>43</v>
      </c>
      <c r="L1807">
        <v>45665</v>
      </c>
      <c r="M1807" t="s">
        <v>76</v>
      </c>
    </row>
    <row r="1808" spans="1:13" x14ac:dyDescent="0.3">
      <c r="A1808" t="s">
        <v>6331</v>
      </c>
      <c r="B1808" t="s">
        <v>46</v>
      </c>
      <c r="C1808" t="s">
        <v>26</v>
      </c>
      <c r="D1808" t="s">
        <v>78</v>
      </c>
      <c r="E1808">
        <v>3035</v>
      </c>
      <c r="F1808" t="s">
        <v>6332</v>
      </c>
      <c r="G1808" t="s">
        <v>6333</v>
      </c>
      <c r="H1808" t="s">
        <v>6333</v>
      </c>
      <c r="I1808" t="s">
        <v>81</v>
      </c>
      <c r="J1808" t="s">
        <v>82</v>
      </c>
      <c r="L1808">
        <v>45678</v>
      </c>
      <c r="M1808" t="s">
        <v>205</v>
      </c>
    </row>
    <row r="1809" spans="1:13" x14ac:dyDescent="0.3">
      <c r="A1809" t="s">
        <v>6334</v>
      </c>
      <c r="B1809" t="s">
        <v>46</v>
      </c>
      <c r="C1809" t="s">
        <v>22</v>
      </c>
      <c r="D1809" t="s">
        <v>55</v>
      </c>
      <c r="E1809">
        <v>3033</v>
      </c>
      <c r="F1809" t="s">
        <v>6335</v>
      </c>
      <c r="G1809" t="s">
        <v>6336</v>
      </c>
      <c r="H1809" t="s">
        <v>6336</v>
      </c>
      <c r="I1809" t="s">
        <v>58</v>
      </c>
      <c r="J1809" t="s">
        <v>59</v>
      </c>
      <c r="L1809">
        <v>45688</v>
      </c>
      <c r="M1809" t="s">
        <v>95</v>
      </c>
    </row>
    <row r="1810" spans="1:13" x14ac:dyDescent="0.3">
      <c r="A1810" t="s">
        <v>6337</v>
      </c>
      <c r="B1810" t="s">
        <v>46</v>
      </c>
      <c r="C1810" t="s">
        <v>24</v>
      </c>
      <c r="D1810" t="s">
        <v>38</v>
      </c>
      <c r="E1810">
        <v>3031</v>
      </c>
      <c r="F1810" t="s">
        <v>6338</v>
      </c>
      <c r="G1810" t="s">
        <v>6339</v>
      </c>
      <c r="H1810" t="s">
        <v>6340</v>
      </c>
      <c r="I1810" t="s">
        <v>42</v>
      </c>
      <c r="J1810" t="s">
        <v>43</v>
      </c>
      <c r="K1810" t="s">
        <v>21</v>
      </c>
      <c r="L1810">
        <v>45671</v>
      </c>
      <c r="M1810" t="s">
        <v>287</v>
      </c>
    </row>
    <row r="1811" spans="1:13" x14ac:dyDescent="0.3">
      <c r="A1811" t="s">
        <v>6341</v>
      </c>
      <c r="B1811" t="s">
        <v>46</v>
      </c>
      <c r="C1811" t="s">
        <v>26</v>
      </c>
      <c r="D1811" t="s">
        <v>104</v>
      </c>
      <c r="E1811">
        <v>3037</v>
      </c>
      <c r="F1811" t="s">
        <v>6342</v>
      </c>
      <c r="G1811" t="s">
        <v>6343</v>
      </c>
      <c r="H1811" t="s">
        <v>6343</v>
      </c>
      <c r="I1811" t="s">
        <v>12</v>
      </c>
      <c r="J1811" t="s">
        <v>13</v>
      </c>
      <c r="L1811">
        <v>45692</v>
      </c>
      <c r="M1811" t="s">
        <v>76</v>
      </c>
    </row>
    <row r="1812" spans="1:13" x14ac:dyDescent="0.3">
      <c r="A1812" t="s">
        <v>6344</v>
      </c>
      <c r="B1812" t="s">
        <v>46</v>
      </c>
      <c r="C1812" t="s">
        <v>24</v>
      </c>
      <c r="D1812" t="s">
        <v>55</v>
      </c>
      <c r="E1812">
        <v>3033</v>
      </c>
      <c r="F1812" t="s">
        <v>6345</v>
      </c>
      <c r="G1812" t="s">
        <v>6346</v>
      </c>
      <c r="H1812" t="s">
        <v>6346</v>
      </c>
      <c r="I1812" t="s">
        <v>58</v>
      </c>
      <c r="J1812" t="s">
        <v>59</v>
      </c>
      <c r="K1812" t="s">
        <v>21</v>
      </c>
      <c r="L1812">
        <v>45722</v>
      </c>
      <c r="M1812" t="s">
        <v>90</v>
      </c>
    </row>
    <row r="1813" spans="1:13" x14ac:dyDescent="0.3">
      <c r="A1813" t="s">
        <v>6347</v>
      </c>
      <c r="B1813" t="s">
        <v>46</v>
      </c>
      <c r="C1813" t="s">
        <v>24</v>
      </c>
      <c r="D1813" t="s">
        <v>97</v>
      </c>
      <c r="E1813">
        <v>3036</v>
      </c>
      <c r="F1813" t="s">
        <v>6348</v>
      </c>
      <c r="G1813" t="s">
        <v>6349</v>
      </c>
      <c r="H1813" t="s">
        <v>6350</v>
      </c>
      <c r="I1813" t="s">
        <v>100</v>
      </c>
      <c r="J1813" t="s">
        <v>101</v>
      </c>
      <c r="L1813">
        <v>45659</v>
      </c>
      <c r="M1813" t="s">
        <v>165</v>
      </c>
    </row>
    <row r="1814" spans="1:13" x14ac:dyDescent="0.3">
      <c r="A1814" t="s">
        <v>6351</v>
      </c>
      <c r="B1814" t="s">
        <v>37</v>
      </c>
      <c r="C1814" t="s">
        <v>22</v>
      </c>
      <c r="D1814" t="s">
        <v>444</v>
      </c>
      <c r="E1814">
        <v>3042</v>
      </c>
      <c r="F1814" t="s">
        <v>6352</v>
      </c>
      <c r="G1814" t="s">
        <v>6353</v>
      </c>
      <c r="H1814" t="s">
        <v>6353</v>
      </c>
      <c r="I1814" t="s">
        <v>448</v>
      </c>
      <c r="J1814" t="s">
        <v>449</v>
      </c>
      <c r="L1814">
        <v>45667</v>
      </c>
      <c r="M1814" t="s">
        <v>224</v>
      </c>
    </row>
    <row r="1815" spans="1:13" x14ac:dyDescent="0.3">
      <c r="A1815" t="s">
        <v>6354</v>
      </c>
      <c r="B1815" t="s">
        <v>37</v>
      </c>
      <c r="C1815" t="s">
        <v>22</v>
      </c>
      <c r="D1815" t="s">
        <v>191</v>
      </c>
      <c r="E1815">
        <v>3040</v>
      </c>
      <c r="F1815" t="s">
        <v>6355</v>
      </c>
      <c r="G1815" t="s">
        <v>6356</v>
      </c>
      <c r="H1815" t="s">
        <v>6356</v>
      </c>
      <c r="I1815" t="s">
        <v>194</v>
      </c>
      <c r="J1815" t="s">
        <v>13</v>
      </c>
      <c r="L1815">
        <v>45738</v>
      </c>
      <c r="M1815" t="s">
        <v>300</v>
      </c>
    </row>
    <row r="1816" spans="1:13" x14ac:dyDescent="0.3">
      <c r="A1816" t="s">
        <v>6357</v>
      </c>
      <c r="B1816" t="s">
        <v>46</v>
      </c>
      <c r="C1816" t="s">
        <v>24</v>
      </c>
      <c r="D1816" t="s">
        <v>104</v>
      </c>
      <c r="E1816">
        <v>3037</v>
      </c>
      <c r="F1816" t="s">
        <v>6358</v>
      </c>
      <c r="G1816" t="s">
        <v>6359</v>
      </c>
      <c r="H1816" t="s">
        <v>6360</v>
      </c>
      <c r="I1816" t="s">
        <v>12</v>
      </c>
      <c r="J1816" t="s">
        <v>13</v>
      </c>
      <c r="L1816">
        <v>45673</v>
      </c>
      <c r="M1816" t="s">
        <v>287</v>
      </c>
    </row>
    <row r="1817" spans="1:13" x14ac:dyDescent="0.3">
      <c r="A1817" t="s">
        <v>6361</v>
      </c>
      <c r="B1817" t="s">
        <v>37</v>
      </c>
      <c r="C1817" t="s">
        <v>24</v>
      </c>
      <c r="D1817" t="s">
        <v>191</v>
      </c>
      <c r="E1817">
        <v>3040</v>
      </c>
      <c r="F1817" t="s">
        <v>6362</v>
      </c>
      <c r="G1817" t="s">
        <v>6363</v>
      </c>
      <c r="H1817" t="s">
        <v>6364</v>
      </c>
      <c r="I1817" t="s">
        <v>194</v>
      </c>
      <c r="J1817" t="s">
        <v>13</v>
      </c>
      <c r="L1817">
        <v>45686</v>
      </c>
      <c r="M1817" t="s">
        <v>195</v>
      </c>
    </row>
    <row r="1818" spans="1:13" x14ac:dyDescent="0.3">
      <c r="A1818" t="s">
        <v>6365</v>
      </c>
      <c r="B1818" t="s">
        <v>46</v>
      </c>
      <c r="C1818" t="s">
        <v>25</v>
      </c>
      <c r="D1818" t="s">
        <v>55</v>
      </c>
      <c r="E1818">
        <v>3033</v>
      </c>
      <c r="F1818" t="s">
        <v>6366</v>
      </c>
      <c r="G1818" t="s">
        <v>6367</v>
      </c>
      <c r="H1818" t="s">
        <v>6368</v>
      </c>
      <c r="I1818" t="s">
        <v>58</v>
      </c>
      <c r="J1818" t="s">
        <v>59</v>
      </c>
      <c r="K1818" t="s">
        <v>21</v>
      </c>
      <c r="L1818">
        <v>45737</v>
      </c>
      <c r="M1818" t="s">
        <v>69</v>
      </c>
    </row>
    <row r="1819" spans="1:13" x14ac:dyDescent="0.3">
      <c r="A1819" t="s">
        <v>6369</v>
      </c>
      <c r="B1819" t="s">
        <v>37</v>
      </c>
      <c r="C1819" t="s">
        <v>26</v>
      </c>
      <c r="D1819" t="s">
        <v>104</v>
      </c>
      <c r="E1819">
        <v>3037</v>
      </c>
      <c r="F1819" t="s">
        <v>6370</v>
      </c>
      <c r="G1819" t="s">
        <v>6371</v>
      </c>
      <c r="H1819" t="s">
        <v>6372</v>
      </c>
      <c r="I1819" t="s">
        <v>12</v>
      </c>
      <c r="J1819" t="s">
        <v>13</v>
      </c>
      <c r="L1819">
        <v>45688</v>
      </c>
      <c r="M1819" t="s">
        <v>287</v>
      </c>
    </row>
    <row r="1820" spans="1:13" x14ac:dyDescent="0.3">
      <c r="A1820" t="s">
        <v>6373</v>
      </c>
      <c r="B1820" t="s">
        <v>46</v>
      </c>
      <c r="C1820" t="s">
        <v>24</v>
      </c>
      <c r="D1820" t="s">
        <v>97</v>
      </c>
      <c r="E1820">
        <v>3036</v>
      </c>
      <c r="F1820" t="s">
        <v>6374</v>
      </c>
      <c r="G1820" t="s">
        <v>6375</v>
      </c>
      <c r="H1820" t="s">
        <v>6375</v>
      </c>
      <c r="I1820" t="s">
        <v>100</v>
      </c>
      <c r="J1820" t="s">
        <v>101</v>
      </c>
      <c r="K1820" t="s">
        <v>21</v>
      </c>
      <c r="L1820">
        <v>45700</v>
      </c>
      <c r="M1820" t="s">
        <v>65</v>
      </c>
    </row>
    <row r="1821" spans="1:13" x14ac:dyDescent="0.3">
      <c r="A1821" t="s">
        <v>6376</v>
      </c>
      <c r="B1821" t="s">
        <v>46</v>
      </c>
      <c r="C1821" t="s">
        <v>24</v>
      </c>
      <c r="D1821" t="s">
        <v>118</v>
      </c>
      <c r="E1821">
        <v>3038</v>
      </c>
      <c r="F1821" t="s">
        <v>6377</v>
      </c>
      <c r="G1821" t="s">
        <v>6378</v>
      </c>
      <c r="H1821" t="s">
        <v>6378</v>
      </c>
      <c r="I1821" t="s">
        <v>122</v>
      </c>
      <c r="J1821" t="s">
        <v>123</v>
      </c>
      <c r="K1821" t="s">
        <v>21</v>
      </c>
      <c r="L1821">
        <v>45716</v>
      </c>
      <c r="M1821" t="s">
        <v>200</v>
      </c>
    </row>
    <row r="1822" spans="1:13" x14ac:dyDescent="0.3">
      <c r="A1822" t="s">
        <v>6379</v>
      </c>
      <c r="B1822" t="s">
        <v>46</v>
      </c>
      <c r="C1822" t="s">
        <v>25</v>
      </c>
      <c r="D1822" t="s">
        <v>444</v>
      </c>
      <c r="E1822">
        <v>3042</v>
      </c>
      <c r="F1822" t="s">
        <v>6380</v>
      </c>
      <c r="G1822" t="s">
        <v>6381</v>
      </c>
      <c r="H1822" t="s">
        <v>6382</v>
      </c>
      <c r="I1822" t="s">
        <v>448</v>
      </c>
      <c r="J1822" t="s">
        <v>449</v>
      </c>
      <c r="L1822">
        <v>45690</v>
      </c>
      <c r="M1822" t="s">
        <v>450</v>
      </c>
    </row>
    <row r="1823" spans="1:13" x14ac:dyDescent="0.3">
      <c r="A1823" t="s">
        <v>6383</v>
      </c>
      <c r="B1823" t="s">
        <v>46</v>
      </c>
      <c r="C1823" t="s">
        <v>25</v>
      </c>
      <c r="D1823" t="s">
        <v>118</v>
      </c>
      <c r="E1823">
        <v>3038</v>
      </c>
      <c r="F1823" t="s">
        <v>6384</v>
      </c>
      <c r="G1823" t="s">
        <v>6385</v>
      </c>
      <c r="H1823" t="s">
        <v>6386</v>
      </c>
      <c r="I1823" t="s">
        <v>122</v>
      </c>
      <c r="J1823" t="s">
        <v>123</v>
      </c>
      <c r="L1823">
        <v>45666</v>
      </c>
      <c r="M1823" t="s">
        <v>124</v>
      </c>
    </row>
    <row r="1824" spans="1:13" x14ac:dyDescent="0.3">
      <c r="A1824" t="s">
        <v>6387</v>
      </c>
      <c r="B1824" t="s">
        <v>46</v>
      </c>
      <c r="C1824" t="s">
        <v>22</v>
      </c>
      <c r="D1824" t="s">
        <v>118</v>
      </c>
      <c r="E1824">
        <v>3038</v>
      </c>
      <c r="F1824" t="s">
        <v>6388</v>
      </c>
      <c r="G1824" t="s">
        <v>6389</v>
      </c>
      <c r="H1824" t="s">
        <v>6389</v>
      </c>
      <c r="I1824" t="s">
        <v>122</v>
      </c>
      <c r="J1824" t="s">
        <v>123</v>
      </c>
      <c r="L1824">
        <v>45717</v>
      </c>
      <c r="M1824" t="s">
        <v>124</v>
      </c>
    </row>
    <row r="1825" spans="1:13" x14ac:dyDescent="0.3">
      <c r="A1825" t="s">
        <v>6390</v>
      </c>
      <c r="B1825" t="s">
        <v>37</v>
      </c>
      <c r="C1825" t="s">
        <v>26</v>
      </c>
      <c r="D1825" t="s">
        <v>136</v>
      </c>
      <c r="E1825">
        <v>3039</v>
      </c>
      <c r="F1825" t="s">
        <v>6391</v>
      </c>
      <c r="G1825" t="s">
        <v>6392</v>
      </c>
      <c r="H1825" t="s">
        <v>6392</v>
      </c>
      <c r="I1825" t="s">
        <v>15</v>
      </c>
      <c r="J1825" t="s">
        <v>14</v>
      </c>
      <c r="L1825">
        <v>45671</v>
      </c>
      <c r="M1825" t="s">
        <v>95</v>
      </c>
    </row>
    <row r="1826" spans="1:13" x14ac:dyDescent="0.3">
      <c r="A1826" t="s">
        <v>6393</v>
      </c>
      <c r="B1826" t="s">
        <v>37</v>
      </c>
      <c r="C1826" t="s">
        <v>22</v>
      </c>
      <c r="D1826" t="s">
        <v>191</v>
      </c>
      <c r="E1826">
        <v>3040</v>
      </c>
      <c r="F1826" t="s">
        <v>6394</v>
      </c>
      <c r="G1826" t="s">
        <v>6395</v>
      </c>
      <c r="H1826" t="s">
        <v>6396</v>
      </c>
      <c r="I1826" t="s">
        <v>194</v>
      </c>
      <c r="J1826" t="s">
        <v>13</v>
      </c>
      <c r="L1826">
        <v>45687</v>
      </c>
      <c r="M1826" t="s">
        <v>224</v>
      </c>
    </row>
    <row r="1827" spans="1:13" x14ac:dyDescent="0.3">
      <c r="A1827" t="s">
        <v>6397</v>
      </c>
      <c r="B1827" t="s">
        <v>46</v>
      </c>
      <c r="C1827" t="s">
        <v>26</v>
      </c>
      <c r="D1827" t="s">
        <v>104</v>
      </c>
      <c r="E1827">
        <v>3037</v>
      </c>
      <c r="F1827" t="s">
        <v>6398</v>
      </c>
      <c r="G1827" t="s">
        <v>6399</v>
      </c>
      <c r="H1827" t="s">
        <v>6399</v>
      </c>
      <c r="I1827" t="s">
        <v>12</v>
      </c>
      <c r="J1827" t="s">
        <v>13</v>
      </c>
      <c r="L1827">
        <v>45668</v>
      </c>
      <c r="M1827" t="s">
        <v>76</v>
      </c>
    </row>
    <row r="1828" spans="1:13" x14ac:dyDescent="0.3">
      <c r="A1828" t="s">
        <v>6400</v>
      </c>
      <c r="B1828" t="s">
        <v>37</v>
      </c>
      <c r="C1828" t="s">
        <v>25</v>
      </c>
      <c r="D1828" t="s">
        <v>207</v>
      </c>
      <c r="E1828">
        <v>3041</v>
      </c>
      <c r="F1828" t="s">
        <v>6401</v>
      </c>
      <c r="G1828" t="s">
        <v>6402</v>
      </c>
      <c r="H1828" t="s">
        <v>6403</v>
      </c>
      <c r="I1828" t="s">
        <v>211</v>
      </c>
      <c r="J1828" t="s">
        <v>14</v>
      </c>
      <c r="K1828" t="s">
        <v>21</v>
      </c>
      <c r="L1828">
        <v>45680</v>
      </c>
      <c r="M1828" t="s">
        <v>363</v>
      </c>
    </row>
    <row r="1829" spans="1:13" x14ac:dyDescent="0.3">
      <c r="A1829" t="s">
        <v>6404</v>
      </c>
      <c r="B1829" t="s">
        <v>46</v>
      </c>
      <c r="C1829" t="s">
        <v>24</v>
      </c>
      <c r="D1829" t="s">
        <v>191</v>
      </c>
      <c r="E1829">
        <v>3040</v>
      </c>
      <c r="F1829" t="s">
        <v>6405</v>
      </c>
      <c r="G1829" t="s">
        <v>6406</v>
      </c>
      <c r="H1829" t="s">
        <v>6407</v>
      </c>
      <c r="I1829" t="s">
        <v>194</v>
      </c>
      <c r="J1829" t="s">
        <v>13</v>
      </c>
      <c r="L1829">
        <v>45724</v>
      </c>
      <c r="M1829" t="s">
        <v>160</v>
      </c>
    </row>
    <row r="1830" spans="1:13" x14ac:dyDescent="0.3">
      <c r="A1830" t="s">
        <v>6408</v>
      </c>
      <c r="B1830" t="s">
        <v>37</v>
      </c>
      <c r="C1830" t="s">
        <v>24</v>
      </c>
      <c r="D1830" t="s">
        <v>104</v>
      </c>
      <c r="E1830">
        <v>3037</v>
      </c>
      <c r="F1830" t="s">
        <v>6409</v>
      </c>
      <c r="G1830" t="s">
        <v>6410</v>
      </c>
      <c r="H1830" t="s">
        <v>6411</v>
      </c>
      <c r="I1830" t="s">
        <v>12</v>
      </c>
      <c r="J1830" t="s">
        <v>13</v>
      </c>
      <c r="L1830">
        <v>45692</v>
      </c>
      <c r="M1830" t="s">
        <v>287</v>
      </c>
    </row>
    <row r="1831" spans="1:13" x14ac:dyDescent="0.3">
      <c r="A1831" t="s">
        <v>6412</v>
      </c>
      <c r="B1831" t="s">
        <v>37</v>
      </c>
      <c r="C1831" t="s">
        <v>24</v>
      </c>
      <c r="D1831" t="s">
        <v>47</v>
      </c>
      <c r="E1831">
        <v>3032</v>
      </c>
      <c r="F1831" t="s">
        <v>6413</v>
      </c>
      <c r="G1831" t="s">
        <v>6414</v>
      </c>
      <c r="H1831" t="s">
        <v>6415</v>
      </c>
      <c r="I1831" t="s">
        <v>51</v>
      </c>
      <c r="J1831" t="s">
        <v>52</v>
      </c>
      <c r="L1831">
        <v>45688</v>
      </c>
      <c r="M1831" t="s">
        <v>656</v>
      </c>
    </row>
    <row r="1832" spans="1:13" x14ac:dyDescent="0.3">
      <c r="A1832" t="s">
        <v>6416</v>
      </c>
      <c r="B1832" t="s">
        <v>46</v>
      </c>
      <c r="C1832" t="s">
        <v>26</v>
      </c>
      <c r="D1832" t="s">
        <v>78</v>
      </c>
      <c r="E1832">
        <v>3035</v>
      </c>
      <c r="F1832" t="s">
        <v>6417</v>
      </c>
      <c r="G1832" t="s">
        <v>6418</v>
      </c>
      <c r="H1832" t="s">
        <v>6419</v>
      </c>
      <c r="I1832" t="s">
        <v>81</v>
      </c>
      <c r="J1832" t="s">
        <v>82</v>
      </c>
      <c r="L1832">
        <v>45704</v>
      </c>
      <c r="M1832" t="s">
        <v>287</v>
      </c>
    </row>
    <row r="1833" spans="1:13" x14ac:dyDescent="0.3">
      <c r="A1833" t="s">
        <v>6420</v>
      </c>
      <c r="B1833" t="s">
        <v>46</v>
      </c>
      <c r="C1833" t="s">
        <v>25</v>
      </c>
      <c r="D1833" t="s">
        <v>47</v>
      </c>
      <c r="E1833">
        <v>3032</v>
      </c>
      <c r="F1833" t="s">
        <v>6421</v>
      </c>
      <c r="G1833" t="s">
        <v>6422</v>
      </c>
      <c r="H1833" t="s">
        <v>6422</v>
      </c>
      <c r="I1833" t="s">
        <v>51</v>
      </c>
      <c r="J1833" t="s">
        <v>52</v>
      </c>
      <c r="L1833">
        <v>45742</v>
      </c>
      <c r="M1833" t="s">
        <v>476</v>
      </c>
    </row>
    <row r="1834" spans="1:13" x14ac:dyDescent="0.3">
      <c r="A1834" t="s">
        <v>6423</v>
      </c>
      <c r="B1834" t="s">
        <v>46</v>
      </c>
      <c r="C1834" t="s">
        <v>22</v>
      </c>
      <c r="D1834" t="s">
        <v>104</v>
      </c>
      <c r="E1834">
        <v>3037</v>
      </c>
      <c r="F1834" t="s">
        <v>6424</v>
      </c>
      <c r="G1834" t="s">
        <v>6425</v>
      </c>
      <c r="H1834" t="s">
        <v>6425</v>
      </c>
      <c r="I1834" t="s">
        <v>12</v>
      </c>
      <c r="J1834" t="s">
        <v>13</v>
      </c>
      <c r="K1834" t="s">
        <v>21</v>
      </c>
      <c r="L1834">
        <v>45678</v>
      </c>
      <c r="M1834" t="s">
        <v>224</v>
      </c>
    </row>
    <row r="1835" spans="1:13" x14ac:dyDescent="0.3">
      <c r="A1835" t="s">
        <v>6426</v>
      </c>
      <c r="B1835" t="s">
        <v>46</v>
      </c>
      <c r="C1835" t="s">
        <v>26</v>
      </c>
      <c r="D1835" t="s">
        <v>136</v>
      </c>
      <c r="E1835">
        <v>3039</v>
      </c>
      <c r="F1835" t="s">
        <v>6427</v>
      </c>
      <c r="G1835" t="s">
        <v>6428</v>
      </c>
      <c r="H1835" t="s">
        <v>6428</v>
      </c>
      <c r="I1835" t="s">
        <v>15</v>
      </c>
      <c r="J1835" t="s">
        <v>14</v>
      </c>
      <c r="K1835" t="s">
        <v>21</v>
      </c>
      <c r="L1835">
        <v>45668</v>
      </c>
      <c r="M1835" t="s">
        <v>200</v>
      </c>
    </row>
    <row r="1836" spans="1:13" x14ac:dyDescent="0.3">
      <c r="A1836" t="s">
        <v>6429</v>
      </c>
      <c r="B1836" t="s">
        <v>37</v>
      </c>
      <c r="C1836" t="s">
        <v>24</v>
      </c>
      <c r="D1836" t="s">
        <v>444</v>
      </c>
      <c r="E1836">
        <v>3042</v>
      </c>
      <c r="F1836" t="s">
        <v>6430</v>
      </c>
      <c r="G1836" t="s">
        <v>6431</v>
      </c>
      <c r="H1836" t="s">
        <v>6432</v>
      </c>
      <c r="I1836" t="s">
        <v>448</v>
      </c>
      <c r="J1836" t="s">
        <v>449</v>
      </c>
      <c r="K1836" t="s">
        <v>21</v>
      </c>
      <c r="L1836">
        <v>45673</v>
      </c>
      <c r="M1836" t="s">
        <v>722</v>
      </c>
    </row>
    <row r="1837" spans="1:13" x14ac:dyDescent="0.3">
      <c r="A1837" t="s">
        <v>6433</v>
      </c>
      <c r="B1837" t="s">
        <v>37</v>
      </c>
      <c r="C1837" t="s">
        <v>24</v>
      </c>
      <c r="D1837" t="s">
        <v>191</v>
      </c>
      <c r="E1837">
        <v>3040</v>
      </c>
      <c r="F1837" t="s">
        <v>4695</v>
      </c>
      <c r="G1837" t="s">
        <v>6434</v>
      </c>
      <c r="H1837" t="s">
        <v>6435</v>
      </c>
      <c r="I1837" t="s">
        <v>194</v>
      </c>
      <c r="J1837" t="s">
        <v>13</v>
      </c>
      <c r="L1837">
        <v>45718</v>
      </c>
      <c r="M1837" t="s">
        <v>224</v>
      </c>
    </row>
    <row r="1838" spans="1:13" x14ac:dyDescent="0.3">
      <c r="A1838" t="s">
        <v>6436</v>
      </c>
      <c r="B1838" t="s">
        <v>46</v>
      </c>
      <c r="C1838" t="s">
        <v>25</v>
      </c>
      <c r="D1838" t="s">
        <v>47</v>
      </c>
      <c r="E1838">
        <v>3032</v>
      </c>
      <c r="F1838" t="s">
        <v>6437</v>
      </c>
      <c r="G1838" t="s">
        <v>6438</v>
      </c>
      <c r="H1838" t="s">
        <v>6438</v>
      </c>
      <c r="I1838" t="s">
        <v>51</v>
      </c>
      <c r="J1838" t="s">
        <v>52</v>
      </c>
      <c r="L1838">
        <v>45731</v>
      </c>
      <c r="M1838" t="s">
        <v>144</v>
      </c>
    </row>
    <row r="1839" spans="1:13" x14ac:dyDescent="0.3">
      <c r="A1839" t="s">
        <v>6439</v>
      </c>
      <c r="B1839" t="s">
        <v>37</v>
      </c>
      <c r="C1839" t="s">
        <v>24</v>
      </c>
      <c r="D1839" t="s">
        <v>71</v>
      </c>
      <c r="E1839">
        <v>3034</v>
      </c>
      <c r="F1839" t="s">
        <v>6440</v>
      </c>
      <c r="G1839" t="s">
        <v>6441</v>
      </c>
      <c r="H1839" t="s">
        <v>6442</v>
      </c>
      <c r="I1839" t="s">
        <v>74</v>
      </c>
      <c r="J1839" t="s">
        <v>75</v>
      </c>
      <c r="K1839" t="s">
        <v>21</v>
      </c>
      <c r="L1839">
        <v>45737</v>
      </c>
      <c r="M1839" t="s">
        <v>76</v>
      </c>
    </row>
    <row r="1840" spans="1:13" x14ac:dyDescent="0.3">
      <c r="A1840" t="s">
        <v>6443</v>
      </c>
      <c r="B1840" t="s">
        <v>46</v>
      </c>
      <c r="C1840" t="s">
        <v>25</v>
      </c>
      <c r="D1840" t="s">
        <v>118</v>
      </c>
      <c r="E1840">
        <v>3038</v>
      </c>
      <c r="F1840" t="s">
        <v>5606</v>
      </c>
      <c r="G1840" t="s">
        <v>6444</v>
      </c>
      <c r="H1840" t="s">
        <v>6444</v>
      </c>
      <c r="I1840" t="s">
        <v>122</v>
      </c>
      <c r="J1840" t="s">
        <v>123</v>
      </c>
      <c r="L1840">
        <v>45746</v>
      </c>
      <c r="M1840" t="s">
        <v>389</v>
      </c>
    </row>
    <row r="1841" spans="1:13" x14ac:dyDescent="0.3">
      <c r="A1841" t="s">
        <v>6445</v>
      </c>
      <c r="B1841" t="s">
        <v>37</v>
      </c>
      <c r="C1841" t="s">
        <v>25</v>
      </c>
      <c r="D1841" t="s">
        <v>191</v>
      </c>
      <c r="E1841">
        <v>3040</v>
      </c>
      <c r="F1841" t="s">
        <v>6446</v>
      </c>
      <c r="G1841" t="s">
        <v>6447</v>
      </c>
      <c r="H1841" t="s">
        <v>6447</v>
      </c>
      <c r="I1841" t="s">
        <v>194</v>
      </c>
      <c r="J1841" t="s">
        <v>13</v>
      </c>
      <c r="L1841">
        <v>45666</v>
      </c>
      <c r="M1841" t="s">
        <v>717</v>
      </c>
    </row>
    <row r="1842" spans="1:13" x14ac:dyDescent="0.3">
      <c r="A1842" t="s">
        <v>6448</v>
      </c>
      <c r="B1842" t="s">
        <v>46</v>
      </c>
      <c r="C1842" t="s">
        <v>24</v>
      </c>
      <c r="D1842" t="s">
        <v>191</v>
      </c>
      <c r="E1842">
        <v>3040</v>
      </c>
      <c r="F1842" t="s">
        <v>6449</v>
      </c>
      <c r="G1842" t="s">
        <v>6450</v>
      </c>
      <c r="H1842" t="s">
        <v>6451</v>
      </c>
      <c r="I1842" t="s">
        <v>194</v>
      </c>
      <c r="J1842" t="s">
        <v>13</v>
      </c>
      <c r="K1842" t="s">
        <v>21</v>
      </c>
      <c r="L1842">
        <v>45717</v>
      </c>
      <c r="M1842" t="s">
        <v>321</v>
      </c>
    </row>
    <row r="1843" spans="1:13" x14ac:dyDescent="0.3">
      <c r="A1843" t="s">
        <v>6452</v>
      </c>
      <c r="B1843" t="s">
        <v>37</v>
      </c>
      <c r="C1843" t="s">
        <v>24</v>
      </c>
      <c r="D1843" t="s">
        <v>136</v>
      </c>
      <c r="E1843">
        <v>3039</v>
      </c>
      <c r="F1843" t="s">
        <v>6453</v>
      </c>
      <c r="G1843" t="s">
        <v>6454</v>
      </c>
      <c r="H1843" t="s">
        <v>6455</v>
      </c>
      <c r="I1843" t="s">
        <v>15</v>
      </c>
      <c r="J1843" t="s">
        <v>14</v>
      </c>
      <c r="L1843">
        <v>45703</v>
      </c>
      <c r="M1843" t="s">
        <v>95</v>
      </c>
    </row>
    <row r="1844" spans="1:13" x14ac:dyDescent="0.3">
      <c r="A1844" t="s">
        <v>6456</v>
      </c>
      <c r="B1844" t="s">
        <v>37</v>
      </c>
      <c r="C1844" t="s">
        <v>25</v>
      </c>
      <c r="D1844" t="s">
        <v>97</v>
      </c>
      <c r="E1844">
        <v>3036</v>
      </c>
      <c r="F1844" t="s">
        <v>6457</v>
      </c>
      <c r="G1844" t="s">
        <v>6458</v>
      </c>
      <c r="H1844" t="s">
        <v>6458</v>
      </c>
      <c r="I1844" t="s">
        <v>100</v>
      </c>
      <c r="J1844" t="s">
        <v>101</v>
      </c>
      <c r="L1844">
        <v>45718</v>
      </c>
      <c r="M1844" t="s">
        <v>65</v>
      </c>
    </row>
    <row r="1845" spans="1:13" x14ac:dyDescent="0.3">
      <c r="A1845" t="s">
        <v>6459</v>
      </c>
      <c r="B1845" t="s">
        <v>46</v>
      </c>
      <c r="C1845" t="s">
        <v>24</v>
      </c>
      <c r="D1845" t="s">
        <v>38</v>
      </c>
      <c r="E1845">
        <v>3031</v>
      </c>
      <c r="F1845" t="s">
        <v>6460</v>
      </c>
      <c r="G1845" t="s">
        <v>6461</v>
      </c>
      <c r="H1845" t="s">
        <v>6462</v>
      </c>
      <c r="I1845" t="s">
        <v>42</v>
      </c>
      <c r="J1845" t="s">
        <v>43</v>
      </c>
      <c r="K1845" t="s">
        <v>21</v>
      </c>
      <c r="L1845">
        <v>45659</v>
      </c>
      <c r="M1845" t="s">
        <v>102</v>
      </c>
    </row>
    <row r="1846" spans="1:13" x14ac:dyDescent="0.3">
      <c r="A1846" t="s">
        <v>6463</v>
      </c>
      <c r="B1846" t="s">
        <v>46</v>
      </c>
      <c r="C1846" t="s">
        <v>24</v>
      </c>
      <c r="D1846" t="s">
        <v>104</v>
      </c>
      <c r="E1846">
        <v>3037</v>
      </c>
      <c r="F1846" t="s">
        <v>6464</v>
      </c>
      <c r="G1846" t="s">
        <v>6465</v>
      </c>
      <c r="H1846" t="s">
        <v>6465</v>
      </c>
      <c r="I1846" t="s">
        <v>12</v>
      </c>
      <c r="J1846" t="s">
        <v>13</v>
      </c>
      <c r="L1846">
        <v>45687</v>
      </c>
      <c r="M1846" t="s">
        <v>189</v>
      </c>
    </row>
    <row r="1847" spans="1:13" x14ac:dyDescent="0.3">
      <c r="A1847" t="s">
        <v>6466</v>
      </c>
      <c r="B1847" t="s">
        <v>37</v>
      </c>
      <c r="C1847" t="s">
        <v>22</v>
      </c>
      <c r="D1847" t="s">
        <v>191</v>
      </c>
      <c r="E1847">
        <v>3040</v>
      </c>
      <c r="F1847" t="s">
        <v>6467</v>
      </c>
      <c r="G1847" t="s">
        <v>6468</v>
      </c>
      <c r="H1847" t="s">
        <v>6468</v>
      </c>
      <c r="I1847" t="s">
        <v>194</v>
      </c>
      <c r="J1847" t="s">
        <v>13</v>
      </c>
      <c r="L1847">
        <v>45738</v>
      </c>
      <c r="M1847" t="s">
        <v>195</v>
      </c>
    </row>
    <row r="1848" spans="1:13" x14ac:dyDescent="0.3">
      <c r="A1848" t="s">
        <v>6469</v>
      </c>
      <c r="B1848" t="s">
        <v>46</v>
      </c>
      <c r="C1848" t="s">
        <v>26</v>
      </c>
      <c r="D1848" t="s">
        <v>136</v>
      </c>
      <c r="E1848">
        <v>3039</v>
      </c>
      <c r="F1848" t="s">
        <v>6470</v>
      </c>
      <c r="G1848" t="s">
        <v>6471</v>
      </c>
      <c r="H1848" t="s">
        <v>6471</v>
      </c>
      <c r="I1848" t="s">
        <v>15</v>
      </c>
      <c r="J1848" t="s">
        <v>14</v>
      </c>
      <c r="L1848">
        <v>45727</v>
      </c>
      <c r="M1848" t="s">
        <v>140</v>
      </c>
    </row>
    <row r="1849" spans="1:13" x14ac:dyDescent="0.3">
      <c r="A1849" t="s">
        <v>6472</v>
      </c>
      <c r="B1849" t="s">
        <v>46</v>
      </c>
      <c r="C1849" t="s">
        <v>22</v>
      </c>
      <c r="D1849" t="s">
        <v>118</v>
      </c>
      <c r="E1849">
        <v>3038</v>
      </c>
      <c r="F1849" t="s">
        <v>6473</v>
      </c>
      <c r="G1849" t="s">
        <v>6474</v>
      </c>
      <c r="H1849" t="s">
        <v>6475</v>
      </c>
      <c r="I1849" t="s">
        <v>122</v>
      </c>
      <c r="J1849" t="s">
        <v>123</v>
      </c>
      <c r="L1849">
        <v>45679</v>
      </c>
      <c r="M1849" t="s">
        <v>124</v>
      </c>
    </row>
    <row r="1850" spans="1:13" x14ac:dyDescent="0.3">
      <c r="A1850" t="s">
        <v>6476</v>
      </c>
      <c r="B1850" t="s">
        <v>46</v>
      </c>
      <c r="C1850" t="s">
        <v>25</v>
      </c>
      <c r="D1850" t="s">
        <v>191</v>
      </c>
      <c r="E1850">
        <v>3040</v>
      </c>
      <c r="F1850" t="s">
        <v>6477</v>
      </c>
      <c r="G1850" t="s">
        <v>6478</v>
      </c>
      <c r="H1850" t="s">
        <v>6479</v>
      </c>
      <c r="I1850" t="s">
        <v>194</v>
      </c>
      <c r="J1850" t="s">
        <v>13</v>
      </c>
      <c r="K1850" t="s">
        <v>21</v>
      </c>
      <c r="L1850">
        <v>45718</v>
      </c>
      <c r="M1850" t="s">
        <v>300</v>
      </c>
    </row>
    <row r="1851" spans="1:13" x14ac:dyDescent="0.3">
      <c r="A1851" t="s">
        <v>6480</v>
      </c>
      <c r="B1851" t="s">
        <v>46</v>
      </c>
      <c r="C1851" t="s">
        <v>25</v>
      </c>
      <c r="D1851" t="s">
        <v>104</v>
      </c>
      <c r="E1851">
        <v>3037</v>
      </c>
      <c r="F1851" t="s">
        <v>6481</v>
      </c>
      <c r="G1851" t="s">
        <v>6482</v>
      </c>
      <c r="H1851" t="s">
        <v>6483</v>
      </c>
      <c r="I1851" t="s">
        <v>12</v>
      </c>
      <c r="J1851" t="s">
        <v>13</v>
      </c>
      <c r="L1851">
        <v>45741</v>
      </c>
      <c r="M1851" t="s">
        <v>76</v>
      </c>
    </row>
    <row r="1852" spans="1:13" x14ac:dyDescent="0.3">
      <c r="A1852" t="s">
        <v>6484</v>
      </c>
      <c r="B1852" t="s">
        <v>46</v>
      </c>
      <c r="C1852" t="s">
        <v>24</v>
      </c>
      <c r="D1852" t="s">
        <v>118</v>
      </c>
      <c r="E1852">
        <v>3038</v>
      </c>
      <c r="F1852" t="s">
        <v>6485</v>
      </c>
      <c r="G1852" t="s">
        <v>6486</v>
      </c>
      <c r="H1852" t="s">
        <v>6487</v>
      </c>
      <c r="I1852" t="s">
        <v>122</v>
      </c>
      <c r="J1852" t="s">
        <v>123</v>
      </c>
      <c r="K1852" t="s">
        <v>21</v>
      </c>
      <c r="L1852">
        <v>45681</v>
      </c>
      <c r="M1852" t="s">
        <v>389</v>
      </c>
    </row>
    <row r="1853" spans="1:13" x14ac:dyDescent="0.3">
      <c r="A1853" t="s">
        <v>6488</v>
      </c>
      <c r="B1853" t="s">
        <v>37</v>
      </c>
      <c r="C1853" t="s">
        <v>22</v>
      </c>
      <c r="D1853" t="s">
        <v>136</v>
      </c>
      <c r="E1853">
        <v>3039</v>
      </c>
      <c r="F1853" t="s">
        <v>6489</v>
      </c>
      <c r="G1853" t="s">
        <v>6490</v>
      </c>
      <c r="H1853" t="s">
        <v>6491</v>
      </c>
      <c r="I1853" t="s">
        <v>15</v>
      </c>
      <c r="J1853" t="s">
        <v>14</v>
      </c>
      <c r="L1853">
        <v>45710</v>
      </c>
      <c r="M1853" t="s">
        <v>160</v>
      </c>
    </row>
    <row r="1854" spans="1:13" x14ac:dyDescent="0.3">
      <c r="A1854" t="s">
        <v>6492</v>
      </c>
      <c r="B1854" t="s">
        <v>37</v>
      </c>
      <c r="C1854" t="s">
        <v>25</v>
      </c>
      <c r="D1854" t="s">
        <v>136</v>
      </c>
      <c r="E1854">
        <v>3039</v>
      </c>
      <c r="F1854" t="s">
        <v>6493</v>
      </c>
      <c r="G1854" t="s">
        <v>6494</v>
      </c>
      <c r="H1854" t="s">
        <v>6495</v>
      </c>
      <c r="I1854" t="s">
        <v>15</v>
      </c>
      <c r="J1854" t="s">
        <v>14</v>
      </c>
      <c r="L1854">
        <v>45682</v>
      </c>
      <c r="M1854" t="s">
        <v>200</v>
      </c>
    </row>
    <row r="1855" spans="1:13" x14ac:dyDescent="0.3">
      <c r="A1855" t="s">
        <v>6496</v>
      </c>
      <c r="B1855" t="s">
        <v>46</v>
      </c>
      <c r="C1855" t="s">
        <v>24</v>
      </c>
      <c r="D1855" t="s">
        <v>104</v>
      </c>
      <c r="E1855">
        <v>3037</v>
      </c>
      <c r="F1855" t="s">
        <v>6497</v>
      </c>
      <c r="G1855" t="s">
        <v>6498</v>
      </c>
      <c r="H1855" t="s">
        <v>6498</v>
      </c>
      <c r="I1855" t="s">
        <v>12</v>
      </c>
      <c r="J1855" t="s">
        <v>13</v>
      </c>
      <c r="K1855" t="s">
        <v>21</v>
      </c>
      <c r="L1855">
        <v>45690</v>
      </c>
      <c r="M1855" t="s">
        <v>224</v>
      </c>
    </row>
    <row r="1856" spans="1:13" x14ac:dyDescent="0.3">
      <c r="A1856" t="s">
        <v>6499</v>
      </c>
      <c r="B1856" t="s">
        <v>37</v>
      </c>
      <c r="C1856" t="s">
        <v>24</v>
      </c>
      <c r="D1856" t="s">
        <v>104</v>
      </c>
      <c r="E1856">
        <v>3037</v>
      </c>
      <c r="F1856" t="s">
        <v>6500</v>
      </c>
      <c r="G1856" t="s">
        <v>6501</v>
      </c>
      <c r="H1856" t="s">
        <v>6502</v>
      </c>
      <c r="I1856" t="s">
        <v>12</v>
      </c>
      <c r="J1856" t="s">
        <v>13</v>
      </c>
      <c r="K1856" t="s">
        <v>21</v>
      </c>
      <c r="L1856">
        <v>45671</v>
      </c>
      <c r="M1856" t="s">
        <v>107</v>
      </c>
    </row>
    <row r="1857" spans="1:13" x14ac:dyDescent="0.3">
      <c r="A1857" t="s">
        <v>6503</v>
      </c>
      <c r="B1857" t="s">
        <v>37</v>
      </c>
      <c r="C1857" t="s">
        <v>26</v>
      </c>
      <c r="D1857" t="s">
        <v>118</v>
      </c>
      <c r="E1857">
        <v>3038</v>
      </c>
      <c r="F1857" t="s">
        <v>6504</v>
      </c>
      <c r="G1857" t="s">
        <v>6505</v>
      </c>
      <c r="H1857" t="s">
        <v>6505</v>
      </c>
      <c r="I1857" t="s">
        <v>122</v>
      </c>
      <c r="J1857" t="s">
        <v>123</v>
      </c>
      <c r="L1857">
        <v>45683</v>
      </c>
      <c r="M1857" t="s">
        <v>344</v>
      </c>
    </row>
    <row r="1858" spans="1:13" x14ac:dyDescent="0.3">
      <c r="A1858" t="s">
        <v>6506</v>
      </c>
      <c r="B1858" t="s">
        <v>46</v>
      </c>
      <c r="C1858" t="s">
        <v>26</v>
      </c>
      <c r="D1858" t="s">
        <v>38</v>
      </c>
      <c r="E1858">
        <v>3031</v>
      </c>
      <c r="F1858" t="s">
        <v>6507</v>
      </c>
      <c r="G1858" t="s">
        <v>6508</v>
      </c>
      <c r="H1858" t="s">
        <v>6509</v>
      </c>
      <c r="I1858" t="s">
        <v>42</v>
      </c>
      <c r="J1858" t="s">
        <v>43</v>
      </c>
      <c r="K1858" t="s">
        <v>21</v>
      </c>
      <c r="L1858">
        <v>45713</v>
      </c>
      <c r="M1858" t="s">
        <v>65</v>
      </c>
    </row>
    <row r="1859" spans="1:13" x14ac:dyDescent="0.3">
      <c r="A1859" t="s">
        <v>6510</v>
      </c>
      <c r="B1859" t="s">
        <v>37</v>
      </c>
      <c r="C1859" t="s">
        <v>22</v>
      </c>
      <c r="D1859" t="s">
        <v>71</v>
      </c>
      <c r="E1859">
        <v>3034</v>
      </c>
      <c r="F1859" t="s">
        <v>6511</v>
      </c>
      <c r="G1859" t="s">
        <v>6512</v>
      </c>
      <c r="H1859" t="s">
        <v>6512</v>
      </c>
      <c r="I1859" t="s">
        <v>74</v>
      </c>
      <c r="J1859" t="s">
        <v>75</v>
      </c>
      <c r="L1859">
        <v>45732</v>
      </c>
      <c r="M1859" t="s">
        <v>76</v>
      </c>
    </row>
    <row r="1860" spans="1:13" x14ac:dyDescent="0.3">
      <c r="A1860" t="s">
        <v>6513</v>
      </c>
      <c r="B1860" t="s">
        <v>37</v>
      </c>
      <c r="C1860" t="s">
        <v>24</v>
      </c>
      <c r="D1860" t="s">
        <v>118</v>
      </c>
      <c r="E1860">
        <v>3038</v>
      </c>
      <c r="F1860" t="s">
        <v>6514</v>
      </c>
      <c r="G1860" t="s">
        <v>6515</v>
      </c>
      <c r="H1860" t="s">
        <v>6515</v>
      </c>
      <c r="I1860" t="s">
        <v>122</v>
      </c>
      <c r="J1860" t="s">
        <v>123</v>
      </c>
      <c r="K1860" t="s">
        <v>21</v>
      </c>
      <c r="L1860">
        <v>45702</v>
      </c>
      <c r="M1860" t="s">
        <v>359</v>
      </c>
    </row>
    <row r="1861" spans="1:13" x14ac:dyDescent="0.3">
      <c r="A1861" t="s">
        <v>6516</v>
      </c>
      <c r="B1861" t="s">
        <v>46</v>
      </c>
      <c r="C1861" t="s">
        <v>24</v>
      </c>
      <c r="D1861" t="s">
        <v>191</v>
      </c>
      <c r="E1861">
        <v>3040</v>
      </c>
      <c r="F1861" t="s">
        <v>6517</v>
      </c>
      <c r="G1861" t="s">
        <v>6518</v>
      </c>
      <c r="H1861" t="s">
        <v>6519</v>
      </c>
      <c r="I1861" t="s">
        <v>194</v>
      </c>
      <c r="J1861" t="s">
        <v>13</v>
      </c>
      <c r="L1861">
        <v>45677</v>
      </c>
      <c r="M1861" t="s">
        <v>160</v>
      </c>
    </row>
    <row r="1862" spans="1:13" x14ac:dyDescent="0.3">
      <c r="A1862" t="s">
        <v>6520</v>
      </c>
      <c r="B1862" t="s">
        <v>37</v>
      </c>
      <c r="C1862" t="s">
        <v>22</v>
      </c>
      <c r="D1862" t="s">
        <v>71</v>
      </c>
      <c r="E1862">
        <v>3034</v>
      </c>
      <c r="F1862" t="s">
        <v>6521</v>
      </c>
      <c r="G1862" t="s">
        <v>6522</v>
      </c>
      <c r="H1862" t="s">
        <v>6523</v>
      </c>
      <c r="I1862" t="s">
        <v>74</v>
      </c>
      <c r="J1862" t="s">
        <v>75</v>
      </c>
      <c r="L1862">
        <v>45707</v>
      </c>
      <c r="M1862" t="s">
        <v>112</v>
      </c>
    </row>
    <row r="1863" spans="1:13" x14ac:dyDescent="0.3">
      <c r="A1863" t="s">
        <v>6524</v>
      </c>
      <c r="B1863" t="s">
        <v>46</v>
      </c>
      <c r="C1863" t="s">
        <v>22</v>
      </c>
      <c r="D1863" t="s">
        <v>71</v>
      </c>
      <c r="E1863">
        <v>3034</v>
      </c>
      <c r="F1863" t="s">
        <v>6525</v>
      </c>
      <c r="G1863" t="s">
        <v>6526</v>
      </c>
      <c r="H1863" t="s">
        <v>6526</v>
      </c>
      <c r="I1863" t="s">
        <v>74</v>
      </c>
      <c r="J1863" t="s">
        <v>75</v>
      </c>
      <c r="K1863" t="s">
        <v>21</v>
      </c>
      <c r="L1863">
        <v>45680</v>
      </c>
      <c r="M1863" t="s">
        <v>165</v>
      </c>
    </row>
    <row r="1864" spans="1:13" x14ac:dyDescent="0.3">
      <c r="A1864" t="s">
        <v>6527</v>
      </c>
      <c r="B1864" t="s">
        <v>46</v>
      </c>
      <c r="C1864" t="s">
        <v>26</v>
      </c>
      <c r="D1864" t="s">
        <v>104</v>
      </c>
      <c r="E1864">
        <v>3037</v>
      </c>
      <c r="F1864" t="s">
        <v>6528</v>
      </c>
      <c r="G1864" t="s">
        <v>6529</v>
      </c>
      <c r="H1864" t="s">
        <v>6529</v>
      </c>
      <c r="I1864" t="s">
        <v>12</v>
      </c>
      <c r="J1864" t="s">
        <v>13</v>
      </c>
      <c r="K1864" t="s">
        <v>21</v>
      </c>
      <c r="L1864">
        <v>45696</v>
      </c>
      <c r="M1864" t="s">
        <v>189</v>
      </c>
    </row>
    <row r="1865" spans="1:13" x14ac:dyDescent="0.3">
      <c r="A1865" t="s">
        <v>6530</v>
      </c>
      <c r="B1865" t="s">
        <v>37</v>
      </c>
      <c r="C1865" t="s">
        <v>22</v>
      </c>
      <c r="D1865" t="s">
        <v>55</v>
      </c>
      <c r="E1865">
        <v>3033</v>
      </c>
      <c r="F1865" t="s">
        <v>6531</v>
      </c>
      <c r="G1865" t="s">
        <v>6532</v>
      </c>
      <c r="H1865" t="s">
        <v>6532</v>
      </c>
      <c r="I1865" t="s">
        <v>58</v>
      </c>
      <c r="J1865" t="s">
        <v>59</v>
      </c>
      <c r="L1865">
        <v>45728</v>
      </c>
      <c r="M1865" t="s">
        <v>69</v>
      </c>
    </row>
    <row r="1866" spans="1:13" x14ac:dyDescent="0.3">
      <c r="A1866" t="s">
        <v>6533</v>
      </c>
      <c r="B1866" t="s">
        <v>46</v>
      </c>
      <c r="C1866" t="s">
        <v>25</v>
      </c>
      <c r="D1866" t="s">
        <v>118</v>
      </c>
      <c r="E1866">
        <v>3038</v>
      </c>
      <c r="F1866" t="s">
        <v>6534</v>
      </c>
      <c r="G1866" t="s">
        <v>6535</v>
      </c>
      <c r="H1866" t="s">
        <v>6536</v>
      </c>
      <c r="I1866" t="s">
        <v>122</v>
      </c>
      <c r="J1866" t="s">
        <v>123</v>
      </c>
      <c r="K1866" t="s">
        <v>21</v>
      </c>
      <c r="L1866">
        <v>45724</v>
      </c>
      <c r="M1866" t="s">
        <v>581</v>
      </c>
    </row>
    <row r="1867" spans="1:13" x14ac:dyDescent="0.3">
      <c r="A1867" t="s">
        <v>6537</v>
      </c>
      <c r="B1867" t="s">
        <v>46</v>
      </c>
      <c r="C1867" t="s">
        <v>25</v>
      </c>
      <c r="D1867" t="s">
        <v>118</v>
      </c>
      <c r="E1867">
        <v>3038</v>
      </c>
      <c r="F1867" t="s">
        <v>6538</v>
      </c>
      <c r="G1867" t="s">
        <v>6539</v>
      </c>
      <c r="H1867" t="s">
        <v>6540</v>
      </c>
      <c r="I1867" t="s">
        <v>122</v>
      </c>
      <c r="J1867" t="s">
        <v>123</v>
      </c>
      <c r="L1867">
        <v>45727</v>
      </c>
      <c r="M1867" t="s">
        <v>359</v>
      </c>
    </row>
    <row r="1868" spans="1:13" x14ac:dyDescent="0.3">
      <c r="A1868" t="s">
        <v>6541</v>
      </c>
      <c r="B1868" t="s">
        <v>37</v>
      </c>
      <c r="C1868" t="s">
        <v>24</v>
      </c>
      <c r="D1868" t="s">
        <v>444</v>
      </c>
      <c r="E1868">
        <v>3042</v>
      </c>
      <c r="F1868" t="s">
        <v>6542</v>
      </c>
      <c r="G1868" t="s">
        <v>6543</v>
      </c>
      <c r="H1868" t="s">
        <v>6544</v>
      </c>
      <c r="I1868" t="s">
        <v>448</v>
      </c>
      <c r="J1868" t="s">
        <v>449</v>
      </c>
      <c r="L1868">
        <v>45682</v>
      </c>
      <c r="M1868" t="s">
        <v>107</v>
      </c>
    </row>
    <row r="1869" spans="1:13" x14ac:dyDescent="0.3">
      <c r="A1869" t="s">
        <v>6545</v>
      </c>
      <c r="B1869" t="s">
        <v>46</v>
      </c>
      <c r="C1869" t="s">
        <v>24</v>
      </c>
      <c r="D1869" t="s">
        <v>38</v>
      </c>
      <c r="E1869">
        <v>3031</v>
      </c>
      <c r="F1869" t="s">
        <v>6546</v>
      </c>
      <c r="G1869" t="s">
        <v>6547</v>
      </c>
      <c r="H1869" t="s">
        <v>6548</v>
      </c>
      <c r="I1869" t="s">
        <v>42</v>
      </c>
      <c r="J1869" t="s">
        <v>43</v>
      </c>
      <c r="L1869">
        <v>45659</v>
      </c>
      <c r="M1869" t="s">
        <v>44</v>
      </c>
    </row>
    <row r="1870" spans="1:13" x14ac:dyDescent="0.3">
      <c r="A1870" t="s">
        <v>6549</v>
      </c>
      <c r="B1870" t="s">
        <v>37</v>
      </c>
      <c r="C1870" t="s">
        <v>22</v>
      </c>
      <c r="D1870" t="s">
        <v>444</v>
      </c>
      <c r="E1870">
        <v>3042</v>
      </c>
      <c r="F1870" t="s">
        <v>6550</v>
      </c>
      <c r="G1870" t="s">
        <v>6551</v>
      </c>
      <c r="H1870" t="s">
        <v>6552</v>
      </c>
      <c r="I1870" t="s">
        <v>448</v>
      </c>
      <c r="J1870" t="s">
        <v>449</v>
      </c>
      <c r="L1870">
        <v>45687</v>
      </c>
      <c r="M1870" t="s">
        <v>481</v>
      </c>
    </row>
    <row r="1871" spans="1:13" x14ac:dyDescent="0.3">
      <c r="A1871" t="s">
        <v>6553</v>
      </c>
      <c r="B1871" t="s">
        <v>46</v>
      </c>
      <c r="C1871" t="s">
        <v>22</v>
      </c>
      <c r="D1871" t="s">
        <v>78</v>
      </c>
      <c r="E1871">
        <v>3035</v>
      </c>
      <c r="F1871" t="s">
        <v>6554</v>
      </c>
      <c r="G1871" t="s">
        <v>6555</v>
      </c>
      <c r="H1871" t="s">
        <v>6555</v>
      </c>
      <c r="I1871" t="s">
        <v>81</v>
      </c>
      <c r="J1871" t="s">
        <v>82</v>
      </c>
      <c r="K1871" t="s">
        <v>21</v>
      </c>
      <c r="L1871">
        <v>45701</v>
      </c>
      <c r="M1871" t="s">
        <v>287</v>
      </c>
    </row>
    <row r="1872" spans="1:13" x14ac:dyDescent="0.3">
      <c r="A1872" t="s">
        <v>6556</v>
      </c>
      <c r="B1872" t="s">
        <v>46</v>
      </c>
      <c r="C1872" t="s">
        <v>25</v>
      </c>
      <c r="D1872" t="s">
        <v>55</v>
      </c>
      <c r="E1872">
        <v>3033</v>
      </c>
      <c r="F1872" t="s">
        <v>6557</v>
      </c>
      <c r="G1872" t="s">
        <v>6558</v>
      </c>
      <c r="H1872" t="s">
        <v>6558</v>
      </c>
      <c r="I1872" t="s">
        <v>58</v>
      </c>
      <c r="J1872" t="s">
        <v>59</v>
      </c>
      <c r="K1872" t="s">
        <v>21</v>
      </c>
      <c r="L1872">
        <v>45664</v>
      </c>
      <c r="M1872" t="s">
        <v>86</v>
      </c>
    </row>
    <row r="1873" spans="1:13" x14ac:dyDescent="0.3">
      <c r="A1873" t="s">
        <v>6559</v>
      </c>
      <c r="B1873" t="s">
        <v>37</v>
      </c>
      <c r="C1873" t="s">
        <v>26</v>
      </c>
      <c r="D1873" t="s">
        <v>55</v>
      </c>
      <c r="E1873">
        <v>3033</v>
      </c>
      <c r="F1873" t="s">
        <v>6560</v>
      </c>
      <c r="G1873" t="s">
        <v>6561</v>
      </c>
      <c r="H1873" t="s">
        <v>6561</v>
      </c>
      <c r="I1873" t="s">
        <v>58</v>
      </c>
      <c r="J1873" t="s">
        <v>59</v>
      </c>
      <c r="L1873">
        <v>45660</v>
      </c>
      <c r="M1873" t="s">
        <v>90</v>
      </c>
    </row>
    <row r="1874" spans="1:13" x14ac:dyDescent="0.3">
      <c r="A1874" t="s">
        <v>6562</v>
      </c>
      <c r="B1874" t="s">
        <v>46</v>
      </c>
      <c r="C1874" t="s">
        <v>26</v>
      </c>
      <c r="D1874" t="s">
        <v>38</v>
      </c>
      <c r="E1874">
        <v>3031</v>
      </c>
      <c r="F1874" t="s">
        <v>6563</v>
      </c>
      <c r="G1874" t="s">
        <v>6564</v>
      </c>
      <c r="H1874" t="s">
        <v>6565</v>
      </c>
      <c r="I1874" t="s">
        <v>42</v>
      </c>
      <c r="J1874" t="s">
        <v>43</v>
      </c>
      <c r="L1874">
        <v>45717</v>
      </c>
      <c r="M1874" t="s">
        <v>102</v>
      </c>
    </row>
    <row r="1875" spans="1:13" x14ac:dyDescent="0.3">
      <c r="A1875" t="s">
        <v>6566</v>
      </c>
      <c r="B1875" t="s">
        <v>46</v>
      </c>
      <c r="C1875" t="s">
        <v>25</v>
      </c>
      <c r="D1875" t="s">
        <v>118</v>
      </c>
      <c r="E1875">
        <v>3038</v>
      </c>
      <c r="F1875" t="s">
        <v>6567</v>
      </c>
      <c r="G1875" t="s">
        <v>6568</v>
      </c>
      <c r="H1875" t="s">
        <v>6569</v>
      </c>
      <c r="I1875" t="s">
        <v>122</v>
      </c>
      <c r="J1875" t="s">
        <v>123</v>
      </c>
      <c r="L1875">
        <v>45712</v>
      </c>
      <c r="M1875" t="s">
        <v>124</v>
      </c>
    </row>
    <row r="1876" spans="1:13" x14ac:dyDescent="0.3">
      <c r="A1876" t="s">
        <v>6570</v>
      </c>
      <c r="B1876" t="s">
        <v>37</v>
      </c>
      <c r="C1876" t="s">
        <v>25</v>
      </c>
      <c r="D1876" t="s">
        <v>71</v>
      </c>
      <c r="E1876">
        <v>3034</v>
      </c>
      <c r="F1876" t="s">
        <v>6571</v>
      </c>
      <c r="G1876" t="s">
        <v>6572</v>
      </c>
      <c r="H1876" t="s">
        <v>6573</v>
      </c>
      <c r="I1876" t="s">
        <v>74</v>
      </c>
      <c r="J1876" t="s">
        <v>75</v>
      </c>
      <c r="K1876" t="s">
        <v>21</v>
      </c>
      <c r="L1876">
        <v>45688</v>
      </c>
      <c r="M1876" t="s">
        <v>212</v>
      </c>
    </row>
    <row r="1877" spans="1:13" x14ac:dyDescent="0.3">
      <c r="A1877" t="s">
        <v>6574</v>
      </c>
      <c r="B1877" t="s">
        <v>37</v>
      </c>
      <c r="C1877" t="s">
        <v>24</v>
      </c>
      <c r="D1877" t="s">
        <v>104</v>
      </c>
      <c r="E1877">
        <v>3037</v>
      </c>
      <c r="F1877" t="s">
        <v>6575</v>
      </c>
      <c r="G1877" t="s">
        <v>6576</v>
      </c>
      <c r="H1877" t="s">
        <v>6576</v>
      </c>
      <c r="I1877" t="s">
        <v>12</v>
      </c>
      <c r="J1877" t="s">
        <v>13</v>
      </c>
      <c r="L1877">
        <v>45702</v>
      </c>
      <c r="M1877" t="s">
        <v>107</v>
      </c>
    </row>
    <row r="1878" spans="1:13" x14ac:dyDescent="0.3">
      <c r="A1878" t="s">
        <v>6577</v>
      </c>
      <c r="B1878" t="s">
        <v>46</v>
      </c>
      <c r="C1878" t="s">
        <v>24</v>
      </c>
      <c r="D1878" t="s">
        <v>104</v>
      </c>
      <c r="E1878">
        <v>3037</v>
      </c>
      <c r="F1878" t="s">
        <v>6578</v>
      </c>
      <c r="G1878" t="s">
        <v>6579</v>
      </c>
      <c r="H1878" t="s">
        <v>6580</v>
      </c>
      <c r="I1878" t="s">
        <v>12</v>
      </c>
      <c r="J1878" t="s">
        <v>13</v>
      </c>
      <c r="K1878" t="s">
        <v>21</v>
      </c>
      <c r="L1878">
        <v>45693</v>
      </c>
      <c r="M1878" t="s">
        <v>107</v>
      </c>
    </row>
    <row r="1879" spans="1:13" x14ac:dyDescent="0.3">
      <c r="A1879" t="s">
        <v>6581</v>
      </c>
      <c r="B1879" t="s">
        <v>46</v>
      </c>
      <c r="C1879" t="s">
        <v>26</v>
      </c>
      <c r="D1879" t="s">
        <v>191</v>
      </c>
      <c r="E1879">
        <v>3040</v>
      </c>
      <c r="F1879" t="s">
        <v>6582</v>
      </c>
      <c r="G1879" t="s">
        <v>6583</v>
      </c>
      <c r="H1879" t="s">
        <v>6584</v>
      </c>
      <c r="I1879" t="s">
        <v>194</v>
      </c>
      <c r="J1879" t="s">
        <v>13</v>
      </c>
      <c r="L1879">
        <v>45729</v>
      </c>
      <c r="M1879" t="s">
        <v>160</v>
      </c>
    </row>
    <row r="1880" spans="1:13" x14ac:dyDescent="0.3">
      <c r="A1880" t="s">
        <v>6585</v>
      </c>
      <c r="B1880" t="s">
        <v>37</v>
      </c>
      <c r="C1880" t="s">
        <v>25</v>
      </c>
      <c r="D1880" t="s">
        <v>207</v>
      </c>
      <c r="E1880">
        <v>3041</v>
      </c>
      <c r="F1880" t="s">
        <v>6586</v>
      </c>
      <c r="G1880" t="s">
        <v>6587</v>
      </c>
      <c r="H1880" t="s">
        <v>6587</v>
      </c>
      <c r="I1880" t="s">
        <v>211</v>
      </c>
      <c r="J1880" t="s">
        <v>14</v>
      </c>
      <c r="L1880">
        <v>45678</v>
      </c>
      <c r="M1880" t="s">
        <v>300</v>
      </c>
    </row>
    <row r="1881" spans="1:13" x14ac:dyDescent="0.3">
      <c r="A1881" t="s">
        <v>6588</v>
      </c>
      <c r="B1881" t="s">
        <v>46</v>
      </c>
      <c r="C1881" t="s">
        <v>26</v>
      </c>
      <c r="D1881" t="s">
        <v>207</v>
      </c>
      <c r="E1881">
        <v>3041</v>
      </c>
      <c r="F1881" t="s">
        <v>6589</v>
      </c>
      <c r="G1881" t="s">
        <v>6590</v>
      </c>
      <c r="H1881" t="s">
        <v>6590</v>
      </c>
      <c r="I1881" t="s">
        <v>211</v>
      </c>
      <c r="J1881" t="s">
        <v>14</v>
      </c>
      <c r="K1881" t="s">
        <v>21</v>
      </c>
      <c r="L1881">
        <v>45716</v>
      </c>
      <c r="M1881" t="s">
        <v>394</v>
      </c>
    </row>
    <row r="1882" spans="1:13" x14ac:dyDescent="0.3">
      <c r="A1882" t="s">
        <v>6591</v>
      </c>
      <c r="B1882" t="s">
        <v>37</v>
      </c>
      <c r="C1882" t="s">
        <v>24</v>
      </c>
      <c r="D1882" t="s">
        <v>97</v>
      </c>
      <c r="E1882">
        <v>3036</v>
      </c>
      <c r="F1882" t="s">
        <v>6592</v>
      </c>
      <c r="G1882" t="s">
        <v>6593</v>
      </c>
      <c r="H1882" t="s">
        <v>6594</v>
      </c>
      <c r="I1882" t="s">
        <v>100</v>
      </c>
      <c r="J1882" t="s">
        <v>101</v>
      </c>
      <c r="K1882" t="s">
        <v>21</v>
      </c>
      <c r="L1882">
        <v>45661</v>
      </c>
      <c r="M1882" t="s">
        <v>165</v>
      </c>
    </row>
    <row r="1883" spans="1:13" x14ac:dyDescent="0.3">
      <c r="A1883" t="s">
        <v>6595</v>
      </c>
      <c r="B1883" t="s">
        <v>46</v>
      </c>
      <c r="C1883" t="s">
        <v>26</v>
      </c>
      <c r="D1883" t="s">
        <v>118</v>
      </c>
      <c r="E1883">
        <v>3038</v>
      </c>
      <c r="F1883" t="s">
        <v>6596</v>
      </c>
      <c r="G1883" t="s">
        <v>6597</v>
      </c>
      <c r="H1883" t="s">
        <v>6597</v>
      </c>
      <c r="I1883" t="s">
        <v>122</v>
      </c>
      <c r="J1883" t="s">
        <v>123</v>
      </c>
      <c r="L1883">
        <v>45731</v>
      </c>
      <c r="M1883" t="s">
        <v>124</v>
      </c>
    </row>
    <row r="1884" spans="1:13" x14ac:dyDescent="0.3">
      <c r="A1884" t="s">
        <v>6598</v>
      </c>
      <c r="B1884" t="s">
        <v>46</v>
      </c>
      <c r="C1884" t="s">
        <v>26</v>
      </c>
      <c r="D1884" t="s">
        <v>47</v>
      </c>
      <c r="E1884">
        <v>3032</v>
      </c>
      <c r="F1884" t="s">
        <v>6599</v>
      </c>
      <c r="G1884" t="s">
        <v>6600</v>
      </c>
      <c r="H1884" t="s">
        <v>6600</v>
      </c>
      <c r="I1884" t="s">
        <v>51</v>
      </c>
      <c r="J1884" t="s">
        <v>52</v>
      </c>
      <c r="L1884">
        <v>45703</v>
      </c>
      <c r="M1884" t="s">
        <v>476</v>
      </c>
    </row>
    <row r="1885" spans="1:13" x14ac:dyDescent="0.3">
      <c r="A1885" t="s">
        <v>6601</v>
      </c>
      <c r="B1885" t="s">
        <v>46</v>
      </c>
      <c r="C1885" t="s">
        <v>25</v>
      </c>
      <c r="D1885" t="s">
        <v>71</v>
      </c>
      <c r="E1885">
        <v>3034</v>
      </c>
      <c r="F1885" t="s">
        <v>6602</v>
      </c>
      <c r="G1885" t="s">
        <v>6603</v>
      </c>
      <c r="H1885" t="s">
        <v>6604</v>
      </c>
      <c r="I1885" t="s">
        <v>74</v>
      </c>
      <c r="J1885" t="s">
        <v>75</v>
      </c>
      <c r="L1885">
        <v>45700</v>
      </c>
      <c r="M1885" t="s">
        <v>212</v>
      </c>
    </row>
    <row r="1886" spans="1:13" x14ac:dyDescent="0.3">
      <c r="A1886" t="s">
        <v>6605</v>
      </c>
      <c r="B1886" t="s">
        <v>46</v>
      </c>
      <c r="C1886" t="s">
        <v>24</v>
      </c>
      <c r="D1886" t="s">
        <v>444</v>
      </c>
      <c r="E1886">
        <v>3042</v>
      </c>
      <c r="F1886" t="s">
        <v>6606</v>
      </c>
      <c r="G1886" t="s">
        <v>6607</v>
      </c>
      <c r="H1886" t="s">
        <v>6607</v>
      </c>
      <c r="I1886" t="s">
        <v>448</v>
      </c>
      <c r="J1886" t="s">
        <v>449</v>
      </c>
      <c r="L1886">
        <v>45687</v>
      </c>
      <c r="M1886" t="s">
        <v>481</v>
      </c>
    </row>
    <row r="1887" spans="1:13" x14ac:dyDescent="0.3">
      <c r="A1887" t="s">
        <v>6608</v>
      </c>
      <c r="B1887" t="s">
        <v>37</v>
      </c>
      <c r="C1887" t="s">
        <v>26</v>
      </c>
      <c r="D1887" t="s">
        <v>444</v>
      </c>
      <c r="E1887">
        <v>3042</v>
      </c>
      <c r="F1887" t="s">
        <v>6609</v>
      </c>
      <c r="G1887" t="s">
        <v>6610</v>
      </c>
      <c r="H1887" t="s">
        <v>6611</v>
      </c>
      <c r="I1887" t="s">
        <v>448</v>
      </c>
      <c r="J1887" t="s">
        <v>449</v>
      </c>
      <c r="L1887">
        <v>45685</v>
      </c>
      <c r="M1887" t="s">
        <v>722</v>
      </c>
    </row>
    <row r="1888" spans="1:13" x14ac:dyDescent="0.3">
      <c r="A1888" t="s">
        <v>6612</v>
      </c>
      <c r="B1888" t="s">
        <v>37</v>
      </c>
      <c r="C1888" t="s">
        <v>22</v>
      </c>
      <c r="D1888" t="s">
        <v>118</v>
      </c>
      <c r="E1888">
        <v>3038</v>
      </c>
      <c r="F1888" t="s">
        <v>6613</v>
      </c>
      <c r="G1888" t="s">
        <v>6614</v>
      </c>
      <c r="H1888" t="s">
        <v>6615</v>
      </c>
      <c r="I1888" t="s">
        <v>122</v>
      </c>
      <c r="J1888" t="s">
        <v>123</v>
      </c>
      <c r="L1888">
        <v>45688</v>
      </c>
      <c r="M1888" t="s">
        <v>124</v>
      </c>
    </row>
    <row r="1889" spans="1:13" x14ac:dyDescent="0.3">
      <c r="A1889" t="s">
        <v>6616</v>
      </c>
      <c r="B1889" t="s">
        <v>46</v>
      </c>
      <c r="C1889" t="s">
        <v>24</v>
      </c>
      <c r="D1889" t="s">
        <v>78</v>
      </c>
      <c r="E1889">
        <v>3035</v>
      </c>
      <c r="F1889" t="s">
        <v>6617</v>
      </c>
      <c r="G1889" t="s">
        <v>6618</v>
      </c>
      <c r="H1889" t="s">
        <v>6619</v>
      </c>
      <c r="I1889" t="s">
        <v>81</v>
      </c>
      <c r="J1889" t="s">
        <v>82</v>
      </c>
      <c r="L1889">
        <v>45742</v>
      </c>
      <c r="M1889" t="s">
        <v>95</v>
      </c>
    </row>
    <row r="1890" spans="1:13" x14ac:dyDescent="0.3">
      <c r="A1890" t="s">
        <v>6620</v>
      </c>
      <c r="B1890" t="s">
        <v>46</v>
      </c>
      <c r="C1890" t="s">
        <v>25</v>
      </c>
      <c r="D1890" t="s">
        <v>118</v>
      </c>
      <c r="E1890">
        <v>3038</v>
      </c>
      <c r="F1890" t="s">
        <v>6621</v>
      </c>
      <c r="G1890" t="s">
        <v>6622</v>
      </c>
      <c r="H1890" t="s">
        <v>6622</v>
      </c>
      <c r="I1890" t="s">
        <v>122</v>
      </c>
      <c r="J1890" t="s">
        <v>123</v>
      </c>
      <c r="K1890" t="s">
        <v>21</v>
      </c>
      <c r="L1890">
        <v>45682</v>
      </c>
      <c r="M1890" t="s">
        <v>95</v>
      </c>
    </row>
    <row r="1891" spans="1:13" x14ac:dyDescent="0.3">
      <c r="A1891" t="s">
        <v>6623</v>
      </c>
      <c r="B1891" t="s">
        <v>37</v>
      </c>
      <c r="C1891" t="s">
        <v>22</v>
      </c>
      <c r="D1891" t="s">
        <v>97</v>
      </c>
      <c r="E1891">
        <v>3036</v>
      </c>
      <c r="F1891" t="s">
        <v>6624</v>
      </c>
      <c r="G1891" t="s">
        <v>6625</v>
      </c>
      <c r="H1891" t="s">
        <v>6625</v>
      </c>
      <c r="I1891" t="s">
        <v>100</v>
      </c>
      <c r="J1891" t="s">
        <v>101</v>
      </c>
      <c r="L1891">
        <v>45669</v>
      </c>
      <c r="M1891" t="s">
        <v>128</v>
      </c>
    </row>
    <row r="1892" spans="1:13" x14ac:dyDescent="0.3">
      <c r="A1892" t="s">
        <v>6626</v>
      </c>
      <c r="B1892" t="s">
        <v>37</v>
      </c>
      <c r="C1892" t="s">
        <v>24</v>
      </c>
      <c r="D1892" t="s">
        <v>118</v>
      </c>
      <c r="E1892">
        <v>3038</v>
      </c>
      <c r="F1892" t="s">
        <v>6627</v>
      </c>
      <c r="G1892" t="s">
        <v>6628</v>
      </c>
      <c r="H1892" t="s">
        <v>6629</v>
      </c>
      <c r="I1892" t="s">
        <v>122</v>
      </c>
      <c r="J1892" t="s">
        <v>123</v>
      </c>
      <c r="L1892">
        <v>45677</v>
      </c>
      <c r="M1892" t="s">
        <v>95</v>
      </c>
    </row>
    <row r="1893" spans="1:13" x14ac:dyDescent="0.3">
      <c r="A1893" t="s">
        <v>6630</v>
      </c>
      <c r="B1893" t="s">
        <v>37</v>
      </c>
      <c r="C1893" t="s">
        <v>22</v>
      </c>
      <c r="D1893" t="s">
        <v>97</v>
      </c>
      <c r="E1893">
        <v>3036</v>
      </c>
      <c r="F1893" t="s">
        <v>6631</v>
      </c>
      <c r="G1893" t="s">
        <v>6632</v>
      </c>
      <c r="H1893" t="s">
        <v>6633</v>
      </c>
      <c r="I1893" t="s">
        <v>100</v>
      </c>
      <c r="J1893" t="s">
        <v>101</v>
      </c>
      <c r="K1893" t="s">
        <v>21</v>
      </c>
      <c r="L1893">
        <v>45740</v>
      </c>
      <c r="M1893" t="s">
        <v>165</v>
      </c>
    </row>
    <row r="1894" spans="1:13" x14ac:dyDescent="0.3">
      <c r="A1894" t="s">
        <v>6634</v>
      </c>
      <c r="B1894" t="s">
        <v>46</v>
      </c>
      <c r="C1894" t="s">
        <v>26</v>
      </c>
      <c r="D1894" t="s">
        <v>191</v>
      </c>
      <c r="E1894">
        <v>3040</v>
      </c>
      <c r="F1894" t="s">
        <v>6635</v>
      </c>
      <c r="G1894" t="s">
        <v>6636</v>
      </c>
      <c r="H1894" t="s">
        <v>6636</v>
      </c>
      <c r="I1894" t="s">
        <v>194</v>
      </c>
      <c r="J1894" t="s">
        <v>13</v>
      </c>
      <c r="L1894">
        <v>45682</v>
      </c>
      <c r="M1894" t="s">
        <v>717</v>
      </c>
    </row>
    <row r="1895" spans="1:13" x14ac:dyDescent="0.3">
      <c r="A1895" t="s">
        <v>6637</v>
      </c>
      <c r="B1895" t="s">
        <v>46</v>
      </c>
      <c r="C1895" t="s">
        <v>25</v>
      </c>
      <c r="D1895" t="s">
        <v>38</v>
      </c>
      <c r="E1895">
        <v>3031</v>
      </c>
      <c r="F1895" t="s">
        <v>6638</v>
      </c>
      <c r="G1895" t="s">
        <v>6639</v>
      </c>
      <c r="H1895" t="s">
        <v>6639</v>
      </c>
      <c r="I1895" t="s">
        <v>42</v>
      </c>
      <c r="J1895" t="s">
        <v>43</v>
      </c>
      <c r="L1895">
        <v>45725</v>
      </c>
      <c r="M1895" t="s">
        <v>44</v>
      </c>
    </row>
    <row r="1896" spans="1:13" x14ac:dyDescent="0.3">
      <c r="A1896" t="s">
        <v>6640</v>
      </c>
      <c r="B1896" t="s">
        <v>46</v>
      </c>
      <c r="C1896" t="s">
        <v>22</v>
      </c>
      <c r="D1896" t="s">
        <v>78</v>
      </c>
      <c r="E1896">
        <v>3035</v>
      </c>
      <c r="F1896" t="s">
        <v>6641</v>
      </c>
      <c r="G1896" t="s">
        <v>6642</v>
      </c>
      <c r="H1896" t="s">
        <v>6642</v>
      </c>
      <c r="I1896" t="s">
        <v>81</v>
      </c>
      <c r="J1896" t="s">
        <v>82</v>
      </c>
      <c r="K1896" t="s">
        <v>21</v>
      </c>
      <c r="L1896">
        <v>45677</v>
      </c>
      <c r="M1896" t="s">
        <v>69</v>
      </c>
    </row>
    <row r="1897" spans="1:13" x14ac:dyDescent="0.3">
      <c r="A1897" t="s">
        <v>6643</v>
      </c>
      <c r="B1897" t="s">
        <v>37</v>
      </c>
      <c r="C1897" t="s">
        <v>24</v>
      </c>
      <c r="D1897" t="s">
        <v>78</v>
      </c>
      <c r="E1897">
        <v>3035</v>
      </c>
      <c r="F1897" t="s">
        <v>6644</v>
      </c>
      <c r="G1897" t="s">
        <v>6645</v>
      </c>
      <c r="H1897" t="s">
        <v>6646</v>
      </c>
      <c r="I1897" t="s">
        <v>81</v>
      </c>
      <c r="J1897" t="s">
        <v>82</v>
      </c>
      <c r="L1897">
        <v>45741</v>
      </c>
      <c r="M1897" t="s">
        <v>95</v>
      </c>
    </row>
    <row r="1898" spans="1:13" x14ac:dyDescent="0.3">
      <c r="A1898" t="s">
        <v>6647</v>
      </c>
      <c r="B1898" t="s">
        <v>37</v>
      </c>
      <c r="C1898" t="s">
        <v>25</v>
      </c>
      <c r="D1898" t="s">
        <v>444</v>
      </c>
      <c r="E1898">
        <v>3042</v>
      </c>
      <c r="F1898" t="s">
        <v>6648</v>
      </c>
      <c r="G1898" t="s">
        <v>6649</v>
      </c>
      <c r="H1898" t="s">
        <v>6650</v>
      </c>
      <c r="I1898" t="s">
        <v>448</v>
      </c>
      <c r="J1898" t="s">
        <v>449</v>
      </c>
      <c r="K1898" t="s">
        <v>21</v>
      </c>
      <c r="L1898">
        <v>45736</v>
      </c>
      <c r="M1898" t="s">
        <v>722</v>
      </c>
    </row>
    <row r="1899" spans="1:13" x14ac:dyDescent="0.3">
      <c r="A1899" t="s">
        <v>6651</v>
      </c>
      <c r="B1899" t="s">
        <v>37</v>
      </c>
      <c r="C1899" t="s">
        <v>24</v>
      </c>
      <c r="D1899" t="s">
        <v>55</v>
      </c>
      <c r="E1899">
        <v>3033</v>
      </c>
      <c r="F1899" t="s">
        <v>6652</v>
      </c>
      <c r="G1899" t="s">
        <v>6653</v>
      </c>
      <c r="H1899" t="s">
        <v>6653</v>
      </c>
      <c r="I1899" t="s">
        <v>58</v>
      </c>
      <c r="J1899" t="s">
        <v>59</v>
      </c>
      <c r="L1899">
        <v>45658</v>
      </c>
      <c r="M1899" t="s">
        <v>95</v>
      </c>
    </row>
    <row r="1900" spans="1:13" x14ac:dyDescent="0.3">
      <c r="A1900" t="s">
        <v>6654</v>
      </c>
      <c r="B1900" t="s">
        <v>46</v>
      </c>
      <c r="C1900" t="s">
        <v>24</v>
      </c>
      <c r="D1900" t="s">
        <v>191</v>
      </c>
      <c r="E1900">
        <v>3040</v>
      </c>
      <c r="F1900" t="s">
        <v>6655</v>
      </c>
      <c r="G1900" t="s">
        <v>6656</v>
      </c>
      <c r="H1900" t="s">
        <v>6657</v>
      </c>
      <c r="I1900" t="s">
        <v>194</v>
      </c>
      <c r="J1900" t="s">
        <v>13</v>
      </c>
      <c r="L1900">
        <v>45745</v>
      </c>
      <c r="M1900" t="s">
        <v>717</v>
      </c>
    </row>
    <row r="1901" spans="1:13" x14ac:dyDescent="0.3">
      <c r="A1901" t="s">
        <v>6658</v>
      </c>
      <c r="B1901" t="s">
        <v>46</v>
      </c>
      <c r="C1901" t="s">
        <v>22</v>
      </c>
      <c r="D1901" t="s">
        <v>207</v>
      </c>
      <c r="E1901">
        <v>3041</v>
      </c>
      <c r="F1901" t="s">
        <v>6659</v>
      </c>
      <c r="G1901" t="s">
        <v>6660</v>
      </c>
      <c r="H1901" t="s">
        <v>6661</v>
      </c>
      <c r="I1901" t="s">
        <v>211</v>
      </c>
      <c r="J1901" t="s">
        <v>14</v>
      </c>
      <c r="L1901">
        <v>45658</v>
      </c>
      <c r="M1901" t="s">
        <v>394</v>
      </c>
    </row>
    <row r="1902" spans="1:13" x14ac:dyDescent="0.3">
      <c r="A1902" t="s">
        <v>6662</v>
      </c>
      <c r="B1902" t="s">
        <v>46</v>
      </c>
      <c r="C1902" t="s">
        <v>22</v>
      </c>
      <c r="D1902" t="s">
        <v>444</v>
      </c>
      <c r="E1902">
        <v>3042</v>
      </c>
      <c r="F1902" t="s">
        <v>6663</v>
      </c>
      <c r="G1902" t="s">
        <v>6664</v>
      </c>
      <c r="H1902" t="s">
        <v>6664</v>
      </c>
      <c r="I1902" t="s">
        <v>448</v>
      </c>
      <c r="J1902" t="s">
        <v>449</v>
      </c>
      <c r="K1902" t="s">
        <v>21</v>
      </c>
      <c r="L1902">
        <v>45724</v>
      </c>
      <c r="M1902" t="s">
        <v>224</v>
      </c>
    </row>
    <row r="1903" spans="1:13" x14ac:dyDescent="0.3">
      <c r="A1903" t="s">
        <v>6665</v>
      </c>
      <c r="B1903" t="s">
        <v>46</v>
      </c>
      <c r="C1903" t="s">
        <v>22</v>
      </c>
      <c r="D1903" t="s">
        <v>78</v>
      </c>
      <c r="E1903">
        <v>3035</v>
      </c>
      <c r="F1903" t="s">
        <v>6666</v>
      </c>
      <c r="G1903" t="s">
        <v>6667</v>
      </c>
      <c r="H1903" t="s">
        <v>6667</v>
      </c>
      <c r="I1903" t="s">
        <v>81</v>
      </c>
      <c r="J1903" t="s">
        <v>82</v>
      </c>
      <c r="K1903" t="s">
        <v>21</v>
      </c>
      <c r="L1903">
        <v>45703</v>
      </c>
      <c r="M1903" t="s">
        <v>69</v>
      </c>
    </row>
    <row r="1904" spans="1:13" x14ac:dyDescent="0.3">
      <c r="A1904" t="s">
        <v>6668</v>
      </c>
      <c r="B1904" t="s">
        <v>46</v>
      </c>
      <c r="C1904" t="s">
        <v>22</v>
      </c>
      <c r="D1904" t="s">
        <v>78</v>
      </c>
      <c r="E1904">
        <v>3035</v>
      </c>
      <c r="F1904" t="s">
        <v>6669</v>
      </c>
      <c r="G1904" t="s">
        <v>6670</v>
      </c>
      <c r="H1904" t="s">
        <v>6671</v>
      </c>
      <c r="I1904" t="s">
        <v>81</v>
      </c>
      <c r="J1904" t="s">
        <v>82</v>
      </c>
      <c r="L1904">
        <v>45708</v>
      </c>
      <c r="M1904" t="s">
        <v>69</v>
      </c>
    </row>
    <row r="1905" spans="1:13" x14ac:dyDescent="0.3">
      <c r="A1905" t="s">
        <v>6672</v>
      </c>
      <c r="B1905" t="s">
        <v>46</v>
      </c>
      <c r="C1905" t="s">
        <v>25</v>
      </c>
      <c r="D1905" t="s">
        <v>136</v>
      </c>
      <c r="E1905">
        <v>3039</v>
      </c>
      <c r="F1905" t="s">
        <v>6673</v>
      </c>
      <c r="G1905" t="s">
        <v>6674</v>
      </c>
      <c r="H1905" t="s">
        <v>6675</v>
      </c>
      <c r="I1905" t="s">
        <v>15</v>
      </c>
      <c r="J1905" t="s">
        <v>14</v>
      </c>
      <c r="L1905">
        <v>45666</v>
      </c>
      <c r="M1905" t="s">
        <v>200</v>
      </c>
    </row>
    <row r="1906" spans="1:13" x14ac:dyDescent="0.3">
      <c r="A1906" t="s">
        <v>6676</v>
      </c>
      <c r="B1906" t="s">
        <v>37</v>
      </c>
      <c r="C1906" t="s">
        <v>26</v>
      </c>
      <c r="D1906" t="s">
        <v>47</v>
      </c>
      <c r="E1906">
        <v>3032</v>
      </c>
      <c r="F1906" t="s">
        <v>6677</v>
      </c>
      <c r="G1906" t="s">
        <v>6678</v>
      </c>
      <c r="H1906" t="s">
        <v>6678</v>
      </c>
      <c r="I1906" t="s">
        <v>51</v>
      </c>
      <c r="J1906" t="s">
        <v>52</v>
      </c>
      <c r="L1906">
        <v>45737</v>
      </c>
      <c r="M1906" t="s">
        <v>53</v>
      </c>
    </row>
    <row r="1907" spans="1:13" x14ac:dyDescent="0.3">
      <c r="A1907" t="s">
        <v>6679</v>
      </c>
      <c r="B1907" t="s">
        <v>37</v>
      </c>
      <c r="C1907" t="s">
        <v>26</v>
      </c>
      <c r="D1907" t="s">
        <v>38</v>
      </c>
      <c r="E1907">
        <v>3031</v>
      </c>
      <c r="F1907" t="s">
        <v>6680</v>
      </c>
      <c r="G1907" t="s">
        <v>6681</v>
      </c>
      <c r="H1907" t="s">
        <v>6681</v>
      </c>
      <c r="I1907" t="s">
        <v>42</v>
      </c>
      <c r="J1907" t="s">
        <v>43</v>
      </c>
      <c r="L1907">
        <v>45695</v>
      </c>
      <c r="M1907" t="s">
        <v>76</v>
      </c>
    </row>
    <row r="1908" spans="1:13" x14ac:dyDescent="0.3">
      <c r="A1908" t="s">
        <v>6682</v>
      </c>
      <c r="B1908" t="s">
        <v>46</v>
      </c>
      <c r="C1908" t="s">
        <v>25</v>
      </c>
      <c r="D1908" t="s">
        <v>136</v>
      </c>
      <c r="E1908">
        <v>3039</v>
      </c>
      <c r="F1908" t="s">
        <v>5094</v>
      </c>
      <c r="G1908" t="s">
        <v>6683</v>
      </c>
      <c r="H1908" t="s">
        <v>6684</v>
      </c>
      <c r="I1908" t="s">
        <v>15</v>
      </c>
      <c r="J1908" t="s">
        <v>14</v>
      </c>
      <c r="L1908">
        <v>45683</v>
      </c>
      <c r="M1908" t="s">
        <v>389</v>
      </c>
    </row>
    <row r="1909" spans="1:13" x14ac:dyDescent="0.3">
      <c r="A1909" t="s">
        <v>6685</v>
      </c>
      <c r="B1909" t="s">
        <v>46</v>
      </c>
      <c r="C1909" t="s">
        <v>24</v>
      </c>
      <c r="D1909" t="s">
        <v>38</v>
      </c>
      <c r="E1909">
        <v>3031</v>
      </c>
      <c r="F1909" t="s">
        <v>6686</v>
      </c>
      <c r="G1909" t="s">
        <v>6687</v>
      </c>
      <c r="H1909" t="s">
        <v>6687</v>
      </c>
      <c r="I1909" t="s">
        <v>42</v>
      </c>
      <c r="J1909" t="s">
        <v>43</v>
      </c>
      <c r="L1909">
        <v>45738</v>
      </c>
      <c r="M1909" t="s">
        <v>420</v>
      </c>
    </row>
    <row r="1910" spans="1:13" x14ac:dyDescent="0.3">
      <c r="A1910" t="s">
        <v>6688</v>
      </c>
      <c r="B1910" t="s">
        <v>37</v>
      </c>
      <c r="C1910" t="s">
        <v>24</v>
      </c>
      <c r="D1910" t="s">
        <v>444</v>
      </c>
      <c r="E1910">
        <v>3042</v>
      </c>
      <c r="F1910" t="s">
        <v>6689</v>
      </c>
      <c r="G1910" t="s">
        <v>6690</v>
      </c>
      <c r="H1910" t="s">
        <v>6690</v>
      </c>
      <c r="I1910" t="s">
        <v>448</v>
      </c>
      <c r="J1910" t="s">
        <v>449</v>
      </c>
      <c r="L1910">
        <v>45672</v>
      </c>
      <c r="M1910" t="s">
        <v>450</v>
      </c>
    </row>
    <row r="1911" spans="1:13" x14ac:dyDescent="0.3">
      <c r="A1911" t="s">
        <v>6691</v>
      </c>
      <c r="B1911" t="s">
        <v>37</v>
      </c>
      <c r="C1911" t="s">
        <v>25</v>
      </c>
      <c r="D1911" t="s">
        <v>207</v>
      </c>
      <c r="E1911">
        <v>3041</v>
      </c>
      <c r="F1911" t="s">
        <v>6692</v>
      </c>
      <c r="G1911" t="s">
        <v>6693</v>
      </c>
      <c r="H1911" t="s">
        <v>6694</v>
      </c>
      <c r="I1911" t="s">
        <v>211</v>
      </c>
      <c r="J1911" t="s">
        <v>14</v>
      </c>
      <c r="L1911">
        <v>45703</v>
      </c>
      <c r="M1911" t="s">
        <v>577</v>
      </c>
    </row>
    <row r="1912" spans="1:13" x14ac:dyDescent="0.3">
      <c r="A1912" t="s">
        <v>6695</v>
      </c>
      <c r="B1912" t="s">
        <v>37</v>
      </c>
      <c r="C1912" t="s">
        <v>24</v>
      </c>
      <c r="D1912" t="s">
        <v>207</v>
      </c>
      <c r="E1912">
        <v>3041</v>
      </c>
      <c r="F1912" t="s">
        <v>6696</v>
      </c>
      <c r="G1912" t="s">
        <v>6697</v>
      </c>
      <c r="H1912" t="s">
        <v>6697</v>
      </c>
      <c r="I1912" t="s">
        <v>211</v>
      </c>
      <c r="J1912" t="s">
        <v>14</v>
      </c>
      <c r="L1912">
        <v>45706</v>
      </c>
      <c r="M1912" t="s">
        <v>212</v>
      </c>
    </row>
    <row r="1913" spans="1:13" x14ac:dyDescent="0.3">
      <c r="A1913" t="s">
        <v>6698</v>
      </c>
      <c r="B1913" t="s">
        <v>46</v>
      </c>
      <c r="C1913" t="s">
        <v>24</v>
      </c>
      <c r="D1913" t="s">
        <v>78</v>
      </c>
      <c r="E1913">
        <v>3035</v>
      </c>
      <c r="F1913" t="s">
        <v>6699</v>
      </c>
      <c r="G1913" t="s">
        <v>6700</v>
      </c>
      <c r="H1913" t="s">
        <v>6700</v>
      </c>
      <c r="I1913" t="s">
        <v>81</v>
      </c>
      <c r="J1913" t="s">
        <v>82</v>
      </c>
      <c r="L1913">
        <v>45728</v>
      </c>
      <c r="M1913" t="s">
        <v>95</v>
      </c>
    </row>
    <row r="1914" spans="1:13" x14ac:dyDescent="0.3">
      <c r="A1914" t="s">
        <v>6701</v>
      </c>
      <c r="B1914" t="s">
        <v>46</v>
      </c>
      <c r="C1914" t="s">
        <v>26</v>
      </c>
      <c r="D1914" t="s">
        <v>444</v>
      </c>
      <c r="E1914">
        <v>3042</v>
      </c>
      <c r="F1914" t="s">
        <v>6702</v>
      </c>
      <c r="G1914" t="s">
        <v>6703</v>
      </c>
      <c r="H1914" t="s">
        <v>6704</v>
      </c>
      <c r="I1914" t="s">
        <v>448</v>
      </c>
      <c r="J1914" t="s">
        <v>449</v>
      </c>
      <c r="L1914">
        <v>45673</v>
      </c>
      <c r="M1914" t="s">
        <v>450</v>
      </c>
    </row>
    <row r="1915" spans="1:13" x14ac:dyDescent="0.3">
      <c r="A1915" t="s">
        <v>6705</v>
      </c>
      <c r="B1915" t="s">
        <v>46</v>
      </c>
      <c r="C1915" t="s">
        <v>24</v>
      </c>
      <c r="D1915" t="s">
        <v>78</v>
      </c>
      <c r="E1915">
        <v>3035</v>
      </c>
      <c r="F1915" t="s">
        <v>6706</v>
      </c>
      <c r="G1915" t="s">
        <v>6707</v>
      </c>
      <c r="H1915" t="s">
        <v>6707</v>
      </c>
      <c r="I1915" t="s">
        <v>81</v>
      </c>
      <c r="J1915" t="s">
        <v>82</v>
      </c>
      <c r="K1915" t="s">
        <v>21</v>
      </c>
      <c r="L1915">
        <v>45733</v>
      </c>
      <c r="M1915" t="s">
        <v>205</v>
      </c>
    </row>
    <row r="1916" spans="1:13" x14ac:dyDescent="0.3">
      <c r="A1916" t="s">
        <v>6708</v>
      </c>
      <c r="B1916" t="s">
        <v>37</v>
      </c>
      <c r="C1916" t="s">
        <v>24</v>
      </c>
      <c r="D1916" t="s">
        <v>47</v>
      </c>
      <c r="E1916">
        <v>3032</v>
      </c>
      <c r="F1916" t="s">
        <v>6709</v>
      </c>
      <c r="G1916" t="s">
        <v>6710</v>
      </c>
      <c r="H1916" t="s">
        <v>6710</v>
      </c>
      <c r="I1916" t="s">
        <v>51</v>
      </c>
      <c r="J1916" t="s">
        <v>52</v>
      </c>
      <c r="K1916" t="s">
        <v>21</v>
      </c>
      <c r="L1916">
        <v>45679</v>
      </c>
      <c r="M1916" t="s">
        <v>261</v>
      </c>
    </row>
    <row r="1917" spans="1:13" x14ac:dyDescent="0.3">
      <c r="A1917" t="s">
        <v>6711</v>
      </c>
      <c r="B1917" t="s">
        <v>46</v>
      </c>
      <c r="C1917" t="s">
        <v>22</v>
      </c>
      <c r="D1917" t="s">
        <v>97</v>
      </c>
      <c r="E1917">
        <v>3036</v>
      </c>
      <c r="F1917" t="s">
        <v>6712</v>
      </c>
      <c r="G1917" t="s">
        <v>6713</v>
      </c>
      <c r="H1917" t="s">
        <v>6714</v>
      </c>
      <c r="I1917" t="s">
        <v>100</v>
      </c>
      <c r="J1917" t="s">
        <v>101</v>
      </c>
      <c r="L1917">
        <v>45683</v>
      </c>
      <c r="M1917" t="s">
        <v>292</v>
      </c>
    </row>
    <row r="1918" spans="1:13" x14ac:dyDescent="0.3">
      <c r="A1918" t="s">
        <v>6715</v>
      </c>
      <c r="B1918" t="s">
        <v>37</v>
      </c>
      <c r="C1918" t="s">
        <v>22</v>
      </c>
      <c r="D1918" t="s">
        <v>104</v>
      </c>
      <c r="E1918">
        <v>3037</v>
      </c>
      <c r="F1918" t="s">
        <v>6716</v>
      </c>
      <c r="G1918" t="s">
        <v>6717</v>
      </c>
      <c r="H1918" t="s">
        <v>6717</v>
      </c>
      <c r="I1918" t="s">
        <v>12</v>
      </c>
      <c r="J1918" t="s">
        <v>13</v>
      </c>
      <c r="L1918">
        <v>45665</v>
      </c>
      <c r="M1918" t="s">
        <v>107</v>
      </c>
    </row>
    <row r="1919" spans="1:13" x14ac:dyDescent="0.3">
      <c r="A1919" t="s">
        <v>6718</v>
      </c>
      <c r="B1919" t="s">
        <v>46</v>
      </c>
      <c r="C1919" t="s">
        <v>25</v>
      </c>
      <c r="D1919" t="s">
        <v>118</v>
      </c>
      <c r="E1919">
        <v>3038</v>
      </c>
      <c r="F1919" t="s">
        <v>6719</v>
      </c>
      <c r="G1919" t="s">
        <v>6720</v>
      </c>
      <c r="H1919" t="s">
        <v>6721</v>
      </c>
      <c r="I1919" t="s">
        <v>122</v>
      </c>
      <c r="J1919" t="s">
        <v>123</v>
      </c>
      <c r="K1919" t="s">
        <v>21</v>
      </c>
      <c r="L1919">
        <v>45706</v>
      </c>
      <c r="M1919" t="s">
        <v>581</v>
      </c>
    </row>
    <row r="1920" spans="1:13" x14ac:dyDescent="0.3">
      <c r="A1920" t="s">
        <v>6722</v>
      </c>
      <c r="B1920" t="s">
        <v>46</v>
      </c>
      <c r="C1920" t="s">
        <v>25</v>
      </c>
      <c r="D1920" t="s">
        <v>191</v>
      </c>
      <c r="E1920">
        <v>3040</v>
      </c>
      <c r="F1920" t="s">
        <v>6723</v>
      </c>
      <c r="G1920" t="s">
        <v>6724</v>
      </c>
      <c r="H1920" t="s">
        <v>6725</v>
      </c>
      <c r="I1920" t="s">
        <v>194</v>
      </c>
      <c r="J1920" t="s">
        <v>13</v>
      </c>
      <c r="L1920">
        <v>45711</v>
      </c>
      <c r="M1920" t="s">
        <v>321</v>
      </c>
    </row>
    <row r="1921" spans="1:13" x14ac:dyDescent="0.3">
      <c r="A1921" t="s">
        <v>6726</v>
      </c>
      <c r="B1921" t="s">
        <v>46</v>
      </c>
      <c r="C1921" t="s">
        <v>25</v>
      </c>
      <c r="D1921" t="s">
        <v>97</v>
      </c>
      <c r="E1921">
        <v>3036</v>
      </c>
      <c r="F1921" t="s">
        <v>1249</v>
      </c>
      <c r="G1921" t="s">
        <v>6727</v>
      </c>
      <c r="H1921" t="s">
        <v>6728</v>
      </c>
      <c r="I1921" t="s">
        <v>100</v>
      </c>
      <c r="J1921" t="s">
        <v>101</v>
      </c>
      <c r="L1921">
        <v>45681</v>
      </c>
      <c r="M1921" t="s">
        <v>65</v>
      </c>
    </row>
    <row r="1922" spans="1:13" x14ac:dyDescent="0.3">
      <c r="A1922" t="s">
        <v>6729</v>
      </c>
      <c r="B1922" t="s">
        <v>37</v>
      </c>
      <c r="C1922" t="s">
        <v>24</v>
      </c>
      <c r="D1922" t="s">
        <v>136</v>
      </c>
      <c r="E1922">
        <v>3039</v>
      </c>
      <c r="F1922" t="s">
        <v>6730</v>
      </c>
      <c r="G1922" t="s">
        <v>6731</v>
      </c>
      <c r="H1922" t="s">
        <v>6732</v>
      </c>
      <c r="I1922" t="s">
        <v>15</v>
      </c>
      <c r="J1922" t="s">
        <v>14</v>
      </c>
      <c r="K1922" t="s">
        <v>21</v>
      </c>
      <c r="L1922">
        <v>45724</v>
      </c>
      <c r="M1922" t="s">
        <v>987</v>
      </c>
    </row>
    <row r="1923" spans="1:13" x14ac:dyDescent="0.3">
      <c r="A1923" t="s">
        <v>6733</v>
      </c>
      <c r="B1923" t="s">
        <v>37</v>
      </c>
      <c r="C1923" t="s">
        <v>25</v>
      </c>
      <c r="D1923" t="s">
        <v>71</v>
      </c>
      <c r="E1923">
        <v>3034</v>
      </c>
      <c r="F1923" t="s">
        <v>6734</v>
      </c>
      <c r="G1923" t="s">
        <v>6735</v>
      </c>
      <c r="H1923" t="s">
        <v>6735</v>
      </c>
      <c r="I1923" t="s">
        <v>74</v>
      </c>
      <c r="J1923" t="s">
        <v>75</v>
      </c>
      <c r="L1923">
        <v>45742</v>
      </c>
      <c r="M1923" t="s">
        <v>112</v>
      </c>
    </row>
    <row r="1924" spans="1:13" x14ac:dyDescent="0.3">
      <c r="A1924" t="s">
        <v>6736</v>
      </c>
      <c r="B1924" t="s">
        <v>46</v>
      </c>
      <c r="C1924" t="s">
        <v>25</v>
      </c>
      <c r="D1924" t="s">
        <v>104</v>
      </c>
      <c r="E1924">
        <v>3037</v>
      </c>
      <c r="F1924" t="s">
        <v>6737</v>
      </c>
      <c r="G1924" t="s">
        <v>6738</v>
      </c>
      <c r="H1924" t="s">
        <v>6738</v>
      </c>
      <c r="I1924" t="s">
        <v>12</v>
      </c>
      <c r="J1924" t="s">
        <v>13</v>
      </c>
      <c r="L1924">
        <v>45660</v>
      </c>
      <c r="M1924" t="s">
        <v>224</v>
      </c>
    </row>
    <row r="1925" spans="1:13" x14ac:dyDescent="0.3">
      <c r="A1925" t="s">
        <v>6739</v>
      </c>
      <c r="B1925" t="s">
        <v>46</v>
      </c>
      <c r="C1925" t="s">
        <v>24</v>
      </c>
      <c r="D1925" t="s">
        <v>444</v>
      </c>
      <c r="E1925">
        <v>3042</v>
      </c>
      <c r="F1925" t="s">
        <v>704</v>
      </c>
      <c r="G1925" t="s">
        <v>6740</v>
      </c>
      <c r="H1925" t="s">
        <v>6740</v>
      </c>
      <c r="I1925" t="s">
        <v>448</v>
      </c>
      <c r="J1925" t="s">
        <v>449</v>
      </c>
      <c r="L1925">
        <v>45703</v>
      </c>
      <c r="M1925" t="s">
        <v>481</v>
      </c>
    </row>
    <row r="1926" spans="1:13" x14ac:dyDescent="0.3">
      <c r="A1926" t="s">
        <v>6741</v>
      </c>
      <c r="B1926" t="s">
        <v>37</v>
      </c>
      <c r="C1926" t="s">
        <v>24</v>
      </c>
      <c r="D1926" t="s">
        <v>71</v>
      </c>
      <c r="E1926">
        <v>3034</v>
      </c>
      <c r="F1926" t="s">
        <v>6742</v>
      </c>
      <c r="G1926" t="s">
        <v>6743</v>
      </c>
      <c r="H1926" t="s">
        <v>6744</v>
      </c>
      <c r="I1926" t="s">
        <v>74</v>
      </c>
      <c r="J1926" t="s">
        <v>75</v>
      </c>
      <c r="K1926" t="s">
        <v>21</v>
      </c>
      <c r="L1926">
        <v>45723</v>
      </c>
      <c r="M1926" t="s">
        <v>205</v>
      </c>
    </row>
    <row r="1927" spans="1:13" x14ac:dyDescent="0.3">
      <c r="A1927" t="s">
        <v>6745</v>
      </c>
      <c r="B1927" t="s">
        <v>37</v>
      </c>
      <c r="C1927" t="s">
        <v>24</v>
      </c>
      <c r="D1927" t="s">
        <v>55</v>
      </c>
      <c r="E1927">
        <v>3033</v>
      </c>
      <c r="F1927" t="s">
        <v>6746</v>
      </c>
      <c r="G1927" t="s">
        <v>6747</v>
      </c>
      <c r="H1927" t="s">
        <v>6748</v>
      </c>
      <c r="I1927" t="s">
        <v>58</v>
      </c>
      <c r="J1927" t="s">
        <v>59</v>
      </c>
      <c r="L1927">
        <v>45739</v>
      </c>
      <c r="M1927" t="s">
        <v>69</v>
      </c>
    </row>
    <row r="1928" spans="1:13" x14ac:dyDescent="0.3">
      <c r="A1928" t="s">
        <v>6749</v>
      </c>
      <c r="B1928" t="s">
        <v>46</v>
      </c>
      <c r="C1928" t="s">
        <v>26</v>
      </c>
      <c r="D1928" t="s">
        <v>47</v>
      </c>
      <c r="E1928">
        <v>3032</v>
      </c>
      <c r="F1928" t="s">
        <v>6750</v>
      </c>
      <c r="G1928" t="s">
        <v>6751</v>
      </c>
      <c r="H1928" t="s">
        <v>6752</v>
      </c>
      <c r="I1928" t="s">
        <v>51</v>
      </c>
      <c r="J1928" t="s">
        <v>52</v>
      </c>
      <c r="K1928" t="s">
        <v>21</v>
      </c>
      <c r="L1928">
        <v>45734</v>
      </c>
      <c r="M1928" t="s">
        <v>542</v>
      </c>
    </row>
    <row r="1929" spans="1:13" x14ac:dyDescent="0.3">
      <c r="A1929" t="s">
        <v>6753</v>
      </c>
      <c r="B1929" t="s">
        <v>46</v>
      </c>
      <c r="C1929" t="s">
        <v>24</v>
      </c>
      <c r="D1929" t="s">
        <v>97</v>
      </c>
      <c r="E1929">
        <v>3036</v>
      </c>
      <c r="F1929" t="s">
        <v>6754</v>
      </c>
      <c r="G1929" t="s">
        <v>6755</v>
      </c>
      <c r="H1929" t="s">
        <v>6755</v>
      </c>
      <c r="I1929" t="s">
        <v>100</v>
      </c>
      <c r="J1929" t="s">
        <v>101</v>
      </c>
      <c r="L1929">
        <v>45676</v>
      </c>
      <c r="M1929" t="s">
        <v>128</v>
      </c>
    </row>
    <row r="1930" spans="1:13" x14ac:dyDescent="0.3">
      <c r="A1930" t="s">
        <v>6756</v>
      </c>
      <c r="B1930" t="s">
        <v>46</v>
      </c>
      <c r="C1930" t="s">
        <v>22</v>
      </c>
      <c r="D1930" t="s">
        <v>191</v>
      </c>
      <c r="E1930">
        <v>3040</v>
      </c>
      <c r="F1930" t="s">
        <v>6757</v>
      </c>
      <c r="G1930" t="s">
        <v>6758</v>
      </c>
      <c r="H1930" t="s">
        <v>6758</v>
      </c>
      <c r="I1930" t="s">
        <v>194</v>
      </c>
      <c r="J1930" t="s">
        <v>13</v>
      </c>
      <c r="L1930">
        <v>45696</v>
      </c>
      <c r="M1930" t="s">
        <v>195</v>
      </c>
    </row>
    <row r="1931" spans="1:13" x14ac:dyDescent="0.3">
      <c r="A1931" t="s">
        <v>6759</v>
      </c>
      <c r="B1931" t="s">
        <v>46</v>
      </c>
      <c r="C1931" t="s">
        <v>22</v>
      </c>
      <c r="D1931" t="s">
        <v>47</v>
      </c>
      <c r="E1931">
        <v>3032</v>
      </c>
      <c r="F1931" t="s">
        <v>1704</v>
      </c>
      <c r="G1931" t="s">
        <v>6760</v>
      </c>
      <c r="H1931" t="s">
        <v>6760</v>
      </c>
      <c r="I1931" t="s">
        <v>51</v>
      </c>
      <c r="J1931" t="s">
        <v>52</v>
      </c>
      <c r="L1931">
        <v>45725</v>
      </c>
      <c r="M1931" t="s">
        <v>177</v>
      </c>
    </row>
    <row r="1932" spans="1:13" x14ac:dyDescent="0.3">
      <c r="A1932" t="s">
        <v>6761</v>
      </c>
      <c r="B1932" t="s">
        <v>46</v>
      </c>
      <c r="C1932" t="s">
        <v>26</v>
      </c>
      <c r="D1932" t="s">
        <v>38</v>
      </c>
      <c r="E1932">
        <v>3031</v>
      </c>
      <c r="F1932" t="s">
        <v>6762</v>
      </c>
      <c r="G1932" t="s">
        <v>6763</v>
      </c>
      <c r="H1932" t="s">
        <v>6763</v>
      </c>
      <c r="I1932" t="s">
        <v>42</v>
      </c>
      <c r="J1932" t="s">
        <v>43</v>
      </c>
      <c r="L1932">
        <v>45658</v>
      </c>
      <c r="M1932" t="s">
        <v>128</v>
      </c>
    </row>
    <row r="1933" spans="1:13" x14ac:dyDescent="0.3">
      <c r="A1933" t="s">
        <v>6764</v>
      </c>
      <c r="B1933" t="s">
        <v>37</v>
      </c>
      <c r="C1933" t="s">
        <v>25</v>
      </c>
      <c r="D1933" t="s">
        <v>136</v>
      </c>
      <c r="E1933">
        <v>3039</v>
      </c>
      <c r="F1933" t="s">
        <v>1615</v>
      </c>
      <c r="G1933" t="s">
        <v>6765</v>
      </c>
      <c r="H1933" t="s">
        <v>6766</v>
      </c>
      <c r="I1933" t="s">
        <v>15</v>
      </c>
      <c r="J1933" t="s">
        <v>14</v>
      </c>
      <c r="K1933" t="s">
        <v>21</v>
      </c>
      <c r="L1933">
        <v>45718</v>
      </c>
      <c r="M1933" t="s">
        <v>577</v>
      </c>
    </row>
    <row r="1934" spans="1:13" x14ac:dyDescent="0.3">
      <c r="A1934" t="s">
        <v>6767</v>
      </c>
      <c r="B1934" t="s">
        <v>46</v>
      </c>
      <c r="C1934" t="s">
        <v>26</v>
      </c>
      <c r="D1934" t="s">
        <v>191</v>
      </c>
      <c r="E1934">
        <v>3040</v>
      </c>
      <c r="F1934" t="s">
        <v>6768</v>
      </c>
      <c r="G1934" t="s">
        <v>6769</v>
      </c>
      <c r="H1934" t="s">
        <v>6769</v>
      </c>
      <c r="I1934" t="s">
        <v>194</v>
      </c>
      <c r="J1934" t="s">
        <v>13</v>
      </c>
      <c r="L1934">
        <v>45746</v>
      </c>
      <c r="M1934" t="s">
        <v>224</v>
      </c>
    </row>
    <row r="1935" spans="1:13" x14ac:dyDescent="0.3">
      <c r="A1935" t="s">
        <v>6770</v>
      </c>
      <c r="B1935" t="s">
        <v>46</v>
      </c>
      <c r="C1935" t="s">
        <v>22</v>
      </c>
      <c r="D1935" t="s">
        <v>104</v>
      </c>
      <c r="E1935">
        <v>3037</v>
      </c>
      <c r="F1935" t="s">
        <v>6771</v>
      </c>
      <c r="G1935" t="s">
        <v>6772</v>
      </c>
      <c r="H1935" t="s">
        <v>6772</v>
      </c>
      <c r="I1935" t="s">
        <v>12</v>
      </c>
      <c r="J1935" t="s">
        <v>13</v>
      </c>
      <c r="L1935">
        <v>45746</v>
      </c>
      <c r="M1935" t="s">
        <v>76</v>
      </c>
    </row>
    <row r="1936" spans="1:13" x14ac:dyDescent="0.3">
      <c r="A1936" t="s">
        <v>6773</v>
      </c>
      <c r="B1936" t="s">
        <v>37</v>
      </c>
      <c r="C1936" t="s">
        <v>22</v>
      </c>
      <c r="D1936" t="s">
        <v>71</v>
      </c>
      <c r="E1936">
        <v>3034</v>
      </c>
      <c r="F1936" t="s">
        <v>6774</v>
      </c>
      <c r="G1936" t="s">
        <v>6775</v>
      </c>
      <c r="H1936" t="s">
        <v>6776</v>
      </c>
      <c r="I1936" t="s">
        <v>74</v>
      </c>
      <c r="J1936" t="s">
        <v>75</v>
      </c>
      <c r="K1936" t="s">
        <v>21</v>
      </c>
      <c r="L1936">
        <v>45680</v>
      </c>
      <c r="M1936" t="s">
        <v>76</v>
      </c>
    </row>
    <row r="1937" spans="1:13" x14ac:dyDescent="0.3">
      <c r="A1937" t="s">
        <v>6777</v>
      </c>
      <c r="B1937" t="s">
        <v>46</v>
      </c>
      <c r="C1937" t="s">
        <v>24</v>
      </c>
      <c r="D1937" t="s">
        <v>118</v>
      </c>
      <c r="E1937">
        <v>3038</v>
      </c>
      <c r="F1937" t="s">
        <v>6778</v>
      </c>
      <c r="G1937" t="s">
        <v>6779</v>
      </c>
      <c r="H1937" t="s">
        <v>6779</v>
      </c>
      <c r="I1937" t="s">
        <v>122</v>
      </c>
      <c r="J1937" t="s">
        <v>123</v>
      </c>
      <c r="L1937">
        <v>45732</v>
      </c>
      <c r="M1937" t="s">
        <v>200</v>
      </c>
    </row>
    <row r="1938" spans="1:13" x14ac:dyDescent="0.3">
      <c r="A1938" t="s">
        <v>6780</v>
      </c>
      <c r="B1938" t="s">
        <v>37</v>
      </c>
      <c r="C1938" t="s">
        <v>25</v>
      </c>
      <c r="D1938" t="s">
        <v>55</v>
      </c>
      <c r="E1938">
        <v>3033</v>
      </c>
      <c r="F1938" t="s">
        <v>6781</v>
      </c>
      <c r="G1938" t="s">
        <v>6782</v>
      </c>
      <c r="H1938" t="s">
        <v>6783</v>
      </c>
      <c r="I1938" t="s">
        <v>58</v>
      </c>
      <c r="J1938" t="s">
        <v>59</v>
      </c>
      <c r="K1938" t="s">
        <v>21</v>
      </c>
      <c r="L1938">
        <v>45671</v>
      </c>
      <c r="M1938" t="s">
        <v>69</v>
      </c>
    </row>
    <row r="1939" spans="1:13" x14ac:dyDescent="0.3">
      <c r="A1939" t="s">
        <v>6784</v>
      </c>
      <c r="B1939" t="s">
        <v>37</v>
      </c>
      <c r="C1939" t="s">
        <v>25</v>
      </c>
      <c r="D1939" t="s">
        <v>118</v>
      </c>
      <c r="E1939">
        <v>3038</v>
      </c>
      <c r="F1939" t="s">
        <v>6785</v>
      </c>
      <c r="G1939" t="s">
        <v>6786</v>
      </c>
      <c r="H1939" t="s">
        <v>6787</v>
      </c>
      <c r="I1939" t="s">
        <v>122</v>
      </c>
      <c r="J1939" t="s">
        <v>123</v>
      </c>
      <c r="L1939">
        <v>45732</v>
      </c>
      <c r="M1939" t="s">
        <v>200</v>
      </c>
    </row>
    <row r="1940" spans="1:13" x14ac:dyDescent="0.3">
      <c r="A1940" t="s">
        <v>6788</v>
      </c>
      <c r="B1940" t="s">
        <v>46</v>
      </c>
      <c r="C1940" t="s">
        <v>22</v>
      </c>
      <c r="D1940" t="s">
        <v>191</v>
      </c>
      <c r="E1940">
        <v>3040</v>
      </c>
      <c r="F1940" t="s">
        <v>6789</v>
      </c>
      <c r="G1940" t="s">
        <v>6790</v>
      </c>
      <c r="H1940" t="s">
        <v>6791</v>
      </c>
      <c r="I1940" t="s">
        <v>194</v>
      </c>
      <c r="J1940" t="s">
        <v>13</v>
      </c>
      <c r="K1940" t="s">
        <v>21</v>
      </c>
      <c r="L1940">
        <v>45673</v>
      </c>
      <c r="M1940" t="s">
        <v>321</v>
      </c>
    </row>
    <row r="1941" spans="1:13" x14ac:dyDescent="0.3">
      <c r="A1941" t="s">
        <v>6792</v>
      </c>
      <c r="B1941" t="s">
        <v>37</v>
      </c>
      <c r="C1941" t="s">
        <v>25</v>
      </c>
      <c r="D1941" t="s">
        <v>207</v>
      </c>
      <c r="E1941">
        <v>3041</v>
      </c>
      <c r="F1941" t="s">
        <v>6793</v>
      </c>
      <c r="G1941" t="s">
        <v>6794</v>
      </c>
      <c r="H1941" t="s">
        <v>6795</v>
      </c>
      <c r="I1941" t="s">
        <v>211</v>
      </c>
      <c r="J1941" t="s">
        <v>14</v>
      </c>
      <c r="K1941" t="s">
        <v>21</v>
      </c>
      <c r="L1941">
        <v>45733</v>
      </c>
      <c r="M1941" t="s">
        <v>577</v>
      </c>
    </row>
    <row r="1942" spans="1:13" x14ac:dyDescent="0.3">
      <c r="A1942" t="s">
        <v>6796</v>
      </c>
      <c r="B1942" t="s">
        <v>46</v>
      </c>
      <c r="C1942" t="s">
        <v>22</v>
      </c>
      <c r="D1942" t="s">
        <v>136</v>
      </c>
      <c r="E1942">
        <v>3039</v>
      </c>
      <c r="F1942" t="s">
        <v>6797</v>
      </c>
      <c r="G1942" t="s">
        <v>6798</v>
      </c>
      <c r="H1942" t="s">
        <v>6798</v>
      </c>
      <c r="I1942" t="s">
        <v>15</v>
      </c>
      <c r="J1942" t="s">
        <v>14</v>
      </c>
      <c r="L1942">
        <v>45738</v>
      </c>
      <c r="M1942" t="s">
        <v>987</v>
      </c>
    </row>
    <row r="1943" spans="1:13" x14ac:dyDescent="0.3">
      <c r="A1943" t="s">
        <v>6799</v>
      </c>
      <c r="B1943" t="s">
        <v>37</v>
      </c>
      <c r="C1943" t="s">
        <v>25</v>
      </c>
      <c r="D1943" t="s">
        <v>104</v>
      </c>
      <c r="E1943">
        <v>3037</v>
      </c>
      <c r="F1943" t="s">
        <v>6800</v>
      </c>
      <c r="G1943" t="s">
        <v>6801</v>
      </c>
      <c r="H1943" t="s">
        <v>6801</v>
      </c>
      <c r="I1943" t="s">
        <v>12</v>
      </c>
      <c r="J1943" t="s">
        <v>13</v>
      </c>
      <c r="L1943">
        <v>45679</v>
      </c>
      <c r="M1943" t="s">
        <v>287</v>
      </c>
    </row>
    <row r="1944" spans="1:13" x14ac:dyDescent="0.3">
      <c r="A1944" t="s">
        <v>6802</v>
      </c>
      <c r="B1944" t="s">
        <v>46</v>
      </c>
      <c r="C1944" t="s">
        <v>25</v>
      </c>
      <c r="D1944" t="s">
        <v>71</v>
      </c>
      <c r="E1944">
        <v>3034</v>
      </c>
      <c r="F1944" t="s">
        <v>6803</v>
      </c>
      <c r="G1944" t="s">
        <v>6804</v>
      </c>
      <c r="H1944" t="s">
        <v>6804</v>
      </c>
      <c r="I1944" t="s">
        <v>74</v>
      </c>
      <c r="J1944" t="s">
        <v>75</v>
      </c>
      <c r="L1944">
        <v>45706</v>
      </c>
      <c r="M1944" t="s">
        <v>112</v>
      </c>
    </row>
    <row r="1945" spans="1:13" x14ac:dyDescent="0.3">
      <c r="A1945" t="s">
        <v>6805</v>
      </c>
      <c r="B1945" t="s">
        <v>46</v>
      </c>
      <c r="C1945" t="s">
        <v>24</v>
      </c>
      <c r="D1945" t="s">
        <v>97</v>
      </c>
      <c r="E1945">
        <v>3036</v>
      </c>
      <c r="F1945" t="s">
        <v>6806</v>
      </c>
      <c r="G1945" t="s">
        <v>6807</v>
      </c>
      <c r="H1945" t="s">
        <v>6807</v>
      </c>
      <c r="I1945" t="s">
        <v>100</v>
      </c>
      <c r="J1945" t="s">
        <v>101</v>
      </c>
      <c r="L1945">
        <v>45672</v>
      </c>
      <c r="M1945" t="s">
        <v>65</v>
      </c>
    </row>
    <row r="1946" spans="1:13" x14ac:dyDescent="0.3">
      <c r="A1946" t="s">
        <v>6808</v>
      </c>
      <c r="B1946" t="s">
        <v>46</v>
      </c>
      <c r="C1946" t="s">
        <v>26</v>
      </c>
      <c r="D1946" t="s">
        <v>71</v>
      </c>
      <c r="E1946">
        <v>3034</v>
      </c>
      <c r="F1946" t="s">
        <v>6809</v>
      </c>
      <c r="G1946" t="s">
        <v>6810</v>
      </c>
      <c r="H1946" t="s">
        <v>6810</v>
      </c>
      <c r="I1946" t="s">
        <v>74</v>
      </c>
      <c r="J1946" t="s">
        <v>75</v>
      </c>
      <c r="L1946">
        <v>45721</v>
      </c>
      <c r="M1946" t="s">
        <v>112</v>
      </c>
    </row>
    <row r="1947" spans="1:13" x14ac:dyDescent="0.3">
      <c r="A1947" t="s">
        <v>6811</v>
      </c>
      <c r="B1947" t="s">
        <v>46</v>
      </c>
      <c r="C1947" t="s">
        <v>26</v>
      </c>
      <c r="D1947" t="s">
        <v>118</v>
      </c>
      <c r="E1947">
        <v>3038</v>
      </c>
      <c r="F1947" t="s">
        <v>6812</v>
      </c>
      <c r="G1947" t="s">
        <v>6813</v>
      </c>
      <c r="H1947" t="s">
        <v>6814</v>
      </c>
      <c r="I1947" t="s">
        <v>122</v>
      </c>
      <c r="J1947" t="s">
        <v>123</v>
      </c>
      <c r="K1947" t="s">
        <v>21</v>
      </c>
      <c r="L1947">
        <v>45704</v>
      </c>
      <c r="M1947" t="s">
        <v>124</v>
      </c>
    </row>
    <row r="1948" spans="1:13" x14ac:dyDescent="0.3">
      <c r="A1948" t="s">
        <v>6815</v>
      </c>
      <c r="B1948" t="s">
        <v>37</v>
      </c>
      <c r="C1948" t="s">
        <v>26</v>
      </c>
      <c r="D1948" t="s">
        <v>38</v>
      </c>
      <c r="E1948">
        <v>3031</v>
      </c>
      <c r="F1948" t="s">
        <v>6816</v>
      </c>
      <c r="G1948" t="s">
        <v>6817</v>
      </c>
      <c r="H1948" t="s">
        <v>6818</v>
      </c>
      <c r="I1948" t="s">
        <v>42</v>
      </c>
      <c r="J1948" t="s">
        <v>43</v>
      </c>
      <c r="L1948">
        <v>45697</v>
      </c>
      <c r="M1948" t="s">
        <v>287</v>
      </c>
    </row>
    <row r="1949" spans="1:13" x14ac:dyDescent="0.3">
      <c r="A1949" t="s">
        <v>6819</v>
      </c>
      <c r="B1949" t="s">
        <v>37</v>
      </c>
      <c r="C1949" t="s">
        <v>24</v>
      </c>
      <c r="D1949" t="s">
        <v>136</v>
      </c>
      <c r="E1949">
        <v>3039</v>
      </c>
      <c r="F1949" t="s">
        <v>6820</v>
      </c>
      <c r="G1949" t="s">
        <v>6821</v>
      </c>
      <c r="H1949" t="s">
        <v>6822</v>
      </c>
      <c r="I1949" t="s">
        <v>15</v>
      </c>
      <c r="J1949" t="s">
        <v>14</v>
      </c>
      <c r="L1949">
        <v>45733</v>
      </c>
      <c r="M1949" t="s">
        <v>389</v>
      </c>
    </row>
    <row r="1950" spans="1:13" x14ac:dyDescent="0.3">
      <c r="A1950" t="s">
        <v>6823</v>
      </c>
      <c r="B1950" t="s">
        <v>46</v>
      </c>
      <c r="C1950" t="s">
        <v>22</v>
      </c>
      <c r="D1950" t="s">
        <v>104</v>
      </c>
      <c r="E1950">
        <v>3037</v>
      </c>
      <c r="F1950" t="s">
        <v>6824</v>
      </c>
      <c r="G1950" t="s">
        <v>6825</v>
      </c>
      <c r="H1950" t="s">
        <v>6825</v>
      </c>
      <c r="I1950" t="s">
        <v>12</v>
      </c>
      <c r="J1950" t="s">
        <v>13</v>
      </c>
      <c r="L1950">
        <v>45745</v>
      </c>
      <c r="M1950" t="s">
        <v>107</v>
      </c>
    </row>
    <row r="1951" spans="1:13" x14ac:dyDescent="0.3">
      <c r="A1951" t="s">
        <v>6826</v>
      </c>
      <c r="B1951" t="s">
        <v>46</v>
      </c>
      <c r="C1951" t="s">
        <v>25</v>
      </c>
      <c r="D1951" t="s">
        <v>38</v>
      </c>
      <c r="E1951">
        <v>3031</v>
      </c>
      <c r="F1951" t="s">
        <v>6827</v>
      </c>
      <c r="G1951" t="s">
        <v>6828</v>
      </c>
      <c r="H1951" t="s">
        <v>6829</v>
      </c>
      <c r="I1951" t="s">
        <v>42</v>
      </c>
      <c r="J1951" t="s">
        <v>43</v>
      </c>
      <c r="L1951">
        <v>45729</v>
      </c>
      <c r="M1951" t="s">
        <v>128</v>
      </c>
    </row>
    <row r="1952" spans="1:13" x14ac:dyDescent="0.3">
      <c r="A1952" t="s">
        <v>6830</v>
      </c>
      <c r="B1952" t="s">
        <v>46</v>
      </c>
      <c r="C1952" t="s">
        <v>22</v>
      </c>
      <c r="D1952" t="s">
        <v>136</v>
      </c>
      <c r="E1952">
        <v>3039</v>
      </c>
      <c r="F1952" t="s">
        <v>6831</v>
      </c>
      <c r="G1952" t="s">
        <v>6832</v>
      </c>
      <c r="H1952" t="s">
        <v>6833</v>
      </c>
      <c r="I1952" t="s">
        <v>15</v>
      </c>
      <c r="J1952" t="s">
        <v>14</v>
      </c>
      <c r="K1952" t="s">
        <v>21</v>
      </c>
      <c r="L1952">
        <v>45681</v>
      </c>
      <c r="M1952" t="s">
        <v>200</v>
      </c>
    </row>
    <row r="1953" spans="1:13" x14ac:dyDescent="0.3">
      <c r="A1953" t="s">
        <v>6834</v>
      </c>
      <c r="B1953" t="s">
        <v>46</v>
      </c>
      <c r="C1953" t="s">
        <v>25</v>
      </c>
      <c r="D1953" t="s">
        <v>97</v>
      </c>
      <c r="E1953">
        <v>3036</v>
      </c>
      <c r="F1953" t="s">
        <v>6835</v>
      </c>
      <c r="G1953" t="s">
        <v>6836</v>
      </c>
      <c r="H1953" t="s">
        <v>6836</v>
      </c>
      <c r="I1953" t="s">
        <v>100</v>
      </c>
      <c r="J1953" t="s">
        <v>101</v>
      </c>
      <c r="K1953" t="s">
        <v>21</v>
      </c>
      <c r="L1953">
        <v>45675</v>
      </c>
      <c r="M1953" t="s">
        <v>165</v>
      </c>
    </row>
    <row r="1954" spans="1:13" x14ac:dyDescent="0.3">
      <c r="A1954" t="s">
        <v>6837</v>
      </c>
      <c r="B1954" t="s">
        <v>37</v>
      </c>
      <c r="C1954" t="s">
        <v>24</v>
      </c>
      <c r="D1954" t="s">
        <v>207</v>
      </c>
      <c r="E1954">
        <v>3041</v>
      </c>
      <c r="F1954" t="s">
        <v>6838</v>
      </c>
      <c r="G1954" t="s">
        <v>6839</v>
      </c>
      <c r="H1954" t="s">
        <v>6839</v>
      </c>
      <c r="I1954" t="s">
        <v>211</v>
      </c>
      <c r="J1954" t="s">
        <v>14</v>
      </c>
      <c r="K1954" t="s">
        <v>21</v>
      </c>
      <c r="L1954">
        <v>45699</v>
      </c>
      <c r="M1954" t="s">
        <v>300</v>
      </c>
    </row>
    <row r="1955" spans="1:13" x14ac:dyDescent="0.3">
      <c r="A1955" t="s">
        <v>6840</v>
      </c>
      <c r="B1955" t="s">
        <v>46</v>
      </c>
      <c r="C1955" t="s">
        <v>22</v>
      </c>
      <c r="D1955" t="s">
        <v>78</v>
      </c>
      <c r="E1955">
        <v>3035</v>
      </c>
      <c r="F1955" t="s">
        <v>6841</v>
      </c>
      <c r="G1955" t="s">
        <v>6842</v>
      </c>
      <c r="H1955" t="s">
        <v>6843</v>
      </c>
      <c r="I1955" t="s">
        <v>81</v>
      </c>
      <c r="J1955" t="s">
        <v>82</v>
      </c>
      <c r="L1955">
        <v>45684</v>
      </c>
      <c r="M1955" t="s">
        <v>489</v>
      </c>
    </row>
    <row r="1956" spans="1:13" x14ac:dyDescent="0.3">
      <c r="A1956" t="s">
        <v>6844</v>
      </c>
      <c r="B1956" t="s">
        <v>46</v>
      </c>
      <c r="C1956" t="s">
        <v>25</v>
      </c>
      <c r="D1956" t="s">
        <v>118</v>
      </c>
      <c r="E1956">
        <v>3038</v>
      </c>
      <c r="F1956" t="s">
        <v>353</v>
      </c>
      <c r="G1956" t="s">
        <v>6845</v>
      </c>
      <c r="H1956" t="s">
        <v>6846</v>
      </c>
      <c r="I1956" t="s">
        <v>122</v>
      </c>
      <c r="J1956" t="s">
        <v>123</v>
      </c>
      <c r="K1956" t="s">
        <v>21</v>
      </c>
      <c r="L1956">
        <v>45676</v>
      </c>
      <c r="M1956" t="s">
        <v>200</v>
      </c>
    </row>
    <row r="1957" spans="1:13" x14ac:dyDescent="0.3">
      <c r="A1957" t="s">
        <v>6847</v>
      </c>
      <c r="B1957" t="s">
        <v>46</v>
      </c>
      <c r="C1957" t="s">
        <v>24</v>
      </c>
      <c r="D1957" t="s">
        <v>47</v>
      </c>
      <c r="E1957">
        <v>3032</v>
      </c>
      <c r="F1957" t="s">
        <v>6848</v>
      </c>
      <c r="G1957" t="s">
        <v>6849</v>
      </c>
      <c r="H1957" t="s">
        <v>6849</v>
      </c>
      <c r="I1957" t="s">
        <v>51</v>
      </c>
      <c r="J1957" t="s">
        <v>52</v>
      </c>
      <c r="L1957">
        <v>45738</v>
      </c>
      <c r="M1957" t="s">
        <v>212</v>
      </c>
    </row>
    <row r="1958" spans="1:13" x14ac:dyDescent="0.3">
      <c r="A1958" t="s">
        <v>6850</v>
      </c>
      <c r="B1958" t="s">
        <v>37</v>
      </c>
      <c r="C1958" t="s">
        <v>24</v>
      </c>
      <c r="D1958" t="s">
        <v>38</v>
      </c>
      <c r="E1958">
        <v>3031</v>
      </c>
      <c r="F1958" t="s">
        <v>6851</v>
      </c>
      <c r="G1958" t="s">
        <v>6852</v>
      </c>
      <c r="H1958" t="s">
        <v>6852</v>
      </c>
      <c r="I1958" t="s">
        <v>42</v>
      </c>
      <c r="J1958" t="s">
        <v>43</v>
      </c>
      <c r="K1958" t="s">
        <v>21</v>
      </c>
      <c r="L1958">
        <v>45676</v>
      </c>
      <c r="M1958" t="s">
        <v>420</v>
      </c>
    </row>
    <row r="1959" spans="1:13" x14ac:dyDescent="0.3">
      <c r="A1959" t="s">
        <v>6853</v>
      </c>
      <c r="B1959" t="s">
        <v>37</v>
      </c>
      <c r="C1959" t="s">
        <v>24</v>
      </c>
      <c r="D1959" t="s">
        <v>47</v>
      </c>
      <c r="E1959">
        <v>3032</v>
      </c>
      <c r="F1959" t="s">
        <v>6854</v>
      </c>
      <c r="G1959" t="s">
        <v>6855</v>
      </c>
      <c r="H1959" t="s">
        <v>6855</v>
      </c>
      <c r="I1959" t="s">
        <v>51</v>
      </c>
      <c r="J1959" t="s">
        <v>52</v>
      </c>
      <c r="K1959" t="s">
        <v>21</v>
      </c>
      <c r="L1959">
        <v>45739</v>
      </c>
      <c r="M1959" t="s">
        <v>476</v>
      </c>
    </row>
    <row r="1960" spans="1:13" x14ac:dyDescent="0.3">
      <c r="A1960" t="s">
        <v>6856</v>
      </c>
      <c r="B1960" t="s">
        <v>37</v>
      </c>
      <c r="C1960" t="s">
        <v>26</v>
      </c>
      <c r="D1960" t="s">
        <v>136</v>
      </c>
      <c r="E1960">
        <v>3039</v>
      </c>
      <c r="F1960" t="s">
        <v>6857</v>
      </c>
      <c r="G1960" t="s">
        <v>6858</v>
      </c>
      <c r="H1960" t="s">
        <v>6858</v>
      </c>
      <c r="I1960" t="s">
        <v>15</v>
      </c>
      <c r="J1960" t="s">
        <v>14</v>
      </c>
      <c r="L1960">
        <v>45733</v>
      </c>
      <c r="M1960" t="s">
        <v>389</v>
      </c>
    </row>
    <row r="1961" spans="1:13" x14ac:dyDescent="0.3">
      <c r="A1961" t="s">
        <v>6859</v>
      </c>
      <c r="B1961" t="s">
        <v>46</v>
      </c>
      <c r="C1961" t="s">
        <v>22</v>
      </c>
      <c r="D1961" t="s">
        <v>71</v>
      </c>
      <c r="E1961">
        <v>3034</v>
      </c>
      <c r="F1961" t="s">
        <v>6860</v>
      </c>
      <c r="G1961" t="s">
        <v>6861</v>
      </c>
      <c r="H1961" t="s">
        <v>6861</v>
      </c>
      <c r="I1961" t="s">
        <v>74</v>
      </c>
      <c r="J1961" t="s">
        <v>75</v>
      </c>
      <c r="L1961">
        <v>45673</v>
      </c>
      <c r="M1961" t="s">
        <v>205</v>
      </c>
    </row>
    <row r="1962" spans="1:13" x14ac:dyDescent="0.3">
      <c r="A1962" t="s">
        <v>6862</v>
      </c>
      <c r="B1962" t="s">
        <v>37</v>
      </c>
      <c r="C1962" t="s">
        <v>22</v>
      </c>
      <c r="D1962" t="s">
        <v>136</v>
      </c>
      <c r="E1962">
        <v>3039</v>
      </c>
      <c r="F1962" t="s">
        <v>6863</v>
      </c>
      <c r="G1962" t="s">
        <v>6864</v>
      </c>
      <c r="H1962" t="s">
        <v>6865</v>
      </c>
      <c r="I1962" t="s">
        <v>15</v>
      </c>
      <c r="J1962" t="s">
        <v>14</v>
      </c>
      <c r="L1962">
        <v>45673</v>
      </c>
      <c r="M1962" t="s">
        <v>140</v>
      </c>
    </row>
    <row r="1963" spans="1:13" x14ac:dyDescent="0.3">
      <c r="A1963" t="s">
        <v>6866</v>
      </c>
      <c r="B1963" t="s">
        <v>46</v>
      </c>
      <c r="C1963" t="s">
        <v>24</v>
      </c>
      <c r="D1963" t="s">
        <v>207</v>
      </c>
      <c r="E1963">
        <v>3041</v>
      </c>
      <c r="F1963" t="s">
        <v>6867</v>
      </c>
      <c r="G1963" t="s">
        <v>6868</v>
      </c>
      <c r="H1963" t="s">
        <v>6869</v>
      </c>
      <c r="I1963" t="s">
        <v>211</v>
      </c>
      <c r="J1963" t="s">
        <v>14</v>
      </c>
      <c r="L1963">
        <v>45727</v>
      </c>
      <c r="M1963" t="s">
        <v>394</v>
      </c>
    </row>
    <row r="1964" spans="1:13" x14ac:dyDescent="0.3">
      <c r="A1964" t="s">
        <v>6870</v>
      </c>
      <c r="B1964" t="s">
        <v>37</v>
      </c>
      <c r="C1964" t="s">
        <v>26</v>
      </c>
      <c r="D1964" t="s">
        <v>38</v>
      </c>
      <c r="E1964">
        <v>3031</v>
      </c>
      <c r="F1964" t="s">
        <v>6871</v>
      </c>
      <c r="G1964" t="s">
        <v>6872</v>
      </c>
      <c r="H1964" t="s">
        <v>6873</v>
      </c>
      <c r="I1964" t="s">
        <v>42</v>
      </c>
      <c r="J1964" t="s">
        <v>43</v>
      </c>
      <c r="L1964">
        <v>45715</v>
      </c>
      <c r="M1964" t="s">
        <v>76</v>
      </c>
    </row>
    <row r="1965" spans="1:13" x14ac:dyDescent="0.3">
      <c r="A1965" t="s">
        <v>6874</v>
      </c>
      <c r="B1965" t="s">
        <v>46</v>
      </c>
      <c r="C1965" t="s">
        <v>24</v>
      </c>
      <c r="D1965" t="s">
        <v>47</v>
      </c>
      <c r="E1965">
        <v>3032</v>
      </c>
      <c r="F1965" t="s">
        <v>6875</v>
      </c>
      <c r="G1965" t="s">
        <v>6876</v>
      </c>
      <c r="H1965" t="s">
        <v>6876</v>
      </c>
      <c r="I1965" t="s">
        <v>51</v>
      </c>
      <c r="J1965" t="s">
        <v>52</v>
      </c>
      <c r="L1965">
        <v>45730</v>
      </c>
      <c r="M1965" t="s">
        <v>212</v>
      </c>
    </row>
    <row r="1966" spans="1:13" x14ac:dyDescent="0.3">
      <c r="A1966" t="s">
        <v>6877</v>
      </c>
      <c r="B1966" t="s">
        <v>37</v>
      </c>
      <c r="C1966" t="s">
        <v>26</v>
      </c>
      <c r="D1966" t="s">
        <v>118</v>
      </c>
      <c r="E1966">
        <v>3038</v>
      </c>
      <c r="F1966" t="s">
        <v>6878</v>
      </c>
      <c r="G1966" t="s">
        <v>6879</v>
      </c>
      <c r="H1966" t="s">
        <v>6880</v>
      </c>
      <c r="I1966" t="s">
        <v>122</v>
      </c>
      <c r="J1966" t="s">
        <v>123</v>
      </c>
      <c r="L1966">
        <v>45674</v>
      </c>
      <c r="M1966" t="s">
        <v>581</v>
      </c>
    </row>
    <row r="1967" spans="1:13" x14ac:dyDescent="0.3">
      <c r="A1967" t="s">
        <v>6881</v>
      </c>
      <c r="B1967" t="s">
        <v>46</v>
      </c>
      <c r="C1967" t="s">
        <v>25</v>
      </c>
      <c r="D1967" t="s">
        <v>55</v>
      </c>
      <c r="E1967">
        <v>3033</v>
      </c>
      <c r="F1967" t="s">
        <v>6882</v>
      </c>
      <c r="G1967" t="s">
        <v>6883</v>
      </c>
      <c r="H1967" t="s">
        <v>6884</v>
      </c>
      <c r="I1967" t="s">
        <v>58</v>
      </c>
      <c r="J1967" t="s">
        <v>59</v>
      </c>
      <c r="K1967" t="s">
        <v>21</v>
      </c>
      <c r="L1967">
        <v>45714</v>
      </c>
      <c r="M1967" t="s">
        <v>60</v>
      </c>
    </row>
    <row r="1968" spans="1:13" x14ac:dyDescent="0.3">
      <c r="A1968" t="s">
        <v>6885</v>
      </c>
      <c r="B1968" t="s">
        <v>37</v>
      </c>
      <c r="C1968" t="s">
        <v>25</v>
      </c>
      <c r="D1968" t="s">
        <v>444</v>
      </c>
      <c r="E1968">
        <v>3042</v>
      </c>
      <c r="F1968" t="s">
        <v>6886</v>
      </c>
      <c r="G1968" t="s">
        <v>6887</v>
      </c>
      <c r="H1968" t="s">
        <v>6888</v>
      </c>
      <c r="I1968" t="s">
        <v>448</v>
      </c>
      <c r="J1968" t="s">
        <v>449</v>
      </c>
      <c r="L1968">
        <v>45664</v>
      </c>
      <c r="M1968" t="s">
        <v>224</v>
      </c>
    </row>
    <row r="1969" spans="1:13" x14ac:dyDescent="0.3">
      <c r="A1969" t="s">
        <v>6889</v>
      </c>
      <c r="B1969" t="s">
        <v>37</v>
      </c>
      <c r="C1969" t="s">
        <v>25</v>
      </c>
      <c r="D1969" t="s">
        <v>207</v>
      </c>
      <c r="E1969">
        <v>3041</v>
      </c>
      <c r="F1969" t="s">
        <v>3236</v>
      </c>
      <c r="G1969" t="s">
        <v>6890</v>
      </c>
      <c r="H1969" t="s">
        <v>6891</v>
      </c>
      <c r="I1969" t="s">
        <v>211</v>
      </c>
      <c r="J1969" t="s">
        <v>14</v>
      </c>
      <c r="L1969">
        <v>45735</v>
      </c>
      <c r="M1969" t="s">
        <v>363</v>
      </c>
    </row>
    <row r="1970" spans="1:13" x14ac:dyDescent="0.3">
      <c r="A1970" t="s">
        <v>6892</v>
      </c>
      <c r="B1970" t="s">
        <v>37</v>
      </c>
      <c r="C1970" t="s">
        <v>26</v>
      </c>
      <c r="D1970" t="s">
        <v>207</v>
      </c>
      <c r="E1970">
        <v>3041</v>
      </c>
      <c r="F1970" t="s">
        <v>6893</v>
      </c>
      <c r="G1970" t="s">
        <v>6894</v>
      </c>
      <c r="H1970" t="s">
        <v>6895</v>
      </c>
      <c r="I1970" t="s">
        <v>211</v>
      </c>
      <c r="J1970" t="s">
        <v>14</v>
      </c>
      <c r="K1970" t="s">
        <v>21</v>
      </c>
      <c r="L1970">
        <v>45742</v>
      </c>
      <c r="M1970" t="s">
        <v>212</v>
      </c>
    </row>
    <row r="1971" spans="1:13" x14ac:dyDescent="0.3">
      <c r="A1971" t="s">
        <v>6896</v>
      </c>
      <c r="B1971" t="s">
        <v>46</v>
      </c>
      <c r="C1971" t="s">
        <v>26</v>
      </c>
      <c r="D1971" t="s">
        <v>55</v>
      </c>
      <c r="E1971">
        <v>3033</v>
      </c>
      <c r="F1971" t="s">
        <v>6897</v>
      </c>
      <c r="G1971" t="s">
        <v>6898</v>
      </c>
      <c r="H1971" t="s">
        <v>6899</v>
      </c>
      <c r="I1971" t="s">
        <v>58</v>
      </c>
      <c r="J1971" t="s">
        <v>59</v>
      </c>
      <c r="K1971" t="s">
        <v>21</v>
      </c>
      <c r="L1971">
        <v>45669</v>
      </c>
      <c r="M1971" t="s">
        <v>60</v>
      </c>
    </row>
    <row r="1972" spans="1:13" x14ac:dyDescent="0.3">
      <c r="A1972" t="s">
        <v>6900</v>
      </c>
      <c r="B1972" t="s">
        <v>37</v>
      </c>
      <c r="C1972" t="s">
        <v>22</v>
      </c>
      <c r="D1972" t="s">
        <v>444</v>
      </c>
      <c r="E1972">
        <v>3042</v>
      </c>
      <c r="F1972" t="s">
        <v>6901</v>
      </c>
      <c r="G1972" t="s">
        <v>6902</v>
      </c>
      <c r="H1972" t="s">
        <v>6902</v>
      </c>
      <c r="I1972" t="s">
        <v>448</v>
      </c>
      <c r="J1972" t="s">
        <v>449</v>
      </c>
      <c r="K1972" t="s">
        <v>21</v>
      </c>
      <c r="L1972">
        <v>45688</v>
      </c>
      <c r="M1972" t="s">
        <v>481</v>
      </c>
    </row>
    <row r="1973" spans="1:13" x14ac:dyDescent="0.3">
      <c r="A1973" t="s">
        <v>6903</v>
      </c>
      <c r="B1973" t="s">
        <v>46</v>
      </c>
      <c r="C1973" t="s">
        <v>25</v>
      </c>
      <c r="D1973" t="s">
        <v>55</v>
      </c>
      <c r="E1973">
        <v>3033</v>
      </c>
      <c r="F1973" t="s">
        <v>6904</v>
      </c>
      <c r="G1973" t="s">
        <v>6905</v>
      </c>
      <c r="H1973" t="s">
        <v>6906</v>
      </c>
      <c r="I1973" t="s">
        <v>58</v>
      </c>
      <c r="J1973" t="s">
        <v>59</v>
      </c>
      <c r="L1973">
        <v>45702</v>
      </c>
      <c r="M1973" t="s">
        <v>90</v>
      </c>
    </row>
    <row r="1974" spans="1:13" x14ac:dyDescent="0.3">
      <c r="A1974" t="s">
        <v>6907</v>
      </c>
      <c r="B1974" t="s">
        <v>37</v>
      </c>
      <c r="C1974" t="s">
        <v>22</v>
      </c>
      <c r="D1974" t="s">
        <v>78</v>
      </c>
      <c r="E1974">
        <v>3035</v>
      </c>
      <c r="F1974" t="s">
        <v>3612</v>
      </c>
      <c r="G1974" t="s">
        <v>6908</v>
      </c>
      <c r="H1974" t="s">
        <v>6909</v>
      </c>
      <c r="I1974" t="s">
        <v>81</v>
      </c>
      <c r="J1974" t="s">
        <v>82</v>
      </c>
      <c r="L1974">
        <v>45712</v>
      </c>
      <c r="M1974" t="s">
        <v>489</v>
      </c>
    </row>
    <row r="1975" spans="1:13" x14ac:dyDescent="0.3">
      <c r="A1975" t="s">
        <v>6910</v>
      </c>
      <c r="B1975" t="s">
        <v>46</v>
      </c>
      <c r="C1975" t="s">
        <v>25</v>
      </c>
      <c r="D1975" t="s">
        <v>38</v>
      </c>
      <c r="E1975">
        <v>3031</v>
      </c>
      <c r="F1975" t="s">
        <v>6166</v>
      </c>
      <c r="G1975" t="s">
        <v>6911</v>
      </c>
      <c r="H1975" t="s">
        <v>6911</v>
      </c>
      <c r="I1975" t="s">
        <v>42</v>
      </c>
      <c r="J1975" t="s">
        <v>43</v>
      </c>
      <c r="L1975">
        <v>45667</v>
      </c>
      <c r="M1975" t="s">
        <v>128</v>
      </c>
    </row>
    <row r="1976" spans="1:13" x14ac:dyDescent="0.3">
      <c r="A1976" t="s">
        <v>6912</v>
      </c>
      <c r="B1976" t="s">
        <v>46</v>
      </c>
      <c r="C1976" t="s">
        <v>26</v>
      </c>
      <c r="D1976" t="s">
        <v>104</v>
      </c>
      <c r="E1976">
        <v>3037</v>
      </c>
      <c r="F1976" t="s">
        <v>6913</v>
      </c>
      <c r="G1976" t="s">
        <v>6914</v>
      </c>
      <c r="H1976" t="s">
        <v>6915</v>
      </c>
      <c r="I1976" t="s">
        <v>12</v>
      </c>
      <c r="J1976" t="s">
        <v>13</v>
      </c>
      <c r="L1976">
        <v>45682</v>
      </c>
      <c r="M1976" t="s">
        <v>189</v>
      </c>
    </row>
    <row r="1977" spans="1:13" x14ac:dyDescent="0.3">
      <c r="A1977" t="s">
        <v>6916</v>
      </c>
      <c r="B1977" t="s">
        <v>46</v>
      </c>
      <c r="C1977" t="s">
        <v>25</v>
      </c>
      <c r="D1977" t="s">
        <v>207</v>
      </c>
      <c r="E1977">
        <v>3041</v>
      </c>
      <c r="F1977" t="s">
        <v>6917</v>
      </c>
      <c r="G1977" t="s">
        <v>6918</v>
      </c>
      <c r="H1977" t="s">
        <v>6918</v>
      </c>
      <c r="I1977" t="s">
        <v>211</v>
      </c>
      <c r="J1977" t="s">
        <v>14</v>
      </c>
      <c r="L1977">
        <v>45722</v>
      </c>
      <c r="M1977" t="s">
        <v>577</v>
      </c>
    </row>
    <row r="1978" spans="1:13" x14ac:dyDescent="0.3">
      <c r="A1978" t="s">
        <v>6919</v>
      </c>
      <c r="B1978" t="s">
        <v>37</v>
      </c>
      <c r="C1978" t="s">
        <v>22</v>
      </c>
      <c r="D1978" t="s">
        <v>97</v>
      </c>
      <c r="E1978">
        <v>3036</v>
      </c>
      <c r="F1978" t="s">
        <v>6920</v>
      </c>
      <c r="G1978" t="s">
        <v>6921</v>
      </c>
      <c r="H1978" t="s">
        <v>6922</v>
      </c>
      <c r="I1978" t="s">
        <v>100</v>
      </c>
      <c r="J1978" t="s">
        <v>101</v>
      </c>
      <c r="L1978">
        <v>45741</v>
      </c>
      <c r="M1978" t="s">
        <v>102</v>
      </c>
    </row>
    <row r="1979" spans="1:13" x14ac:dyDescent="0.3">
      <c r="A1979" t="s">
        <v>6923</v>
      </c>
      <c r="B1979" t="s">
        <v>37</v>
      </c>
      <c r="C1979" t="s">
        <v>24</v>
      </c>
      <c r="D1979" t="s">
        <v>78</v>
      </c>
      <c r="E1979">
        <v>3035</v>
      </c>
      <c r="F1979" t="s">
        <v>6924</v>
      </c>
      <c r="G1979" t="s">
        <v>6925</v>
      </c>
      <c r="H1979" t="s">
        <v>6926</v>
      </c>
      <c r="I1979" t="s">
        <v>81</v>
      </c>
      <c r="J1979" t="s">
        <v>82</v>
      </c>
      <c r="L1979">
        <v>45722</v>
      </c>
      <c r="M1979" t="s">
        <v>95</v>
      </c>
    </row>
    <row r="1980" spans="1:13" x14ac:dyDescent="0.3">
      <c r="A1980" t="s">
        <v>6927</v>
      </c>
      <c r="B1980" t="s">
        <v>37</v>
      </c>
      <c r="C1980" t="s">
        <v>24</v>
      </c>
      <c r="D1980" t="s">
        <v>118</v>
      </c>
      <c r="E1980">
        <v>3038</v>
      </c>
      <c r="F1980" t="s">
        <v>6928</v>
      </c>
      <c r="G1980" t="s">
        <v>6929</v>
      </c>
      <c r="H1980" t="s">
        <v>6929</v>
      </c>
      <c r="I1980" t="s">
        <v>122</v>
      </c>
      <c r="J1980" t="s">
        <v>123</v>
      </c>
      <c r="L1980">
        <v>45741</v>
      </c>
      <c r="M1980" t="s">
        <v>344</v>
      </c>
    </row>
    <row r="1981" spans="1:13" x14ac:dyDescent="0.3">
      <c r="A1981" t="s">
        <v>6930</v>
      </c>
      <c r="B1981" t="s">
        <v>46</v>
      </c>
      <c r="C1981" t="s">
        <v>22</v>
      </c>
      <c r="D1981" t="s">
        <v>47</v>
      </c>
      <c r="E1981">
        <v>3032</v>
      </c>
      <c r="F1981" t="s">
        <v>2320</v>
      </c>
      <c r="G1981" t="s">
        <v>6931</v>
      </c>
      <c r="H1981" t="s">
        <v>6931</v>
      </c>
      <c r="I1981" t="s">
        <v>51</v>
      </c>
      <c r="J1981" t="s">
        <v>52</v>
      </c>
      <c r="L1981">
        <v>45729</v>
      </c>
      <c r="M1981" t="s">
        <v>90</v>
      </c>
    </row>
    <row r="1982" spans="1:13" x14ac:dyDescent="0.3">
      <c r="A1982" t="s">
        <v>6932</v>
      </c>
      <c r="B1982" t="s">
        <v>37</v>
      </c>
      <c r="C1982" t="s">
        <v>26</v>
      </c>
      <c r="D1982" t="s">
        <v>71</v>
      </c>
      <c r="E1982">
        <v>3034</v>
      </c>
      <c r="F1982" t="s">
        <v>6933</v>
      </c>
      <c r="G1982" t="s">
        <v>6934</v>
      </c>
      <c r="H1982" t="s">
        <v>6934</v>
      </c>
      <c r="I1982" t="s">
        <v>74</v>
      </c>
      <c r="J1982" t="s">
        <v>75</v>
      </c>
      <c r="L1982">
        <v>45731</v>
      </c>
      <c r="M1982" t="s">
        <v>112</v>
      </c>
    </row>
    <row r="1983" spans="1:13" x14ac:dyDescent="0.3">
      <c r="A1983" t="s">
        <v>6935</v>
      </c>
      <c r="B1983" t="s">
        <v>46</v>
      </c>
      <c r="C1983" t="s">
        <v>25</v>
      </c>
      <c r="D1983" t="s">
        <v>71</v>
      </c>
      <c r="E1983">
        <v>3034</v>
      </c>
      <c r="F1983" t="s">
        <v>6936</v>
      </c>
      <c r="G1983" t="s">
        <v>6937</v>
      </c>
      <c r="H1983" t="s">
        <v>6937</v>
      </c>
      <c r="I1983" t="s">
        <v>74</v>
      </c>
      <c r="J1983" t="s">
        <v>75</v>
      </c>
      <c r="L1983">
        <v>45727</v>
      </c>
      <c r="M1983" t="s">
        <v>205</v>
      </c>
    </row>
    <row r="1984" spans="1:13" x14ac:dyDescent="0.3">
      <c r="A1984" t="s">
        <v>6938</v>
      </c>
      <c r="B1984" t="s">
        <v>37</v>
      </c>
      <c r="C1984" t="s">
        <v>22</v>
      </c>
      <c r="D1984" t="s">
        <v>78</v>
      </c>
      <c r="E1984">
        <v>3035</v>
      </c>
      <c r="F1984" t="s">
        <v>6939</v>
      </c>
      <c r="G1984" t="s">
        <v>6940</v>
      </c>
      <c r="H1984" t="s">
        <v>6940</v>
      </c>
      <c r="I1984" t="s">
        <v>81</v>
      </c>
      <c r="J1984" t="s">
        <v>82</v>
      </c>
      <c r="L1984">
        <v>45738</v>
      </c>
      <c r="M1984" t="s">
        <v>69</v>
      </c>
    </row>
    <row r="1985" spans="1:13" x14ac:dyDescent="0.3">
      <c r="A1985" t="s">
        <v>6941</v>
      </c>
      <c r="B1985" t="s">
        <v>37</v>
      </c>
      <c r="C1985" t="s">
        <v>25</v>
      </c>
      <c r="D1985" t="s">
        <v>55</v>
      </c>
      <c r="E1985">
        <v>3033</v>
      </c>
      <c r="F1985" t="s">
        <v>6942</v>
      </c>
      <c r="G1985" t="s">
        <v>6943</v>
      </c>
      <c r="H1985" t="s">
        <v>6944</v>
      </c>
      <c r="I1985" t="s">
        <v>58</v>
      </c>
      <c r="J1985" t="s">
        <v>59</v>
      </c>
      <c r="L1985">
        <v>45670</v>
      </c>
      <c r="M1985" t="s">
        <v>95</v>
      </c>
    </row>
    <row r="1986" spans="1:13" x14ac:dyDescent="0.3">
      <c r="A1986" t="s">
        <v>6945</v>
      </c>
      <c r="B1986" t="s">
        <v>37</v>
      </c>
      <c r="C1986" t="s">
        <v>25</v>
      </c>
      <c r="D1986" t="s">
        <v>97</v>
      </c>
      <c r="E1986">
        <v>3036</v>
      </c>
      <c r="F1986" t="s">
        <v>6946</v>
      </c>
      <c r="G1986" t="s">
        <v>6947</v>
      </c>
      <c r="H1986" t="s">
        <v>6947</v>
      </c>
      <c r="I1986" t="s">
        <v>100</v>
      </c>
      <c r="J1986" t="s">
        <v>101</v>
      </c>
      <c r="L1986">
        <v>45674</v>
      </c>
      <c r="M1986" t="s">
        <v>102</v>
      </c>
    </row>
    <row r="1987" spans="1:13" x14ac:dyDescent="0.3">
      <c r="A1987" t="s">
        <v>6948</v>
      </c>
      <c r="B1987" t="s">
        <v>46</v>
      </c>
      <c r="C1987" t="s">
        <v>22</v>
      </c>
      <c r="D1987" t="s">
        <v>78</v>
      </c>
      <c r="E1987">
        <v>3035</v>
      </c>
      <c r="F1987" t="s">
        <v>6949</v>
      </c>
      <c r="G1987" t="s">
        <v>6950</v>
      </c>
      <c r="H1987" t="s">
        <v>6950</v>
      </c>
      <c r="I1987" t="s">
        <v>81</v>
      </c>
      <c r="J1987" t="s">
        <v>82</v>
      </c>
      <c r="L1987">
        <v>45674</v>
      </c>
      <c r="M1987" t="s">
        <v>287</v>
      </c>
    </row>
    <row r="1988" spans="1:13" x14ac:dyDescent="0.3">
      <c r="A1988" t="s">
        <v>6951</v>
      </c>
      <c r="B1988" t="s">
        <v>37</v>
      </c>
      <c r="C1988" t="s">
        <v>26</v>
      </c>
      <c r="D1988" t="s">
        <v>97</v>
      </c>
      <c r="E1988">
        <v>3036</v>
      </c>
      <c r="F1988" t="s">
        <v>6952</v>
      </c>
      <c r="G1988" t="s">
        <v>6953</v>
      </c>
      <c r="H1988" t="s">
        <v>6953</v>
      </c>
      <c r="I1988" t="s">
        <v>100</v>
      </c>
      <c r="J1988" t="s">
        <v>101</v>
      </c>
      <c r="L1988">
        <v>45734</v>
      </c>
      <c r="M1988" t="s">
        <v>128</v>
      </c>
    </row>
    <row r="1989" spans="1:13" x14ac:dyDescent="0.3">
      <c r="A1989" t="s">
        <v>6954</v>
      </c>
      <c r="B1989" t="s">
        <v>46</v>
      </c>
      <c r="C1989" t="s">
        <v>26</v>
      </c>
      <c r="D1989" t="s">
        <v>118</v>
      </c>
      <c r="E1989">
        <v>3038</v>
      </c>
      <c r="F1989" t="s">
        <v>6955</v>
      </c>
      <c r="G1989" t="s">
        <v>6956</v>
      </c>
      <c r="H1989" t="s">
        <v>6957</v>
      </c>
      <c r="I1989" t="s">
        <v>122</v>
      </c>
      <c r="J1989" t="s">
        <v>123</v>
      </c>
      <c r="K1989" t="s">
        <v>21</v>
      </c>
      <c r="L1989">
        <v>45738</v>
      </c>
      <c r="M1989" t="s">
        <v>124</v>
      </c>
    </row>
    <row r="1990" spans="1:13" x14ac:dyDescent="0.3">
      <c r="A1990" t="s">
        <v>6958</v>
      </c>
      <c r="B1990" t="s">
        <v>37</v>
      </c>
      <c r="C1990" t="s">
        <v>24</v>
      </c>
      <c r="D1990" t="s">
        <v>97</v>
      </c>
      <c r="E1990">
        <v>3036</v>
      </c>
      <c r="F1990" t="s">
        <v>6959</v>
      </c>
      <c r="G1990" t="s">
        <v>6960</v>
      </c>
      <c r="H1990" t="s">
        <v>6961</v>
      </c>
      <c r="I1990" t="s">
        <v>100</v>
      </c>
      <c r="J1990" t="s">
        <v>101</v>
      </c>
      <c r="L1990">
        <v>45675</v>
      </c>
      <c r="M1990" t="s">
        <v>65</v>
      </c>
    </row>
    <row r="1991" spans="1:13" x14ac:dyDescent="0.3">
      <c r="A1991" t="s">
        <v>6962</v>
      </c>
      <c r="B1991" t="s">
        <v>37</v>
      </c>
      <c r="C1991" t="s">
        <v>26</v>
      </c>
      <c r="D1991" t="s">
        <v>444</v>
      </c>
      <c r="E1991">
        <v>3042</v>
      </c>
      <c r="F1991" t="s">
        <v>6963</v>
      </c>
      <c r="G1991" t="s">
        <v>6964</v>
      </c>
      <c r="H1991" t="s">
        <v>6965</v>
      </c>
      <c r="I1991" t="s">
        <v>448</v>
      </c>
      <c r="J1991" t="s">
        <v>449</v>
      </c>
      <c r="L1991">
        <v>45681</v>
      </c>
      <c r="M1991" t="s">
        <v>224</v>
      </c>
    </row>
    <row r="1992" spans="1:13" x14ac:dyDescent="0.3">
      <c r="A1992" t="s">
        <v>6966</v>
      </c>
      <c r="B1992" t="s">
        <v>37</v>
      </c>
      <c r="C1992" t="s">
        <v>26</v>
      </c>
      <c r="D1992" t="s">
        <v>55</v>
      </c>
      <c r="E1992">
        <v>3033</v>
      </c>
      <c r="F1992" t="s">
        <v>6967</v>
      </c>
      <c r="G1992" t="s">
        <v>6968</v>
      </c>
      <c r="H1992" t="s">
        <v>6969</v>
      </c>
      <c r="I1992" t="s">
        <v>58</v>
      </c>
      <c r="J1992" t="s">
        <v>59</v>
      </c>
      <c r="L1992">
        <v>45695</v>
      </c>
      <c r="M1992" t="s">
        <v>69</v>
      </c>
    </row>
    <row r="1993" spans="1:13" x14ac:dyDescent="0.3">
      <c r="A1993" t="s">
        <v>6970</v>
      </c>
      <c r="B1993" t="s">
        <v>37</v>
      </c>
      <c r="C1993" t="s">
        <v>26</v>
      </c>
      <c r="D1993" t="s">
        <v>71</v>
      </c>
      <c r="E1993">
        <v>3034</v>
      </c>
      <c r="F1993" t="s">
        <v>6971</v>
      </c>
      <c r="G1993" t="s">
        <v>6972</v>
      </c>
      <c r="H1993" t="s">
        <v>6972</v>
      </c>
      <c r="I1993" t="s">
        <v>74</v>
      </c>
      <c r="J1993" t="s">
        <v>75</v>
      </c>
      <c r="K1993" t="s">
        <v>21</v>
      </c>
      <c r="L1993">
        <v>45696</v>
      </c>
      <c r="M1993" t="s">
        <v>112</v>
      </c>
    </row>
    <row r="1994" spans="1:13" x14ac:dyDescent="0.3">
      <c r="A1994" t="s">
        <v>6973</v>
      </c>
      <c r="B1994" t="s">
        <v>37</v>
      </c>
      <c r="C1994" t="s">
        <v>24</v>
      </c>
      <c r="D1994" t="s">
        <v>71</v>
      </c>
      <c r="E1994">
        <v>3034</v>
      </c>
      <c r="F1994" t="s">
        <v>6974</v>
      </c>
      <c r="G1994" t="s">
        <v>6975</v>
      </c>
      <c r="H1994" t="s">
        <v>6976</v>
      </c>
      <c r="I1994" t="s">
        <v>74</v>
      </c>
      <c r="J1994" t="s">
        <v>75</v>
      </c>
      <c r="L1994">
        <v>45659</v>
      </c>
      <c r="M1994" t="s">
        <v>165</v>
      </c>
    </row>
    <row r="1995" spans="1:13" x14ac:dyDescent="0.3">
      <c r="A1995" t="s">
        <v>6977</v>
      </c>
      <c r="B1995" t="s">
        <v>37</v>
      </c>
      <c r="C1995" t="s">
        <v>24</v>
      </c>
      <c r="D1995" t="s">
        <v>71</v>
      </c>
      <c r="E1995">
        <v>3034</v>
      </c>
      <c r="F1995" t="s">
        <v>6978</v>
      </c>
      <c r="G1995" t="s">
        <v>6979</v>
      </c>
      <c r="H1995" t="s">
        <v>6979</v>
      </c>
      <c r="I1995" t="s">
        <v>74</v>
      </c>
      <c r="J1995" t="s">
        <v>75</v>
      </c>
      <c r="L1995">
        <v>45721</v>
      </c>
      <c r="M1995" t="s">
        <v>76</v>
      </c>
    </row>
    <row r="1996" spans="1:13" x14ac:dyDescent="0.3">
      <c r="A1996" t="s">
        <v>6980</v>
      </c>
      <c r="B1996" t="s">
        <v>46</v>
      </c>
      <c r="C1996" t="s">
        <v>26</v>
      </c>
      <c r="D1996" t="s">
        <v>136</v>
      </c>
      <c r="E1996">
        <v>3039</v>
      </c>
      <c r="F1996" t="s">
        <v>6981</v>
      </c>
      <c r="G1996" t="s">
        <v>6982</v>
      </c>
      <c r="H1996" t="s">
        <v>6983</v>
      </c>
      <c r="I1996" t="s">
        <v>15</v>
      </c>
      <c r="J1996" t="s">
        <v>14</v>
      </c>
      <c r="L1996">
        <v>45700</v>
      </c>
      <c r="M1996" t="s">
        <v>160</v>
      </c>
    </row>
    <row r="1997" spans="1:13" x14ac:dyDescent="0.3">
      <c r="A1997" t="s">
        <v>6984</v>
      </c>
      <c r="B1997" t="s">
        <v>46</v>
      </c>
      <c r="C1997" t="s">
        <v>25</v>
      </c>
      <c r="D1997" t="s">
        <v>104</v>
      </c>
      <c r="E1997">
        <v>3037</v>
      </c>
      <c r="F1997" t="s">
        <v>6985</v>
      </c>
      <c r="G1997" t="s">
        <v>6986</v>
      </c>
      <c r="H1997" t="s">
        <v>6987</v>
      </c>
      <c r="I1997" t="s">
        <v>12</v>
      </c>
      <c r="J1997" t="s">
        <v>13</v>
      </c>
      <c r="K1997" t="s">
        <v>21</v>
      </c>
      <c r="L1997">
        <v>45703</v>
      </c>
      <c r="M1997" t="s">
        <v>76</v>
      </c>
    </row>
    <row r="1998" spans="1:13" x14ac:dyDescent="0.3">
      <c r="A1998" t="s">
        <v>6988</v>
      </c>
      <c r="B1998" t="s">
        <v>46</v>
      </c>
      <c r="C1998" t="s">
        <v>24</v>
      </c>
      <c r="D1998" t="s">
        <v>207</v>
      </c>
      <c r="E1998">
        <v>3041</v>
      </c>
      <c r="F1998" t="s">
        <v>6989</v>
      </c>
      <c r="G1998" t="s">
        <v>6990</v>
      </c>
      <c r="H1998" t="s">
        <v>6991</v>
      </c>
      <c r="I1998" t="s">
        <v>211</v>
      </c>
      <c r="J1998" t="s">
        <v>14</v>
      </c>
      <c r="K1998" t="s">
        <v>21</v>
      </c>
      <c r="L1998">
        <v>45675</v>
      </c>
      <c r="M1998" t="s">
        <v>128</v>
      </c>
    </row>
    <row r="1999" spans="1:13" x14ac:dyDescent="0.3">
      <c r="A1999" t="s">
        <v>6992</v>
      </c>
      <c r="B1999" t="s">
        <v>46</v>
      </c>
      <c r="C1999" t="s">
        <v>26</v>
      </c>
      <c r="D1999" t="s">
        <v>444</v>
      </c>
      <c r="E1999">
        <v>3042</v>
      </c>
      <c r="F1999" t="s">
        <v>6993</v>
      </c>
      <c r="G1999" t="s">
        <v>6994</v>
      </c>
      <c r="H1999" t="s">
        <v>6995</v>
      </c>
      <c r="I1999" t="s">
        <v>448</v>
      </c>
      <c r="J1999" t="s">
        <v>449</v>
      </c>
      <c r="K1999" t="s">
        <v>21</v>
      </c>
      <c r="L1999">
        <v>45739</v>
      </c>
      <c r="M1999" t="s">
        <v>722</v>
      </c>
    </row>
    <row r="2000" spans="1:13" x14ac:dyDescent="0.3">
      <c r="A2000" t="s">
        <v>6996</v>
      </c>
      <c r="B2000" t="s">
        <v>37</v>
      </c>
      <c r="C2000" t="s">
        <v>26</v>
      </c>
      <c r="D2000" t="s">
        <v>191</v>
      </c>
      <c r="E2000">
        <v>3040</v>
      </c>
      <c r="F2000" t="s">
        <v>6997</v>
      </c>
      <c r="G2000" t="s">
        <v>6998</v>
      </c>
      <c r="H2000" t="s">
        <v>6998</v>
      </c>
      <c r="I2000" t="s">
        <v>194</v>
      </c>
      <c r="J2000" t="s">
        <v>13</v>
      </c>
      <c r="K2000" t="s">
        <v>21</v>
      </c>
      <c r="L2000">
        <v>45683</v>
      </c>
      <c r="M2000" t="s">
        <v>195</v>
      </c>
    </row>
    <row r="2001" spans="1:13" x14ac:dyDescent="0.3">
      <c r="A2001" t="s">
        <v>6999</v>
      </c>
      <c r="B2001" t="s">
        <v>37</v>
      </c>
      <c r="C2001" t="s">
        <v>25</v>
      </c>
      <c r="D2001" t="s">
        <v>136</v>
      </c>
      <c r="E2001">
        <v>3039</v>
      </c>
      <c r="F2001" t="s">
        <v>7000</v>
      </c>
      <c r="G2001" t="s">
        <v>7001</v>
      </c>
      <c r="H2001" t="s">
        <v>7001</v>
      </c>
      <c r="I2001" t="s">
        <v>15</v>
      </c>
      <c r="J2001" t="s">
        <v>14</v>
      </c>
      <c r="L2001">
        <v>45713</v>
      </c>
      <c r="M2001" t="s">
        <v>389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CA28-1F4A-440D-B40F-0CF2DD2CFF65}">
  <dimension ref="A1:DM38"/>
  <sheetViews>
    <sheetView tabSelected="1" zoomScale="70" zoomScaleNormal="70" workbookViewId="0">
      <selection activeCell="CT41" sqref="A1:CT41"/>
    </sheetView>
  </sheetViews>
  <sheetFormatPr defaultColWidth="2.6640625" defaultRowHeight="14.4" x14ac:dyDescent="0.3"/>
  <cols>
    <col min="1" max="10" width="2.6640625" style="5"/>
    <col min="11" max="16384" width="2.6640625" style="4"/>
  </cols>
  <sheetData>
    <row r="1" spans="1:5" s="5" customFormat="1" x14ac:dyDescent="0.3">
      <c r="A1" s="3"/>
      <c r="B1" s="3"/>
      <c r="C1" s="3"/>
      <c r="D1" s="3"/>
      <c r="E1" s="3"/>
    </row>
    <row r="2" spans="1:5" s="5" customFormat="1" x14ac:dyDescent="0.3">
      <c r="A2" s="3"/>
      <c r="B2" s="3"/>
      <c r="C2" s="3"/>
      <c r="D2" s="3"/>
      <c r="E2" s="3"/>
    </row>
    <row r="3" spans="1:5" s="5" customFormat="1" x14ac:dyDescent="0.3">
      <c r="A3" s="3"/>
      <c r="B3" s="3"/>
      <c r="C3" s="3"/>
      <c r="D3" s="3"/>
      <c r="E3" s="3"/>
    </row>
    <row r="4" spans="1:5" s="5" customFormat="1" x14ac:dyDescent="0.3">
      <c r="A4" s="3"/>
      <c r="B4" s="3"/>
      <c r="C4" s="3"/>
      <c r="D4" s="3"/>
      <c r="E4" s="3"/>
    </row>
    <row r="5" spans="1:5" s="5" customFormat="1" x14ac:dyDescent="0.3">
      <c r="A5" s="3"/>
      <c r="B5" s="3"/>
      <c r="C5" s="3"/>
      <c r="D5" s="3"/>
      <c r="E5" s="3"/>
    </row>
    <row r="6" spans="1:5" s="5" customFormat="1" x14ac:dyDescent="0.3">
      <c r="A6" s="3"/>
      <c r="B6" s="3"/>
      <c r="C6" s="3"/>
      <c r="D6" s="3"/>
      <c r="E6" s="3"/>
    </row>
    <row r="7" spans="1:5" s="5" customFormat="1" x14ac:dyDescent="0.3">
      <c r="A7" s="3"/>
      <c r="B7" s="3"/>
      <c r="C7" s="3"/>
      <c r="D7" s="3"/>
      <c r="E7" s="3"/>
    </row>
    <row r="8" spans="1:5" s="5" customFormat="1" x14ac:dyDescent="0.3">
      <c r="A8" s="3"/>
      <c r="B8" s="3"/>
      <c r="C8" s="3"/>
      <c r="D8" s="3"/>
      <c r="E8" s="3"/>
    </row>
    <row r="9" spans="1:5" s="5" customFormat="1" x14ac:dyDescent="0.3">
      <c r="A9" s="3"/>
      <c r="B9" s="3"/>
      <c r="C9" s="3"/>
      <c r="D9" s="3"/>
      <c r="E9" s="3"/>
    </row>
    <row r="10" spans="1:5" s="5" customFormat="1" x14ac:dyDescent="0.3">
      <c r="A10" s="3"/>
      <c r="B10" s="3"/>
      <c r="C10" s="3"/>
      <c r="D10" s="3"/>
      <c r="E10" s="3"/>
    </row>
    <row r="38" spans="117:117" x14ac:dyDescent="0.3">
      <c r="DM38" s="4" t="s">
        <v>7002</v>
      </c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C4DB-CF48-43F3-BADF-3C2BC8C73E10}">
  <sheetPr codeName="Planilha1"/>
  <dimension ref="A3:E55"/>
  <sheetViews>
    <sheetView workbookViewId="0">
      <selection activeCell="A5" sqref="A4:A15"/>
      <pivotSelection pane="bottomRight" showHeader="1" activeRow="4" click="1" r:id="rId1">
        <pivotArea dataOnly="0" labelOnly="1" fieldPosition="0">
          <references count="1">
            <reference field="3" count="0"/>
          </references>
        </pivotArea>
      </pivotSelection>
    </sheetView>
  </sheetViews>
  <sheetFormatPr defaultRowHeight="14.4" x14ac:dyDescent="0.3"/>
  <cols>
    <col min="1" max="1" width="16.77734375" bestFit="1" customWidth="1"/>
    <col min="2" max="2" width="20.44140625" bestFit="1" customWidth="1"/>
    <col min="3" max="2001" width="9.109375" bestFit="1" customWidth="1"/>
    <col min="2002" max="2002" width="10" bestFit="1" customWidth="1"/>
  </cols>
  <sheetData>
    <row r="3" spans="1:2" x14ac:dyDescent="0.3">
      <c r="A3" s="1" t="s">
        <v>16</v>
      </c>
      <c r="B3" t="s">
        <v>18</v>
      </c>
    </row>
    <row r="4" spans="1:2" x14ac:dyDescent="0.3">
      <c r="A4" s="2" t="s">
        <v>136</v>
      </c>
      <c r="B4" s="10">
        <v>145</v>
      </c>
    </row>
    <row r="5" spans="1:2" x14ac:dyDescent="0.3">
      <c r="A5" s="2" t="s">
        <v>38</v>
      </c>
      <c r="B5" s="10">
        <v>149</v>
      </c>
    </row>
    <row r="6" spans="1:2" x14ac:dyDescent="0.3">
      <c r="A6" s="2" t="s">
        <v>207</v>
      </c>
      <c r="B6" s="10">
        <v>160</v>
      </c>
    </row>
    <row r="7" spans="1:2" x14ac:dyDescent="0.3">
      <c r="A7" s="2" t="s">
        <v>71</v>
      </c>
      <c r="B7" s="10">
        <v>161</v>
      </c>
    </row>
    <row r="8" spans="1:2" x14ac:dyDescent="0.3">
      <c r="A8" s="2" t="s">
        <v>191</v>
      </c>
      <c r="B8" s="10">
        <v>161</v>
      </c>
    </row>
    <row r="9" spans="1:2" x14ac:dyDescent="0.3">
      <c r="A9" s="2" t="s">
        <v>104</v>
      </c>
      <c r="B9" s="10">
        <v>162</v>
      </c>
    </row>
    <row r="10" spans="1:2" x14ac:dyDescent="0.3">
      <c r="A10" s="2" t="s">
        <v>118</v>
      </c>
      <c r="B10" s="10">
        <v>169</v>
      </c>
    </row>
    <row r="11" spans="1:2" x14ac:dyDescent="0.3">
      <c r="A11" s="2" t="s">
        <v>78</v>
      </c>
      <c r="B11" s="10">
        <v>171</v>
      </c>
    </row>
    <row r="12" spans="1:2" x14ac:dyDescent="0.3">
      <c r="A12" s="2" t="s">
        <v>444</v>
      </c>
      <c r="B12" s="10">
        <v>173</v>
      </c>
    </row>
    <row r="13" spans="1:2" x14ac:dyDescent="0.3">
      <c r="A13" s="2" t="s">
        <v>55</v>
      </c>
      <c r="B13" s="10">
        <v>175</v>
      </c>
    </row>
    <row r="14" spans="1:2" x14ac:dyDescent="0.3">
      <c r="A14" s="2" t="s">
        <v>47</v>
      </c>
      <c r="B14" s="10">
        <v>176</v>
      </c>
    </row>
    <row r="15" spans="1:2" x14ac:dyDescent="0.3">
      <c r="A15" s="2" t="s">
        <v>97</v>
      </c>
      <c r="B15" s="10">
        <v>198</v>
      </c>
    </row>
    <row r="16" spans="1:2" x14ac:dyDescent="0.3">
      <c r="A16" s="2" t="s">
        <v>17</v>
      </c>
      <c r="B16" s="10">
        <v>2000</v>
      </c>
    </row>
    <row r="19" spans="1:5" x14ac:dyDescent="0.3">
      <c r="E19" s="6">
        <f>GETPIVOTDATA("protocolo",$A$3)</f>
        <v>2000</v>
      </c>
    </row>
    <row r="22" spans="1:5" x14ac:dyDescent="0.3">
      <c r="A22" s="1" t="s">
        <v>16</v>
      </c>
      <c r="B22" t="s">
        <v>19</v>
      </c>
    </row>
    <row r="23" spans="1:5" x14ac:dyDescent="0.3">
      <c r="A23" s="2" t="s">
        <v>118</v>
      </c>
      <c r="B23">
        <v>50</v>
      </c>
    </row>
    <row r="24" spans="1:5" x14ac:dyDescent="0.3">
      <c r="A24" s="2" t="s">
        <v>207</v>
      </c>
      <c r="B24">
        <v>52</v>
      </c>
    </row>
    <row r="25" spans="1:5" x14ac:dyDescent="0.3">
      <c r="A25" s="2" t="s">
        <v>191</v>
      </c>
      <c r="B25">
        <v>52</v>
      </c>
    </row>
    <row r="26" spans="1:5" x14ac:dyDescent="0.3">
      <c r="A26" s="2" t="s">
        <v>444</v>
      </c>
      <c r="B26">
        <v>55</v>
      </c>
    </row>
    <row r="27" spans="1:5" x14ac:dyDescent="0.3">
      <c r="A27" s="2" t="s">
        <v>136</v>
      </c>
      <c r="B27">
        <v>55</v>
      </c>
    </row>
    <row r="28" spans="1:5" x14ac:dyDescent="0.3">
      <c r="A28" s="2" t="s">
        <v>38</v>
      </c>
      <c r="B28">
        <v>57</v>
      </c>
    </row>
    <row r="29" spans="1:5" x14ac:dyDescent="0.3">
      <c r="A29" s="2" t="s">
        <v>104</v>
      </c>
      <c r="B29">
        <v>61</v>
      </c>
    </row>
    <row r="30" spans="1:5" x14ac:dyDescent="0.3">
      <c r="A30" s="2" t="s">
        <v>97</v>
      </c>
      <c r="B30">
        <v>62</v>
      </c>
    </row>
    <row r="31" spans="1:5" x14ac:dyDescent="0.3">
      <c r="A31" s="2" t="s">
        <v>78</v>
      </c>
      <c r="B31">
        <v>62</v>
      </c>
    </row>
    <row r="32" spans="1:5" x14ac:dyDescent="0.3">
      <c r="A32" s="2" t="s">
        <v>71</v>
      </c>
      <c r="B32">
        <v>63</v>
      </c>
    </row>
    <row r="33" spans="1:4" x14ac:dyDescent="0.3">
      <c r="A33" s="2" t="s">
        <v>47</v>
      </c>
      <c r="B33">
        <v>72</v>
      </c>
    </row>
    <row r="34" spans="1:4" x14ac:dyDescent="0.3">
      <c r="A34" s="2" t="s">
        <v>55</v>
      </c>
      <c r="B34">
        <v>73</v>
      </c>
    </row>
    <row r="35" spans="1:4" x14ac:dyDescent="0.3">
      <c r="A35" s="2" t="s">
        <v>17</v>
      </c>
      <c r="B35">
        <v>714</v>
      </c>
    </row>
    <row r="42" spans="1:4" x14ac:dyDescent="0.3">
      <c r="C42" s="6">
        <f>GETPIVOTDATA("negocio",$A$22)</f>
        <v>714</v>
      </c>
      <c r="D42" s="8">
        <f>C42/E19</f>
        <v>0.35699999999999998</v>
      </c>
    </row>
    <row r="43" spans="1:4" x14ac:dyDescent="0.3">
      <c r="A43" s="2"/>
    </row>
    <row r="44" spans="1:4" x14ac:dyDescent="0.3">
      <c r="A44" s="2"/>
    </row>
    <row r="46" spans="1:4" x14ac:dyDescent="0.3">
      <c r="A46" s="1" t="s">
        <v>16</v>
      </c>
      <c r="B46" t="s">
        <v>18</v>
      </c>
    </row>
    <row r="47" spans="1:4" x14ac:dyDescent="0.3">
      <c r="A47" s="2" t="s">
        <v>37</v>
      </c>
      <c r="B47">
        <v>978</v>
      </c>
      <c r="C47" t="e">
        <f>GETPIVOTDATA("protocolo",$A$46,"origem","CRCIC")</f>
        <v>#REF!</v>
      </c>
    </row>
    <row r="48" spans="1:4" x14ac:dyDescent="0.3">
      <c r="A48" s="2" t="s">
        <v>46</v>
      </c>
      <c r="B48">
        <v>1022</v>
      </c>
      <c r="C48" t="e">
        <f>GETPIVOTDATA("protocolo",$A$46,"origem","PROGREDIR")</f>
        <v>#REF!</v>
      </c>
    </row>
    <row r="49" spans="1:4" x14ac:dyDescent="0.3">
      <c r="A49" s="2" t="s">
        <v>17</v>
      </c>
      <c r="B49">
        <v>2000</v>
      </c>
    </row>
    <row r="52" spans="1:4" x14ac:dyDescent="0.3">
      <c r="A52" s="1" t="s">
        <v>16</v>
      </c>
      <c r="B52" t="s">
        <v>19</v>
      </c>
    </row>
    <row r="53" spans="1:4" x14ac:dyDescent="0.3">
      <c r="A53" s="2" t="s">
        <v>37</v>
      </c>
      <c r="B53">
        <v>328</v>
      </c>
      <c r="C53" t="e">
        <f>GETPIVOTDATA("negocio",$A$52,"origem","CRCIC")</f>
        <v>#REF!</v>
      </c>
      <c r="D53" s="7" t="e">
        <f>C53/C47</f>
        <v>#REF!</v>
      </c>
    </row>
    <row r="54" spans="1:4" x14ac:dyDescent="0.3">
      <c r="A54" s="2" t="s">
        <v>46</v>
      </c>
      <c r="B54">
        <v>386</v>
      </c>
      <c r="C54" t="e">
        <f>GETPIVOTDATA("negocio",$A$52,"origem","PROGREDIR")</f>
        <v>#REF!</v>
      </c>
      <c r="D54" s="7" t="e">
        <f>C54/C48</f>
        <v>#REF!</v>
      </c>
    </row>
    <row r="55" spans="1:4" x14ac:dyDescent="0.3">
      <c r="A55" s="2" t="s">
        <v>17</v>
      </c>
      <c r="B55">
        <v>714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DA67F-90D6-44E7-86FB-F1E6E0EAE7D9}">
  <dimension ref="A3:B8"/>
  <sheetViews>
    <sheetView workbookViewId="0">
      <selection activeCell="B3" sqref="B3"/>
    </sheetView>
  </sheetViews>
  <sheetFormatPr defaultRowHeight="14.4" x14ac:dyDescent="0.3"/>
  <cols>
    <col min="1" max="1" width="16.77734375" bestFit="1" customWidth="1"/>
    <col min="2" max="2" width="18.88671875" bestFit="1" customWidth="1"/>
  </cols>
  <sheetData>
    <row r="3" spans="1:2" x14ac:dyDescent="0.3">
      <c r="A3" s="1" t="s">
        <v>16</v>
      </c>
      <c r="B3" t="s">
        <v>19</v>
      </c>
    </row>
    <row r="4" spans="1:2" x14ac:dyDescent="0.3">
      <c r="A4" s="2" t="s">
        <v>25</v>
      </c>
      <c r="B4">
        <v>154</v>
      </c>
    </row>
    <row r="5" spans="1:2" x14ac:dyDescent="0.3">
      <c r="A5" s="2" t="s">
        <v>22</v>
      </c>
      <c r="B5">
        <v>173</v>
      </c>
    </row>
    <row r="6" spans="1:2" x14ac:dyDescent="0.3">
      <c r="A6" s="2" t="s">
        <v>26</v>
      </c>
      <c r="B6">
        <v>193</v>
      </c>
    </row>
    <row r="7" spans="1:2" x14ac:dyDescent="0.3">
      <c r="A7" s="2" t="s">
        <v>24</v>
      </c>
      <c r="B7">
        <v>194</v>
      </c>
    </row>
    <row r="8" spans="1:2" x14ac:dyDescent="0.3">
      <c r="A8" s="2" t="s">
        <v>17</v>
      </c>
      <c r="B8">
        <v>714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7A6E3-FC59-4B9A-A867-2401F056E6C7}">
  <dimension ref="A3:B30"/>
  <sheetViews>
    <sheetView workbookViewId="0">
      <selection activeCell="B7" sqref="B7"/>
    </sheetView>
  </sheetViews>
  <sheetFormatPr defaultRowHeight="14.4" x14ac:dyDescent="0.3"/>
  <cols>
    <col min="1" max="1" width="16.77734375" bestFit="1" customWidth="1"/>
    <col min="2" max="2" width="20.44140625" bestFit="1" customWidth="1"/>
    <col min="3" max="2001" width="9.109375" bestFit="1" customWidth="1"/>
    <col min="2002" max="2002" width="10" bestFit="1" customWidth="1"/>
  </cols>
  <sheetData>
    <row r="3" spans="1:2" x14ac:dyDescent="0.3">
      <c r="A3" s="1" t="s">
        <v>16</v>
      </c>
      <c r="B3" t="s">
        <v>18</v>
      </c>
    </row>
    <row r="4" spans="1:2" x14ac:dyDescent="0.3">
      <c r="A4" s="2" t="s">
        <v>13</v>
      </c>
      <c r="B4" s="10">
        <v>323</v>
      </c>
    </row>
    <row r="5" spans="1:2" x14ac:dyDescent="0.3">
      <c r="A5" s="2" t="s">
        <v>14</v>
      </c>
      <c r="B5" s="10">
        <v>305</v>
      </c>
    </row>
    <row r="6" spans="1:2" x14ac:dyDescent="0.3">
      <c r="A6" s="2" t="s">
        <v>101</v>
      </c>
      <c r="B6" s="10">
        <v>198</v>
      </c>
    </row>
    <row r="7" spans="1:2" x14ac:dyDescent="0.3">
      <c r="A7" s="2" t="s">
        <v>52</v>
      </c>
      <c r="B7" s="10">
        <v>176</v>
      </c>
    </row>
    <row r="8" spans="1:2" x14ac:dyDescent="0.3">
      <c r="A8" s="2" t="s">
        <v>59</v>
      </c>
      <c r="B8" s="10">
        <v>175</v>
      </c>
    </row>
    <row r="9" spans="1:2" x14ac:dyDescent="0.3">
      <c r="A9" s="2" t="s">
        <v>449</v>
      </c>
      <c r="B9" s="10">
        <v>173</v>
      </c>
    </row>
    <row r="10" spans="1:2" x14ac:dyDescent="0.3">
      <c r="A10" s="2" t="s">
        <v>82</v>
      </c>
      <c r="B10" s="10">
        <v>171</v>
      </c>
    </row>
    <row r="11" spans="1:2" x14ac:dyDescent="0.3">
      <c r="A11" s="2" t="s">
        <v>123</v>
      </c>
      <c r="B11" s="10">
        <v>169</v>
      </c>
    </row>
    <row r="12" spans="1:2" x14ac:dyDescent="0.3">
      <c r="A12" s="2" t="s">
        <v>75</v>
      </c>
      <c r="B12" s="10">
        <v>161</v>
      </c>
    </row>
    <row r="13" spans="1:2" x14ac:dyDescent="0.3">
      <c r="A13" s="2" t="s">
        <v>43</v>
      </c>
      <c r="B13" s="10">
        <v>149</v>
      </c>
    </row>
    <row r="14" spans="1:2" x14ac:dyDescent="0.3">
      <c r="A14" s="2" t="s">
        <v>17</v>
      </c>
      <c r="B14" s="10">
        <v>2000</v>
      </c>
    </row>
    <row r="19" spans="1:2" x14ac:dyDescent="0.3">
      <c r="A19" s="1" t="s">
        <v>16</v>
      </c>
      <c r="B19" t="s">
        <v>19</v>
      </c>
    </row>
    <row r="20" spans="1:2" x14ac:dyDescent="0.3">
      <c r="A20" s="2" t="s">
        <v>13</v>
      </c>
      <c r="B20">
        <v>113</v>
      </c>
    </row>
    <row r="21" spans="1:2" x14ac:dyDescent="0.3">
      <c r="A21" s="2" t="s">
        <v>14</v>
      </c>
      <c r="B21">
        <v>107</v>
      </c>
    </row>
    <row r="22" spans="1:2" x14ac:dyDescent="0.3">
      <c r="A22" s="2" t="s">
        <v>59</v>
      </c>
      <c r="B22">
        <v>73</v>
      </c>
    </row>
    <row r="23" spans="1:2" x14ac:dyDescent="0.3">
      <c r="A23" s="2" t="s">
        <v>52</v>
      </c>
      <c r="B23">
        <v>72</v>
      </c>
    </row>
    <row r="24" spans="1:2" x14ac:dyDescent="0.3">
      <c r="A24" s="2" t="s">
        <v>75</v>
      </c>
      <c r="B24">
        <v>63</v>
      </c>
    </row>
    <row r="25" spans="1:2" x14ac:dyDescent="0.3">
      <c r="A25" s="2" t="s">
        <v>101</v>
      </c>
      <c r="B25">
        <v>62</v>
      </c>
    </row>
    <row r="26" spans="1:2" x14ac:dyDescent="0.3">
      <c r="A26" s="2" t="s">
        <v>82</v>
      </c>
      <c r="B26">
        <v>62</v>
      </c>
    </row>
    <row r="27" spans="1:2" x14ac:dyDescent="0.3">
      <c r="A27" s="2" t="s">
        <v>43</v>
      </c>
      <c r="B27">
        <v>57</v>
      </c>
    </row>
    <row r="28" spans="1:2" x14ac:dyDescent="0.3">
      <c r="A28" s="2" t="s">
        <v>449</v>
      </c>
      <c r="B28">
        <v>55</v>
      </c>
    </row>
    <row r="29" spans="1:2" x14ac:dyDescent="0.3">
      <c r="A29" s="2" t="s">
        <v>123</v>
      </c>
      <c r="B29">
        <v>50</v>
      </c>
    </row>
    <row r="30" spans="1:2" x14ac:dyDescent="0.3">
      <c r="A30" s="2" t="s">
        <v>17</v>
      </c>
      <c r="B30">
        <v>714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CC0D-77AC-4CAB-AA93-A7AEB2B22824}">
  <dimension ref="A3:D34"/>
  <sheetViews>
    <sheetView topLeftCell="A10" workbookViewId="0">
      <selection activeCell="A27" sqref="A26:A27"/>
      <pivotSelection pane="bottomRight" showHeader="1" axis="axisRow" activeRow="26" previousRow="26" click="1" r:id="rId1">
        <pivotArea dataOnly="0" labelOnly="1" fieldPosition="0">
          <references count="1">
            <reference field="1" count="0"/>
          </references>
        </pivotArea>
      </pivotSelection>
    </sheetView>
  </sheetViews>
  <sheetFormatPr defaultRowHeight="14.4" x14ac:dyDescent="0.3"/>
  <cols>
    <col min="1" max="1" width="16.77734375" bestFit="1" customWidth="1"/>
    <col min="2" max="2" width="18.88671875" bestFit="1" customWidth="1"/>
    <col min="3" max="3" width="8.6640625" bestFit="1" customWidth="1"/>
    <col min="4" max="28" width="10.33203125" bestFit="1" customWidth="1"/>
    <col min="29" max="30" width="10" bestFit="1" customWidth="1"/>
    <col min="31" max="57" width="10.33203125" bestFit="1" customWidth="1"/>
    <col min="58" max="58" width="10" bestFit="1" customWidth="1"/>
  </cols>
  <sheetData>
    <row r="3" spans="1:3" x14ac:dyDescent="0.3">
      <c r="A3" s="1" t="s">
        <v>16</v>
      </c>
      <c r="B3" t="s">
        <v>33</v>
      </c>
      <c r="C3" t="s">
        <v>34</v>
      </c>
    </row>
    <row r="4" spans="1:3" x14ac:dyDescent="0.3">
      <c r="A4" s="2" t="s">
        <v>38</v>
      </c>
      <c r="B4">
        <v>149</v>
      </c>
      <c r="C4">
        <v>57</v>
      </c>
    </row>
    <row r="5" spans="1:3" x14ac:dyDescent="0.3">
      <c r="A5" s="2" t="s">
        <v>47</v>
      </c>
      <c r="B5">
        <v>176</v>
      </c>
      <c r="C5">
        <v>72</v>
      </c>
    </row>
    <row r="6" spans="1:3" x14ac:dyDescent="0.3">
      <c r="A6" s="2" t="s">
        <v>55</v>
      </c>
      <c r="B6">
        <v>175</v>
      </c>
      <c r="C6">
        <v>73</v>
      </c>
    </row>
    <row r="7" spans="1:3" x14ac:dyDescent="0.3">
      <c r="A7" s="2" t="s">
        <v>71</v>
      </c>
      <c r="B7">
        <v>161</v>
      </c>
      <c r="C7">
        <v>63</v>
      </c>
    </row>
    <row r="8" spans="1:3" x14ac:dyDescent="0.3">
      <c r="A8" s="2" t="s">
        <v>78</v>
      </c>
      <c r="B8">
        <v>171</v>
      </c>
      <c r="C8">
        <v>62</v>
      </c>
    </row>
    <row r="9" spans="1:3" x14ac:dyDescent="0.3">
      <c r="A9" s="2" t="s">
        <v>97</v>
      </c>
      <c r="B9">
        <v>198</v>
      </c>
      <c r="C9">
        <v>62</v>
      </c>
    </row>
    <row r="10" spans="1:3" x14ac:dyDescent="0.3">
      <c r="A10" s="2" t="s">
        <v>104</v>
      </c>
      <c r="B10">
        <v>162</v>
      </c>
      <c r="C10">
        <v>61</v>
      </c>
    </row>
    <row r="11" spans="1:3" x14ac:dyDescent="0.3">
      <c r="A11" s="2" t="s">
        <v>118</v>
      </c>
      <c r="B11">
        <v>169</v>
      </c>
      <c r="C11">
        <v>50</v>
      </c>
    </row>
    <row r="12" spans="1:3" x14ac:dyDescent="0.3">
      <c r="A12" s="2" t="s">
        <v>136</v>
      </c>
      <c r="B12">
        <v>145</v>
      </c>
      <c r="C12">
        <v>55</v>
      </c>
    </row>
    <row r="13" spans="1:3" x14ac:dyDescent="0.3">
      <c r="A13" s="2" t="s">
        <v>191</v>
      </c>
      <c r="B13">
        <v>161</v>
      </c>
      <c r="C13">
        <v>52</v>
      </c>
    </row>
    <row r="14" spans="1:3" x14ac:dyDescent="0.3">
      <c r="A14" s="2" t="s">
        <v>207</v>
      </c>
      <c r="B14">
        <v>160</v>
      </c>
      <c r="C14">
        <v>52</v>
      </c>
    </row>
    <row r="15" spans="1:3" x14ac:dyDescent="0.3">
      <c r="A15" s="2" t="s">
        <v>444</v>
      </c>
      <c r="B15">
        <v>173</v>
      </c>
      <c r="C15">
        <v>55</v>
      </c>
    </row>
    <row r="16" spans="1:3" x14ac:dyDescent="0.3">
      <c r="A16" s="2" t="s">
        <v>17</v>
      </c>
      <c r="B16">
        <v>2000</v>
      </c>
      <c r="C16">
        <v>714</v>
      </c>
    </row>
    <row r="18" spans="1:4" x14ac:dyDescent="0.3">
      <c r="A18" s="2"/>
    </row>
    <row r="19" spans="1:4" x14ac:dyDescent="0.3">
      <c r="A19" s="2"/>
    </row>
    <row r="20" spans="1:4" x14ac:dyDescent="0.3">
      <c r="A20" s="2"/>
    </row>
    <row r="21" spans="1:4" x14ac:dyDescent="0.3">
      <c r="A21" s="2"/>
    </row>
    <row r="25" spans="1:4" x14ac:dyDescent="0.3">
      <c r="A25" s="1" t="s">
        <v>16</v>
      </c>
      <c r="B25" t="s">
        <v>19</v>
      </c>
    </row>
    <row r="26" spans="1:4" x14ac:dyDescent="0.3">
      <c r="A26" s="2" t="s">
        <v>37</v>
      </c>
      <c r="B26">
        <v>328</v>
      </c>
      <c r="C26">
        <f>GETPIVOTDATA("negocio",$A$25,"origem","Online")</f>
        <v>328</v>
      </c>
      <c r="D26" s="9">
        <f>C26/C33</f>
        <v>0.33537832310838445</v>
      </c>
    </row>
    <row r="27" spans="1:4" x14ac:dyDescent="0.3">
      <c r="A27" s="2" t="s">
        <v>46</v>
      </c>
      <c r="B27">
        <v>386</v>
      </c>
      <c r="C27">
        <f>GETPIVOTDATA("negocio",$A$25,"origem","Loja")</f>
        <v>386</v>
      </c>
      <c r="D27" s="9">
        <f>C27/GETPIVOTDATA("protocolo",$A$31,"origem","Loja")</f>
        <v>0.37769080234833657</v>
      </c>
    </row>
    <row r="28" spans="1:4" x14ac:dyDescent="0.3">
      <c r="A28" s="2" t="s">
        <v>17</v>
      </c>
      <c r="B28">
        <v>714</v>
      </c>
    </row>
    <row r="31" spans="1:4" x14ac:dyDescent="0.3">
      <c r="A31" s="1" t="s">
        <v>16</v>
      </c>
      <c r="B31" t="s">
        <v>18</v>
      </c>
    </row>
    <row r="32" spans="1:4" x14ac:dyDescent="0.3">
      <c r="A32" s="2" t="s">
        <v>46</v>
      </c>
      <c r="B32">
        <v>1022</v>
      </c>
      <c r="C32">
        <f>GETPIVOTDATA("protocolo",$A$31,"origem","Loja")</f>
        <v>1022</v>
      </c>
    </row>
    <row r="33" spans="1:3" x14ac:dyDescent="0.3">
      <c r="A33" s="2" t="s">
        <v>37</v>
      </c>
      <c r="B33">
        <v>978</v>
      </c>
      <c r="C33">
        <f>GETPIVOTDATA("protocolo",$A$31,"origem","Online")</f>
        <v>978</v>
      </c>
    </row>
    <row r="34" spans="1:3" x14ac:dyDescent="0.3">
      <c r="A34" s="2" t="s">
        <v>17</v>
      </c>
      <c r="B34">
        <v>2000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2422B-B84A-41A1-9E72-78CD14EF659E}">
  <dimension ref="A3:C53"/>
  <sheetViews>
    <sheetView workbookViewId="0">
      <selection activeCell="B17" sqref="B17"/>
    </sheetView>
  </sheetViews>
  <sheetFormatPr defaultRowHeight="14.4" x14ac:dyDescent="0.3"/>
  <cols>
    <col min="1" max="1" width="16.77734375" bestFit="1" customWidth="1"/>
    <col min="2" max="2" width="22.77734375" bestFit="1" customWidth="1"/>
  </cols>
  <sheetData>
    <row r="3" spans="1:3" x14ac:dyDescent="0.3">
      <c r="A3" s="1" t="s">
        <v>16</v>
      </c>
      <c r="B3" t="s">
        <v>20</v>
      </c>
    </row>
    <row r="4" spans="1:3" x14ac:dyDescent="0.3">
      <c r="A4" s="2" t="s">
        <v>76</v>
      </c>
      <c r="B4">
        <v>98</v>
      </c>
      <c r="C4" t="str">
        <f>A4</f>
        <v>Oásis 2</v>
      </c>
    </row>
    <row r="5" spans="1:3" x14ac:dyDescent="0.3">
      <c r="A5" s="2" t="s">
        <v>95</v>
      </c>
      <c r="B5">
        <v>96</v>
      </c>
    </row>
    <row r="6" spans="1:3" x14ac:dyDescent="0.3">
      <c r="A6" s="2" t="s">
        <v>224</v>
      </c>
      <c r="B6">
        <v>93</v>
      </c>
    </row>
    <row r="7" spans="1:3" x14ac:dyDescent="0.3">
      <c r="A7" s="2" t="s">
        <v>287</v>
      </c>
      <c r="B7">
        <v>89</v>
      </c>
    </row>
    <row r="8" spans="1:3" x14ac:dyDescent="0.3">
      <c r="A8" s="2" t="s">
        <v>128</v>
      </c>
      <c r="B8">
        <v>77</v>
      </c>
    </row>
    <row r="9" spans="1:3" x14ac:dyDescent="0.3">
      <c r="A9" s="2" t="s">
        <v>165</v>
      </c>
      <c r="B9">
        <v>74</v>
      </c>
    </row>
    <row r="10" spans="1:3" x14ac:dyDescent="0.3">
      <c r="A10" s="2" t="s">
        <v>90</v>
      </c>
      <c r="B10">
        <v>72</v>
      </c>
    </row>
    <row r="11" spans="1:3" x14ac:dyDescent="0.3">
      <c r="A11" s="2" t="s">
        <v>69</v>
      </c>
      <c r="B11">
        <v>71</v>
      </c>
    </row>
    <row r="12" spans="1:3" x14ac:dyDescent="0.3">
      <c r="A12" s="2" t="s">
        <v>205</v>
      </c>
      <c r="B12">
        <v>69</v>
      </c>
    </row>
    <row r="13" spans="1:3" x14ac:dyDescent="0.3">
      <c r="A13" s="2" t="s">
        <v>65</v>
      </c>
      <c r="B13">
        <v>61</v>
      </c>
    </row>
    <row r="14" spans="1:3" x14ac:dyDescent="0.3">
      <c r="A14" s="2" t="s">
        <v>107</v>
      </c>
      <c r="B14">
        <v>61</v>
      </c>
    </row>
    <row r="15" spans="1:3" x14ac:dyDescent="0.3">
      <c r="A15" s="2" t="s">
        <v>212</v>
      </c>
      <c r="B15">
        <v>61</v>
      </c>
    </row>
    <row r="16" spans="1:3" x14ac:dyDescent="0.3">
      <c r="A16" s="2" t="s">
        <v>363</v>
      </c>
      <c r="B16">
        <v>56</v>
      </c>
    </row>
    <row r="17" spans="1:2" x14ac:dyDescent="0.3">
      <c r="A17" s="2" t="s">
        <v>102</v>
      </c>
      <c r="B17">
        <v>55</v>
      </c>
    </row>
    <row r="18" spans="1:2" x14ac:dyDescent="0.3">
      <c r="A18" s="2" t="s">
        <v>200</v>
      </c>
      <c r="B18">
        <v>53</v>
      </c>
    </row>
    <row r="19" spans="1:2" x14ac:dyDescent="0.3">
      <c r="A19" s="2" t="s">
        <v>300</v>
      </c>
      <c r="B19">
        <v>53</v>
      </c>
    </row>
    <row r="20" spans="1:2" x14ac:dyDescent="0.3">
      <c r="A20" s="2" t="s">
        <v>160</v>
      </c>
      <c r="B20">
        <v>46</v>
      </c>
    </row>
    <row r="21" spans="1:2" x14ac:dyDescent="0.3">
      <c r="A21" s="2" t="s">
        <v>577</v>
      </c>
      <c r="B21">
        <v>46</v>
      </c>
    </row>
    <row r="22" spans="1:2" x14ac:dyDescent="0.3">
      <c r="A22" s="2" t="s">
        <v>389</v>
      </c>
      <c r="B22">
        <v>43</v>
      </c>
    </row>
    <row r="23" spans="1:2" x14ac:dyDescent="0.3">
      <c r="A23" s="2" t="s">
        <v>292</v>
      </c>
      <c r="B23">
        <v>36</v>
      </c>
    </row>
    <row r="24" spans="1:2" x14ac:dyDescent="0.3">
      <c r="A24" s="2" t="s">
        <v>112</v>
      </c>
      <c r="B24">
        <v>35</v>
      </c>
    </row>
    <row r="25" spans="1:2" x14ac:dyDescent="0.3">
      <c r="A25" s="2" t="s">
        <v>124</v>
      </c>
      <c r="B25">
        <v>34</v>
      </c>
    </row>
    <row r="26" spans="1:2" x14ac:dyDescent="0.3">
      <c r="A26" s="2" t="s">
        <v>86</v>
      </c>
      <c r="B26">
        <v>33</v>
      </c>
    </row>
    <row r="27" spans="1:2" x14ac:dyDescent="0.3">
      <c r="A27" s="2" t="s">
        <v>489</v>
      </c>
      <c r="B27">
        <v>33</v>
      </c>
    </row>
    <row r="28" spans="1:2" x14ac:dyDescent="0.3">
      <c r="A28" s="2" t="s">
        <v>450</v>
      </c>
      <c r="B28">
        <v>30</v>
      </c>
    </row>
    <row r="29" spans="1:2" x14ac:dyDescent="0.3">
      <c r="A29" s="2" t="s">
        <v>189</v>
      </c>
      <c r="B29">
        <v>29</v>
      </c>
    </row>
    <row r="30" spans="1:2" x14ac:dyDescent="0.3">
      <c r="A30" s="2" t="s">
        <v>394</v>
      </c>
      <c r="B30">
        <v>29</v>
      </c>
    </row>
    <row r="31" spans="1:2" x14ac:dyDescent="0.3">
      <c r="A31" s="2" t="s">
        <v>321</v>
      </c>
      <c r="B31">
        <v>29</v>
      </c>
    </row>
    <row r="32" spans="1:2" x14ac:dyDescent="0.3">
      <c r="A32" s="2" t="s">
        <v>581</v>
      </c>
      <c r="B32">
        <v>28</v>
      </c>
    </row>
    <row r="33" spans="1:2" x14ac:dyDescent="0.3">
      <c r="A33" s="2" t="s">
        <v>722</v>
      </c>
      <c r="B33">
        <v>28</v>
      </c>
    </row>
    <row r="34" spans="1:2" x14ac:dyDescent="0.3">
      <c r="A34" s="2" t="s">
        <v>359</v>
      </c>
      <c r="B34">
        <v>28</v>
      </c>
    </row>
    <row r="35" spans="1:2" x14ac:dyDescent="0.3">
      <c r="A35" s="2" t="s">
        <v>44</v>
      </c>
      <c r="B35">
        <v>27</v>
      </c>
    </row>
    <row r="36" spans="1:2" x14ac:dyDescent="0.3">
      <c r="A36" s="2" t="s">
        <v>60</v>
      </c>
      <c r="B36">
        <v>27</v>
      </c>
    </row>
    <row r="37" spans="1:2" x14ac:dyDescent="0.3">
      <c r="A37" s="2" t="s">
        <v>481</v>
      </c>
      <c r="B37">
        <v>26</v>
      </c>
    </row>
    <row r="38" spans="1:2" x14ac:dyDescent="0.3">
      <c r="A38" s="2" t="s">
        <v>195</v>
      </c>
      <c r="B38">
        <v>25</v>
      </c>
    </row>
    <row r="39" spans="1:2" x14ac:dyDescent="0.3">
      <c r="A39" s="2" t="s">
        <v>140</v>
      </c>
      <c r="B39">
        <v>22</v>
      </c>
    </row>
    <row r="40" spans="1:2" x14ac:dyDescent="0.3">
      <c r="A40" s="2" t="s">
        <v>881</v>
      </c>
      <c r="B40">
        <v>22</v>
      </c>
    </row>
    <row r="41" spans="1:2" x14ac:dyDescent="0.3">
      <c r="A41" s="2" t="s">
        <v>717</v>
      </c>
      <c r="B41">
        <v>21</v>
      </c>
    </row>
    <row r="42" spans="1:2" x14ac:dyDescent="0.3">
      <c r="A42" s="2" t="s">
        <v>144</v>
      </c>
      <c r="B42">
        <v>21</v>
      </c>
    </row>
    <row r="43" spans="1:2" x14ac:dyDescent="0.3">
      <c r="A43" s="2" t="s">
        <v>53</v>
      </c>
      <c r="B43">
        <v>21</v>
      </c>
    </row>
    <row r="44" spans="1:2" x14ac:dyDescent="0.3">
      <c r="A44" s="2" t="s">
        <v>987</v>
      </c>
      <c r="B44">
        <v>18</v>
      </c>
    </row>
    <row r="45" spans="1:2" x14ac:dyDescent="0.3">
      <c r="A45" s="2" t="s">
        <v>656</v>
      </c>
      <c r="B45">
        <v>18</v>
      </c>
    </row>
    <row r="46" spans="1:2" x14ac:dyDescent="0.3">
      <c r="A46" s="2" t="s">
        <v>420</v>
      </c>
      <c r="B46">
        <v>17</v>
      </c>
    </row>
    <row r="47" spans="1:2" x14ac:dyDescent="0.3">
      <c r="A47" s="2" t="s">
        <v>177</v>
      </c>
      <c r="B47">
        <v>17</v>
      </c>
    </row>
    <row r="48" spans="1:2" x14ac:dyDescent="0.3">
      <c r="A48" s="2" t="s">
        <v>476</v>
      </c>
      <c r="B48">
        <v>17</v>
      </c>
    </row>
    <row r="49" spans="1:2" x14ac:dyDescent="0.3">
      <c r="A49" s="2" t="s">
        <v>261</v>
      </c>
      <c r="B49">
        <v>15</v>
      </c>
    </row>
    <row r="50" spans="1:2" x14ac:dyDescent="0.3">
      <c r="A50" s="2" t="s">
        <v>382</v>
      </c>
      <c r="B50">
        <v>14</v>
      </c>
    </row>
    <row r="51" spans="1:2" x14ac:dyDescent="0.3">
      <c r="A51" s="2" t="s">
        <v>542</v>
      </c>
      <c r="B51">
        <v>14</v>
      </c>
    </row>
    <row r="52" spans="1:2" x14ac:dyDescent="0.3">
      <c r="A52" s="2" t="s">
        <v>344</v>
      </c>
      <c r="B52">
        <v>12</v>
      </c>
    </row>
    <row r="53" spans="1:2" x14ac:dyDescent="0.3">
      <c r="A53" s="2" t="s">
        <v>17</v>
      </c>
      <c r="B53">
        <v>2000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7C8C68-6684-4731-BFC7-612523CEC9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</vt:lpstr>
      <vt:lpstr>painel</vt:lpstr>
      <vt:lpstr>1.geral</vt:lpstr>
      <vt:lpstr>2.canal</vt:lpstr>
      <vt:lpstr>3.regiao</vt:lpstr>
      <vt:lpstr>4.data</vt:lpstr>
      <vt:lpstr>5.unidades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Sharana Alencar</dc:creator>
  <cp:lastModifiedBy>Sharana Alencar</cp:lastModifiedBy>
  <dcterms:created xsi:type="dcterms:W3CDTF">2025-04-13T14:02:32Z</dcterms:created>
  <dcterms:modified xsi:type="dcterms:W3CDTF">2025-04-14T23:37:33Z</dcterms:modified>
</cp:coreProperties>
</file>